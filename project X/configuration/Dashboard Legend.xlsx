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660c2fe3e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D" sheetId="1" r:id="R2cbda54bfa464d90"/>
    <x:sheet xmlns:r="http://schemas.openxmlformats.org/officeDocument/2006/relationships" name="Table Definition" sheetId="2" r:id="R414e06d7dce34a49"/>
    <x:sheet xmlns:r="http://schemas.openxmlformats.org/officeDocument/2006/relationships" name="KPI Definition" sheetId="4" r:id="Rf23e02971a2f4e0f"/>
    <x:sheet xmlns:r="http://schemas.openxmlformats.org/officeDocument/2006/relationships" name="Gold Source Coverage" sheetId="5" r:id="Rfc20f84c7c6b4dd7"/>
  </x:sheets>
</x:workbook>
</file>

<file path=xl/sharedStrings.xml><?xml version="1.0" encoding="utf-8"?>
<x:sst xmlns:x="http://schemas.openxmlformats.org/spreadsheetml/2006/main">
  <x:si>
    <x:t xml:space="preserve">Oiriginal ID</x:t>
  </x:si>
  <x:si>
    <x:t xml:space="preserve">Req ID</x:t>
  </x:si>
  <x:si>
    <x:t xml:space="preserve">Requirement</x:t>
  </x:si>
  <x:si>
    <x:t xml:space="preserve">Stakeholder</x:t>
  </x:si>
  <x:si>
    <x:t xml:space="preserve">Priority</x:t>
  </x:si>
  <x:si>
    <x:t xml:space="preserve">KPI(s)</x:t>
  </x:si>
  <x:si>
    <x:t xml:space="preserve">Status</x:t>
  </x:si>
  <x:si>
    <x:t xml:space="preserve">Gap / Notes</x:t>
  </x:si>
  <x:si>
    <x:t xml:space="preserve">Suggested Action</x:t>
  </x:si>
  <x:si>
    <x:t xml:space="preserve">Notes 30072026</x:t>
  </x:si>
  <x:si>
    <x:t xml:space="preserve">R1</x:t>
  </x:si>
  <x:si>
    <x:t xml:space="preserve">Place children with complex care needs</x:t>
  </x:si>
  <x:si>
    <x:t xml:space="preserve">Placement Officer</x:t>
  </x:si>
  <x:si>
    <x:t xml:space="preserve">High</x:t>
  </x:si>
  <x:si>
    <x:t xml:space="preserve">KPI-01, KPI-08</x:t>
  </x:si>
  <x:si>
    <x:t xml:space="preserve">R2</x:t>
  </x:si>
  <x:si>
    <x:t xml:space="preserve">Consider current incumbent solution</x:t>
  </x:si>
  <x:si>
    <x:t xml:space="preserve">All</x:t>
  </x:si>
  <x:si>
    <x:t xml:space="preserve">Low</x:t>
  </x:si>
  <x:si>
    <x:t xml:space="preserve">—</x:t>
  </x:si>
  <x:si>
    <x:t xml:space="preserve">R3</x:t>
  </x:si>
  <x:si>
    <x:t xml:space="preserve">Single regional platform (cross-boundary)</x:t>
  </x:si>
  <x:si>
    <x:t xml:space="preserve">R4</x:t>
  </x:si>
  <x:si>
    <x:t xml:space="preserve">Open source suitability</x:t>
  </x:si>
  <x:si>
    <x:t xml:space="preserve">R5</x:t>
  </x:si>
  <x:si>
    <x:t xml:space="preserve">Agile / MVP / backlog</x:t>
  </x:si>
  <x:si>
    <x:t xml:space="preserve">R6</x:t>
  </x:si>
  <x:si>
    <x:t xml:space="preserve">COTS preferred over bespoke</x:t>
  </x:si>
  <x:si>
    <x:t xml:space="preserve">R7</x:t>
  </x:si>
  <x:si>
    <x:t xml:space="preserve">APIs across WM IT ecosystem</x:t>
  </x:si>
  <x:si>
    <x:t xml:space="preserve">R8</x:t>
  </x:si>
  <x:si>
    <x:t xml:space="preserve">Open-source API compliance</x:t>
  </x:si>
  <x:si>
    <x:t xml:space="preserve">R9</x:t>
  </x:si>
  <x:si>
    <x:t xml:space="preserve">Form pre-population (referral, OFSTED, auth)</x:t>
  </x:si>
  <x:si>
    <x:t xml:space="preserve">Medium</x:t>
  </x:si>
  <x:si>
    <x:t xml:space="preserve">R11</x:t>
  </x:si>
  <x:si>
    <x:t xml:space="preserve">Publish placement requirements to providers</x:t>
  </x:si>
  <x:si>
    <x:t xml:space="preserve">R12</x:t>
  </x:si>
  <x:si>
    <x:t xml:space="preserve">GDPR / DPA 2018 compliance for vulnerable-child data</x:t>
  </x:si>
  <x:si>
    <x:t xml:space="preserve">R13</x:t>
  </x:si>
  <x:si>
    <x:t xml:space="preserve">Filter by specialisms, placement type, placement status</x:t>
  </x:si>
  <x:si>
    <x:t xml:space="preserve">KPI-26, KPI-34</x:t>
  </x:si>
  <x:si>
    <x:t xml:space="preserve">R14</x:t>
  </x:si>
  <x:si>
    <x:t xml:space="preserve">In-system messaging (auditable, prioritised, urgent)</x:t>
  </x:si>
  <x:si>
    <x:t xml:space="preserve">Medium-&gt;Low</x:t>
  </x:si>
  <x:si>
    <x:t xml:space="preserve">KPI-110, KPI-111, KPI-112</x:t>
  </x:si>
  <x:si>
    <x:t xml:space="preserve">data is available.</x:t>
  </x:si>
  <x:si>
    <x:t xml:space="preserve">R15</x:t>
  </x:si>
  <x:si>
    <x:t xml:space="preserve">Digital info &amp; signatures for IPA</x:t>
  </x:si>
  <x:si>
    <x:t xml:space="preserve">KPI-73, KPI-76, KPI-77</x:t>
  </x:si>
  <x:si>
    <x:t xml:space="preserve">R16</x:t>
  </x:si>
  <x:si>
    <x:t xml:space="preserve">Priority information flagged in placement requests</x:t>
  </x:si>
  <x:si>
    <x:t xml:space="preserve">R17</x:t>
  </x:si>
  <x:si>
    <x:t xml:space="preserve">Placement info immediately available on accept</x:t>
  </x:si>
  <x:si>
    <x:t xml:space="preserve">KPI-75</x:t>
  </x:si>
  <x:si>
    <x:t xml:space="preserve">R18</x:t>
  </x:si>
  <x:si>
    <x:t xml:space="preserve">Emergency placements: same-day, distinct ID, separate reporting &amp; finance</x:t>
  </x:si>
  <x:si>
    <x:t xml:space="preserve">KPI-91, KPI-92, KPI-94</x:t>
  </x:si>
  <x:si>
    <x:t xml:space="preserve">R19</x:t>
  </x:si>
  <x:si>
    <x:t xml:space="preserve">Update referrals; auto-notify providers</x:t>
  </x:si>
  <x:si>
    <x:t xml:space="preserve">KPI-115</x:t>
  </x:si>
  <x:si>
    <x:t xml:space="preserve">R20</x:t>
  </x:si>
  <x:si>
    <x:t xml:space="preserve">Full audit tracking (placements, IPA, signatures, approvals, negotiations)</x:t>
  </x:si>
  <x:si>
    <x:t xml:space="preserve">Commissioner</x:t>
  </x:si>
  <x:si>
    <x:t xml:space="preserve">KPI-113, KPI-114</x:t>
  </x:si>
  <x:si>
    <x:t xml:space="preserve">NEC responsiblility to provide this Feature</x:t>
  </x:si>
  <x:si>
    <x:t xml:space="preserve">R21</x:t>
  </x:si>
  <x:si>
    <x:t xml:space="preserve">Auto-notify unsuccessful providers; optional rejection feedback</x:t>
  </x:si>
  <x:si>
    <x:t xml:space="preserve">R22</x:t>
  </x:si>
  <x:si>
    <x:t xml:space="preserve">Out-of-region placements tagged; finance informed</x:t>
  </x:si>
  <x:si>
    <x:t xml:space="preserve">High-&gt;Medium</x:t>
  </x:si>
  <x:si>
    <x:t xml:space="preserve">KPI-90 (partial), KPI-95, KPI-96</x:t>
  </x:si>
  <x:si>
    <x:t xml:space="preserve">the overlap referral is not related to this requirment</x:t>
  </x:si>
  <x:si>
    <x:t xml:space="preserve">R24</x:t>
  </x:si>
  <x:si>
    <x:t xml:space="preserve">Dashboard: status overview, provider updates, task mgmt, quick updates</x:t>
  </x:si>
  <x:si>
    <x:t xml:space="preserve">KPI-01–KPI-89 (85 measures)</x:t>
  </x:si>
  <x:si>
    <x:t xml:space="preserve">R25</x:t>
  </x:si>
  <x:si>
    <x:t xml:space="preserve">Quickly review detailed placement requests</x:t>
  </x:si>
  <x:si>
    <x:t xml:space="preserve">Provider</x:t>
  </x:si>
  <x:si>
    <x:t xml:space="preserve">KPI-11, KPI-12</x:t>
  </x:si>
  <x:si>
    <x:t xml:space="preserve">R26</x:t>
  </x:si>
  <x:si>
    <x:t xml:space="preserve">Prioritise by match suitability, SOP, existing placements</x:t>
  </x:si>
  <x:si>
    <x:t xml:space="preserve">KPI-19, KPI-20, KPI-37</x:t>
  </x:si>
  <x:si>
    <x:t xml:space="preserve">R27</x:t>
  </x:si>
  <x:si>
    <x:t xml:space="preserve">Request additional info, raise queries, see responses</x:t>
  </x:si>
  <x:si>
    <x:t xml:space="preserve">R28</x:t>
  </x:si>
  <x:si>
    <x:t xml:space="preserve">Accept / reject / request further info</x:t>
  </x:si>
  <x:si>
    <x:t xml:space="preserve">KPI-15, KPI-16, KPI-75</x:t>
  </x:si>
  <x:si>
    <x:t xml:space="preserve">R29</x:t>
  </x:si>
  <x:si>
    <x:t xml:space="preserve">Streamlined offer process</x:t>
  </x:si>
  <x:si>
    <x:t xml:space="preserve">R31</x:t>
  </x:si>
  <x:si>
    <x:t xml:space="preserve">Resolved requests auto-removed from provider views</x:t>
  </x:si>
  <x:si>
    <x:t xml:space="preserve">email notify feature… not considered pfor phase 2</x:t>
  </x:si>
  <x:si>
    <x:t xml:space="preserve">R32</x:t>
  </x:si>
  <x:si>
    <x:t xml:space="preserve">Matching by SOP and care specialisms</x:t>
  </x:si>
  <x:si>
    <x:t xml:space="preserve">R33</x:t>
  </x:si>
  <x:si>
    <x:t xml:space="preserve">Upload and manage placement documentation</x:t>
  </x:si>
  <x:si>
    <x:t xml:space="preserve">R34</x:t>
  </x:si>
  <x:si>
    <x:t xml:space="preserve">Emergency referrals identifiable and prioritised</x:t>
  </x:si>
  <x:si>
    <x:t xml:space="preserve">KPI-91, KPI-94</x:t>
  </x:si>
  <x:si>
    <x:t xml:space="preserve">might be a status field (planned or emergency)</x:t>
  </x:si>
  <x:si>
    <x:t xml:space="preserve">R35</x:t>
  </x:si>
  <x:si>
    <x:t xml:space="preserve">Digitised IPA (review, approvals, signing, audit)</x:t>
  </x:si>
  <x:si>
    <x:t xml:space="preserve">KPI-73–KPI-86</x:t>
  </x:si>
  <x:si>
    <x:t xml:space="preserve">R36</x:t>
  </x:si>
  <x:si>
    <x:t xml:space="preserve">Dedicated view: referrals with outstanding offers / open offers</x:t>
  </x:si>
  <x:si>
    <x:t xml:space="preserve">KPI-10, KPI-29</x:t>
  </x:si>
  <x:si>
    <x:t xml:space="preserve">R38</x:t>
  </x:si>
  <x:si>
    <x:t xml:space="preserve">Record QA assessment outcomes against providers</x:t>
  </x:si>
  <x:si>
    <x:t xml:space="preserve">QA Officer</x:t>
  </x:si>
  <x:si>
    <x:t xml:space="preserve">R39</x:t>
  </x:si>
  <x:si>
    <x:t xml:space="preserve">Desk-based research; identify missing documentation</x:t>
  </x:si>
  <x:si>
    <x:t xml:space="preserve">R41</x:t>
  </x:si>
  <x:si>
    <x:t xml:space="preserve">Apply advisory notices and flags (information notices, safeguarding)</x:t>
  </x:si>
  <x:si>
    <x:t xml:space="preserve">KPI-97, KPI-98, KPI-99</x:t>
  </x:si>
  <x:si>
    <x:t xml:space="preserve">Flags against homes not Provider… should be in a text label</x:t>
  </x:si>
  <x:si>
    <x:t xml:space="preserve">R45</x:t>
  </x:si>
  <x:si>
    <x:t xml:space="preserve">SPOT providers upload registration documentation</x:t>
  </x:si>
  <x:si>
    <x:t xml:space="preserve">R46</x:t>
  </x:si>
  <x:si>
    <x:t xml:space="preserve">QA intelligence for non-framework providers shared appropriately</x:t>
  </x:si>
  <x:si>
    <x:t xml:space="preserve">KPI-46, KPI-47</x:t>
  </x:si>
  <x:si>
    <x:t xml:space="preserve">R47</x:t>
  </x:si>
  <x:si>
    <x:t xml:space="preserve">Monitor documentation expiry; send reminders; highlight missing</x:t>
  </x:si>
  <x:si>
    <x:t xml:space="preserve">KPI-100, KPI-101</x:t>
  </x:si>
  <x:si>
    <x:t xml:space="preserve">documentation will be useful</x:t>
  </x:si>
  <x:si>
    <x:t xml:space="preserve">R48</x:t>
  </x:si>
  <x:si>
    <x:t xml:space="preserve">Providers with incomplete docs excluded from referrals</x:t>
  </x:si>
  <x:si>
    <x:t xml:space="preserve">KPI-102, KPI-103</x:t>
  </x:si>
  <x:si>
    <x:t xml:space="preserve">R49</x:t>
  </x:si>
  <x:si>
    <x:t xml:space="preserve">Easily identify provider due diligence status</x:t>
  </x:si>
  <x:si>
    <x:t xml:space="preserve">KPI-104</x:t>
  </x:si>
  <x:si>
    <x:t xml:space="preserve">R51</x:t>
  </x:si>
  <x:si>
    <x:t xml:space="preserve">Robust data model: placement records, market intelligence, value analysis</x:t>
  </x:si>
  <x:si>
    <x:t xml:space="preserve">KPI-01–KPI-10, KPI-13, KPI-14, KPI-20</x:t>
  </x:si>
  <x:si>
    <x:t xml:space="preserve">R52</x:t>
  </x:si>
  <x:si>
    <x:t xml:space="preserve">Accurate and customisable reporting</x:t>
  </x:si>
  <x:si>
    <x:t xml:space="preserve">KPI-23, KPI-24</x:t>
  </x:si>
  <x:si>
    <x:t xml:space="preserve">R53</x:t>
  </x:si>
  <x:si>
    <x:t xml:space="preserve">Data consistent, exportable, supports bespoke analysis</x:t>
  </x:si>
  <x:si>
    <x:t xml:space="preserve">KPI-88</x:t>
  </x:si>
  <x:si>
    <x:t xml:space="preserve">R54</x:t>
  </x:si>
  <x:si>
    <x:t xml:space="preserve">Capture reasons for declined placements</x:t>
  </x:si>
  <x:si>
    <x:t xml:space="preserve">KPI-34 (partial), KPI-105</x:t>
  </x:si>
  <x:si>
    <x:t xml:space="preserve">R55</x:t>
  </x:si>
  <x:si>
    <x:t xml:space="preserve">RBAC: commissioners access regional data, market-wide trends</x:t>
  </x:si>
  <x:si>
    <x:t xml:space="preserve">R57</x:t>
  </x:si>
  <x:si>
    <x:t xml:space="preserve">Emergency and planned placements separately reportable</x:t>
  </x:si>
  <x:si>
    <x:t xml:space="preserve">KPI-91, KPI-93, KPI-94</x:t>
  </x:si>
  <x:si>
    <x:t xml:space="preserve">Similar to R18</x:t>
  </x:si>
  <x:si>
    <x:t xml:space="preserve">R58</x:t>
  </x:si>
  <x:si>
    <x:t xml:space="preserve">Alert when framework changes during active referrals</x:t>
  </x:si>
  <x:si>
    <x:t xml:space="preserve">KPI-106</x:t>
  </x:si>
  <x:si>
    <x:t xml:space="preserve">***spot proivder are those that arent on the framework…</x:t>
  </x:si>
  <x:si>
    <x:t xml:space="preserve">R59</x:t>
  </x:si>
  <x:si>
    <x:t xml:space="preserve">Bulk provider onboarding supported</x:t>
  </x:si>
  <x:si>
    <x:t xml:space="preserve">KPI-116, KPI-117</x:t>
  </x:si>
  <x:si>
    <x:t xml:space="preserve">R62</x:t>
  </x:si>
  <x:si>
    <x:t xml:space="preserve">View completed placements, access IPAs, extract payment info</x:t>
  </x:si>
  <x:si>
    <x:t xml:space="preserve">Finance Officer</x:t>
  </x:si>
  <x:si>
    <x:t xml:space="preserve">KPI-107, KPI-108, KPI-109</x:t>
  </x:si>
  <x:si>
    <x:t xml:space="preserve">Only completed IPA where both signatures… or completed IPA with 1 signature… IPA with no signatures</x:t>
  </x:si>
  <x:si>
    <x:t xml:space="preserve">R67</x:t>
  </x:si>
  <x:si>
    <x:t xml:space="preserve">Support adding new frameworks</x:t>
  </x:si>
  <x:si>
    <x:t xml:space="preserve">KPI-25, KPI-38</x:t>
  </x:si>
  <x:si>
    <x:t xml:space="preserve">R68</x:t>
  </x:si>
  <x:si>
    <x:t xml:space="preserve">Frameworks configurable: display, hide, isolate by region</x:t>
  </x:si>
  <x:si>
    <x:t xml:space="preserve">R69</x:t>
  </x:si>
  <x:si>
    <x:t xml:space="preserve">Robust analytical data model</x:t>
  </x:si>
  <x:si>
    <x:t xml:space="preserve">R70</x:t>
  </x:si>
  <x:si>
    <x:t xml:space="preserve">Auto-save across workflows</x:t>
  </x:si>
  <x:si>
    <x:t xml:space="preserve">R71</x:t>
  </x:si>
  <x:si>
    <x:t xml:space="preserve">Digitised IPA: review, approvals, signing, full audit</x:t>
  </x:si>
  <x:si>
    <x:t xml:space="preserve">R72</x:t>
  </x:si>
  <x:si>
    <x:t xml:space="preserve">Digitise paper processes: workflow, auditable, trackable, lifecycle</x:t>
  </x:si>
  <x:si>
    <x:t xml:space="preserve">R73</x:t>
  </x:si>
  <x:si>
    <x:t xml:space="preserve">Support future enhancements and Agile delivery</x:t>
  </x:si>
  <x:si>
    <x:t xml:space="preserve">R74</x:t>
  </x:si>
  <x:si>
    <x:t xml:space="preserve">COTS preferred</x:t>
  </x:si>
  <x:si>
    <x:t xml:space="preserve">R75</x:t>
  </x:si>
  <x:si>
    <x:t xml:space="preserve">High availability, scalability, fault tolerance, DR</x:t>
  </x:si>
  <x:si>
    <x:t xml:space="preserve">R76</x:t>
  </x:si>
  <x:si>
    <x:t xml:space="preserve">Access restricted to authorised users</x:t>
  </x:si>
  <x:si>
    <x:t xml:space="preserve">R77</x:t>
  </x:si>
  <x:si>
    <x:t xml:space="preserve">Admin: user management, org onboarding, ownership transfer</x:t>
  </x:si>
  <x:si>
    <x:t xml:space="preserve">R78</x:t>
  </x:si>
  <x:si>
    <x:t xml:space="preserve">RBAC and full auditing mandatory</x:t>
  </x:si>
  <x:si>
    <x:t xml:space="preserve">R79</x:t>
  </x:si>
  <x:si>
    <x:t xml:space="preserve">Break-glass access: controlled, auditable, emergency</x:t>
  </x:si>
  <x:si>
    <x:t xml:space="preserve">R80</x:t>
  </x:si>
  <x:si>
    <x:t xml:space="preserve">Fast document upload/retrieval, RBAC-protected access</x:t>
  </x:si>
  <x:si>
    <x:t xml:space="preserve">R81</x:t>
  </x:si>
  <x:si>
    <x:t xml:space="preserve">WCAG 2.0/2.1/2.2 compliance</x:t>
  </x:si>
  <x:si>
    <x:t xml:space="preserve">R82</x:t>
  </x:si>
  <x:si>
    <x:t xml:space="preserve">Fast response times, scalability, performance reporting</x:t>
  </x:si>
  <x:si>
    <x:t xml:space="preserve">KPI-87</x:t>
  </x:si>
  <x:si>
    <x:t xml:space="preserve">R83</x:t>
  </x:si>
  <x:si>
    <x:t xml:space="preserve">Migrate placements, purchases, providers, OFSTED, frameworks, active placements</x:t>
  </x:si>
  <x:si>
    <x:t xml:space="preserve">R84</x:t>
  </x:si>
  <x:si>
    <x:t xml:space="preserve">Data integrity, retention, export, configurable policies</x:t>
  </x:si>
  <x:si>
    <x:t xml:space="preserve">R85</x:t>
  </x:si>
  <x:si>
    <x:t xml:space="preserve">Deployment: FAQs, user guides, demos, support materials</x:t>
  </x:si>
  <x:si>
    <x:t xml:space="preserve">R86</x:t>
  </x:si>
  <x:si>
    <x:t xml:space="preserve">Device agnostic, browser compatible, mobile friendly</x:t>
  </x:si>
  <x:si>
    <x:t xml:space="preserve">R87</x:t>
  </x:si>
  <x:si>
    <x:t xml:space="preserve">Incident management, issue reporting, SLAs</x:t>
  </x:si>
  <x:si>
    <x:t xml:space="preserve">R88</x:t>
  </x:si>
  <x:si>
    <x:t xml:space="preserve">Modular growth, controlled change, product roadmaps</x:t>
  </x:si>
  <x:si>
    <x:t xml:space="preserve">R89</x:t>
  </x:si>
  <x:si>
    <x:t xml:space="preserve">Stakeholder demos, UAT, formal sign-off</x:t>
  </x:si>
  <x:si>
    <x:t xml:space="preserve">R90</x:t>
  </x:si>
  <x:si>
    <x:t xml:space="preserve">Hosting options, deployment models, cloud strategy</x:t>
  </x:si>
  <x:si>
    <x:t xml:space="preserve">R91</x:t>
  </x:si>
  <x:si>
    <x:t xml:space="preserve">Provider registration: company, services, homes, docs</x:t>
  </x:si>
  <x:si>
    <x:t xml:space="preserve">KPI-40, KPI-41</x:t>
  </x:si>
  <x:si>
    <x:t xml:space="preserve">R92</x:t>
  </x:si>
  <x:si>
    <x:t xml:space="preserve">LA review and approve/reject registrations</x:t>
  </x:si>
  <x:si>
    <x:t xml:space="preserve">R93</x:t>
  </x:si>
  <x:si>
    <x:t xml:space="preserve">Placement officer: provider directory, services, homes, docs</x:t>
  </x:si>
  <x:si>
    <x:t xml:space="preserve">KPI-40–KPI-52</x:t>
  </x:si>
  <x:si>
    <x:t xml:space="preserve">R94</x:t>
  </x:si>
  <x:si>
    <x:t xml:space="preserve">QA: search providers, apply/remove flags</x:t>
  </x:si>
  <x:si>
    <x:t xml:space="preserve">KPI-97, KPI-98 (partial)</x:t>
  </x:si>
  <x:si>
    <x:t xml:space="preserve">R95</x:t>
  </x:si>
  <x:si>
    <x:t xml:space="preserve">Reflect Fostering Framework changes (Q3 2024)</x:t>
  </x:si>
  <x:si>
    <x:t xml:space="preserve">KPI-42, KPI-51</x:t>
  </x:si>
  <x:si>
    <x:t xml:space="preserve">R96</x:t>
  </x:si>
  <x:si>
    <x:t xml:space="preserve">Reflect Residential Framework 2.0 (Spring 2025)</x:t>
  </x:si>
  <x:si>
    <x:t xml:space="preserve">KPI-43, KPI-49</x:t>
  </x:si>
  <x:si>
    <x:t xml:space="preserve">Gold Table</x:t>
  </x:si>
  <x:si>
    <x:t xml:space="preserve">Silver Source</x:t>
  </x:si>
  <x:si>
    <x:t xml:space="preserve">Schema Definition Table</x:t>
  </x:si>
  <x:si>
    <x:t xml:space="preserve">Functional Area</x:t>
  </x:si>
  <x:si>
    <x:t xml:space="preserve">fact_referral_offer</x:t>
  </x:si>
  <x:si>
    <x:t xml:space="preserve">fact_offer</x:t>
  </x:si>
  <x:si>
    <x:t xml:space="preserve">fact_ipa</x:t>
  </x:si>
  <x:si>
    <x:t xml:space="preserve">dim_referral</x:t>
  </x:si>
  <x:si>
    <x:t xml:space="preserve">dim_provider</x:t>
  </x:si>
  <x:si>
    <x:t xml:space="preserve">dim_provider_home</x:t>
  </x:si>
  <x:si>
    <x:t xml:space="preserve">dim_provider_framework</x:t>
  </x:si>
  <x:si>
    <x:t xml:space="preserve">fact_referral_person</x:t>
  </x:si>
  <x:si>
    <x:t xml:space="preserve">fact_referral_category</x:t>
  </x:si>
  <x:si>
    <x:t xml:space="preserve">fact_provider_message</x:t>
  </x:si>
  <x:si>
    <x:t xml:space="preserve">dim_referral_gender</x:t>
  </x:si>
  <x:si>
    <x:t xml:space="preserve">fact_referral_event_log</x:t>
  </x:si>
  <x:si>
    <x:t xml:space="preserve">dim_s3_file_metadata</x:t>
  </x:si>
  <x:si>
    <x:t xml:space="preserve">dim_provider_document</x:t>
  </x:si>
  <x:si>
    <x:t xml:space="preserve">dim_submission_documents</x:t>
  </x:si>
  <x:si>
    <x:t xml:space="preserve">dim_referral_provider_decline_reason</x:t>
  </x:si>
  <x:si>
    <x:t xml:space="preserve">dim_offer_status</x:t>
  </x:si>
  <x:si>
    <x:t xml:space="preserve">KPI ID</x:t>
  </x:si>
  <x:si>
    <x:t xml:space="preserve">ref FR IDs</x:t>
  </x:si>
  <x:si>
    <x:t xml:space="preserve">KPI Description</x:t>
  </x:si>
  <x:si>
    <x:t xml:space="preserve">ref FR IDs Description</x:t>
  </x:si>
  <x:si>
    <x:t xml:space="preserve">Tables</x:t>
  </x:si>
  <x:si>
    <x:t xml:space="preserve">Calculation</x:t>
  </x:si>
  <x:si>
    <x:t xml:space="preserve">PBI Measure</x:t>
  </x:si>
  <x:si>
    <x:t xml:space="preserve">Section</x:t>
  </x:si>
  <x:si>
    <x:t xml:space="preserve">KPI-83</x:t>
  </x:si>
  <x:si>
    <x:t xml:space="preserve">[R35]    </x:t>
  </x:si>
  <x:si>
    <x:t xml:space="preserve">Accepted Offer to IPA Conversion %  </x:t>
  </x:si>
  <x:si>
    <x:t xml:space="preserve">R35 (digitised IPA)                         </x:t>
  </x:si>
  <x:si>
    <x:t xml:space="preserve">Section 8 - IPA Measures</x:t>
  </x:si>
  <x:si>
    <x:t xml:space="preserve">KPI-39</x:t>
  </x:si>
  <x:si>
    <x:t xml:space="preserve">[R28,R35]</x:t>
  </x:si>
  <x:si>
    <x:t xml:space="preserve">Accepted Offers (Scoped Table)</x:t>
  </x:si>
  <x:si>
    <x:t xml:space="preserve">Acceptance and IPA</x:t>
  </x:si>
  <x:si>
    <x:t xml:space="preserve">Section 5 - Referral Offers</x:t>
  </x:si>
  <x:si>
    <x:t xml:space="preserve">Accepted Offers Base                </x:t>
  </x:si>
  <x:si>
    <x:t xml:space="preserve">R28 (accept placements), R35 (digitised IPA)</x:t>
  </x:si>
  <x:si>
    <x:t xml:space="preserve">KPI-21</x:t>
  </x:si>
  <x:si>
    <x:t xml:space="preserve">[R24,R26]</x:t>
  </x:si>
  <x:si>
    <x:t xml:space="preserve">Active Awaiting Offers (Engaged)</x:t>
  </x:si>
  <x:si>
    <x:t xml:space="preserve">Dashboard and prioritisation</x:t>
  </x:si>
  <x:si>
    <x:t xml:space="preserve">Section 2 - Provider Activity</x:t>
  </x:si>
  <x:si>
    <x:t xml:space="preserve">KPI-22</x:t>
  </x:si>
  <x:si>
    <x:t xml:space="preserve">Active Awaiting Offers (No Engagement)</x:t>
  </x:si>
  <x:si>
    <x:t xml:space="preserve">KPI-20</x:t>
  </x:si>
  <x:si>
    <x:t xml:space="preserve">Active Referral Engagement Rate</x:t>
  </x:si>
  <x:si>
    <x:t xml:space="preserve">KPI-32</x:t>
  </x:si>
  <x:si>
    <x:t xml:space="preserve">[R24,R36]</x:t>
  </x:si>
  <x:si>
    <x:t xml:space="preserve">Active Referrals Awaiting Offers</x:t>
  </x:si>
  <x:si>
    <x:t xml:space="preserve">Dashboard and offers</x:t>
  </x:si>
  <x:si>
    <x:t xml:space="preserve">KPI-30</x:t>
  </x:si>
  <x:si>
    <x:t xml:space="preserve">Active Referrals Under Offer</x:t>
  </x:si>
  <x:si>
    <x:t xml:space="preserve">Dashboard; offers</x:t>
  </x:si>
  <x:si>
    <x:t xml:space="preserve">KPI-19</x:t>
  </x:si>
  <x:si>
    <x:t xml:space="preserve">Active Referrals With Provider Engagement</x:t>
  </x:si>
  <x:si>
    <x:t xml:space="preserve">KPI-113</x:t>
  </x:si>
  <x:si>
    <x:t xml:space="preserve">[R20]    </x:t>
  </x:si>
  <x:si>
    <x:t xml:space="preserve">Audit Events by Type                     </x:t>
  </x:si>
  <x:si>
    <x:t xml:space="preserve">R20 audit tracking across placement lifecycle               </x:t>
  </x:si>
  <x:si>
    <x:t xml:space="preserve">Section 10 - Outstanding Measures</x:t>
  </x:si>
  <x:si>
    <x:t xml:space="preserve">KPI-59</x:t>
  </x:si>
  <x:si>
    <x:t xml:space="preserve">[R24]    </x:t>
  </x:si>
  <x:si>
    <x:t xml:space="preserve">Average Days in Draft                    </x:t>
  </x:si>
  <x:si>
    <x:t xml:space="preserve">R24 (dashboard task management)                           </x:t>
  </x:si>
  <x:si>
    <x:t xml:space="preserve">Section 7 - Draft/Pending Offers</x:t>
  </x:si>
  <x:si>
    <x:t xml:space="preserve">KPI-111</x:t>
  </x:si>
  <x:si>
    <x:t xml:space="preserve">[R14]    </x:t>
  </x:si>
  <x:si>
    <x:t xml:space="preserve">Avg Message Response Time (Hours)        </x:t>
  </x:si>
  <x:si>
    <x:t xml:space="preserve">R14 auditable messaging and prioritisation                  </x:t>
  </x:si>
  <x:si>
    <x:t xml:space="preserve">KPI-14</x:t>
  </x:si>
  <x:si>
    <x:t xml:space="preserve">[R51]</x:t>
  </x:si>
  <x:si>
    <x:t xml:space="preserve">Avg Offers per Provider (Under Offer)</x:t>
  </x:si>
  <x:si>
    <x:t xml:space="preserve">R51 market intelligence</x:t>
  </x:si>
  <x:si>
    <x:t xml:space="preserve">KPI-13</x:t>
  </x:si>
  <x:si>
    <x:t xml:space="preserve">Avg Offers per Referral (Under Offer)</x:t>
  </x:si>
  <x:si>
    <x:t xml:space="preserve">KPI-117</x:t>
  </x:si>
  <x:si>
    <x:t xml:space="preserve">[R59]    </x:t>
  </x:si>
  <x:si>
    <x:t xml:space="preserve">Bulk Onboarding Success Rate             </x:t>
  </x:si>
  <x:si>
    <x:t xml:space="preserve">R59 bulk provider onboarding                                </x:t>
  </x:si>
  <x:si>
    <x:t xml:space="preserve">KPI-34</x:t>
  </x:si>
  <x:si>
    <x:t xml:space="preserve">[R54]</x:t>
  </x:si>
  <x:si>
    <x:t xml:space="preserve">Closed Referrals (by Reason)</x:t>
  </x:si>
  <x:si>
    <x:t xml:space="preserve">Declined placement reasons</x:t>
  </x:si>
  <x:si>
    <x:t xml:space="preserve">KPI-72</x:t>
  </x:si>
  <x:si>
    <x:t xml:space="preserve">Critical Offers (30+ Days)               </x:t>
  </x:si>
  <x:si>
    <x:t xml:space="preserve">[R82]    </x:t>
  </x:si>
  <x:si>
    <x:t xml:space="preserve">Dashboard Last Refreshed </x:t>
  </x:si>
  <x:si>
    <x:t xml:space="preserve">R82 (reporting and dashboard refresh visibility)</x:t>
  </x:si>
  <x:si>
    <x:t xml:space="preserve">Section 9 - Other Measures</x:t>
  </x:si>
  <x:si>
    <x:t xml:space="preserve">KPI-105</x:t>
  </x:si>
  <x:si>
    <x:t xml:space="preserve">[R54]    </x:t>
  </x:si>
  <x:si>
    <x:t xml:space="preserve">Decline Reasons (Referral Level)         </x:t>
  </x:si>
  <x:si>
    <x:t xml:space="preserve">R54 capture reasons for declined placements                 </x:t>
  </x:si>
  <x:si>
    <x:t xml:space="preserve">KPI-48</x:t>
  </x:si>
  <x:si>
    <x:t xml:space="preserve">[R93]    </x:t>
  </x:si>
  <x:si>
    <x:t xml:space="preserve">Directory Summary Count            </x:t>
  </x:si>
  <x:si>
    <x:t xml:space="preserve">Provider directory        </x:t>
  </x:si>
  <x:si>
    <x:t xml:space="preserve">Section 6 - Provider Registry</x:t>
  </x:si>
  <x:si>
    <x:t xml:space="preserve">KPI-103</x:t>
  </x:si>
  <x:si>
    <x:t xml:space="preserve">[R48]    </x:t>
  </x:si>
  <x:si>
    <x:t xml:space="preserve">Document Compliance Rate                 </x:t>
  </x:si>
  <x:si>
    <x:t xml:space="preserve">R48 documentation compliance                                </x:t>
  </x:si>
  <x:si>
    <x:t xml:space="preserve">KPI-101</x:t>
  </x:si>
  <x:si>
    <x:t xml:space="preserve">[R47,R48]</x:t>
  </x:si>
  <x:si>
    <x:t xml:space="preserve">Documents Expired                        </x:t>
  </x:si>
  <x:si>
    <x:t xml:space="preserve">R47 documentation control; R48 provider eligibility         </x:t>
  </x:si>
  <x:si>
    <x:t xml:space="preserve">KPI-100</x:t>
  </x:si>
  <x:si>
    <x:t xml:space="preserve">[R47]    </x:t>
  </x:si>
  <x:si>
    <x:t xml:space="preserve">Documents Expiring (30 Days)             </x:t>
  </x:si>
  <x:si>
    <x:t xml:space="preserve">R47 documentation expiry monitoring                         </x:t>
  </x:si>
  <x:si>
    <x:t xml:space="preserve">KPI-57</x:t>
  </x:si>
  <x:si>
    <x:t xml:space="preserve">Draft No Activity 7+ Days                </x:t>
  </x:si>
  <x:si>
    <x:t xml:space="preserve">KPI-53</x:t>
  </x:si>
  <x:si>
    <x:t xml:space="preserve">Draft No Activity Since Creation         </x:t>
  </x:si>
  <x:si>
    <x:t xml:space="preserve">KPI-61</x:t>
  </x:si>
  <x:si>
    <x:t xml:space="preserve">Draft Offer Count                        </x:t>
  </x:si>
  <x:si>
    <x:t xml:space="preserve">KPI-55</x:t>
  </x:si>
  <x:si>
    <x:t xml:space="preserve">Draft Offers Missing Dates               </x:t>
  </x:si>
  <x:si>
    <x:t xml:space="preserve">KPI-56</x:t>
  </x:si>
  <x:si>
    <x:t xml:space="preserve">Draft Offers Updated After Creation      </x:t>
  </x:si>
  <x:si>
    <x:t xml:space="preserve">KPI-54</x:t>
  </x:si>
  <x:si>
    <x:t xml:space="preserve">Draft Offers With Activity Since Creation</x:t>
  </x:si>
  <x:si>
    <x:t xml:space="preserve">KPI-62</x:t>
  </x:si>
  <x:si>
    <x:t xml:space="preserve">Draft With No Activity Since Creation (%)</x:t>
  </x:si>
  <x:si>
    <x:t xml:space="preserve">KPI-58</x:t>
  </x:si>
  <x:si>
    <x:t xml:space="preserve">Drafts No Activity 14+ Days              </x:t>
  </x:si>
  <x:si>
    <x:t xml:space="preserve">KPI-63</x:t>
  </x:si>
  <x:si>
    <x:t xml:space="preserve">Drafts With No Activity 14+ Days         </x:t>
  </x:si>
  <x:si>
    <x:t xml:space="preserve">KPI-92 </x:t>
  </x:si>
  <x:si>
    <x:t xml:space="preserve">[R18,R57]</x:t>
  </x:si>
  <x:si>
    <x:t xml:space="preserve">Emergency Placement Rate                 </x:t>
  </x:si>
  <x:si>
    <x:t xml:space="preserve">R18 emergency placements; R57 emergency reporting           </x:t>
  </x:si>
  <x:si>
    <x:t xml:space="preserve">KPI-91 </x:t>
  </x:si>
  <x:si>
    <x:t xml:space="preserve">Emergency Referrals                      </x:t>
  </x:si>
  <x:si>
    <x:t xml:space="preserve">R18 emergency placements; R57 emergency vs planned reporting</x:t>
  </x:si>
  <x:si>
    <x:t xml:space="preserve">KPI-94 </x:t>
  </x:si>
  <x:si>
    <x:t xml:space="preserve">Emergency vs Planned Split               </x:t>
  </x:si>
  <x:si>
    <x:t xml:space="preserve">R18 emergency placements; R57 reporting split               </x:t>
  </x:si>
  <x:si>
    <x:t xml:space="preserve">KPI-05</x:t>
  </x:si>
  <x:si>
    <x:t xml:space="preserve">Female Referrals</x:t>
  </x:si>
  <x:si>
    <x:t xml:space="preserve">R51 demographic monitoring</x:t>
  </x:si>
  <x:si>
    <x:t xml:space="preserve">Section 1 - Referral Volume KPIs</x:t>
  </x:si>
  <x:si>
    <x:t xml:space="preserve">KPI-52</x:t>
  </x:si>
  <x:si>
    <x:t xml:space="preserve">[R95]    </x:t>
  </x:si>
  <x:si>
    <x:t xml:space="preserve">Fostering Chart Count              </x:t>
  </x:si>
  <x:si>
    <x:t xml:space="preserve">Fostering reporting       </x:t>
  </x:si>
  <x:si>
    <x:t xml:space="preserve">KPI-51</x:t>
  </x:si>
  <x:si>
    <x:t xml:space="preserve">Fostering Providers                </x:t>
  </x:si>
  <x:si>
    <x:t xml:space="preserve">Fostering framework       </x:t>
  </x:si>
  <x:si>
    <x:t xml:space="preserve">[R58]    </x:t>
  </x:si>
  <x:si>
    <x:t xml:space="preserve">Framework Changes During Active Referrals</x:t>
  </x:si>
  <x:si>
    <x:t xml:space="preserve">R58 commissioners alerted to framework changes              </x:t>
  </x:si>
  <x:si>
    <x:t xml:space="preserve">KPI-38</x:t>
  </x:si>
  <x:si>
    <x:t xml:space="preserve">[R67,R68]</x:t>
  </x:si>
  <x:si>
    <x:t xml:space="preserve">Framework Offers (Under Offer Referrals)</x:t>
  </x:si>
  <x:si>
    <x:t xml:space="preserve">Framework management</x:t>
  </x:si>
  <x:si>
    <x:t xml:space="preserve">KPI-45</x:t>
  </x:si>
  <x:si>
    <x:t xml:space="preserve">[R67]    </x:t>
  </x:si>
  <x:si>
    <x:t xml:space="preserve">Framework Providers                </x:t>
  </x:si>
  <x:si>
    <x:t xml:space="preserve">Framework maintenance     </x:t>
  </x:si>
  <x:si>
    <x:t xml:space="preserve">KPI-77</x:t>
  </x:si>
  <x:si>
    <x:t xml:space="preserve">IPA Completed                       </x:t>
  </x:si>
  <x:si>
    <x:t xml:space="preserve">KPI-76</x:t>
  </x:si>
  <x:si>
    <x:t xml:space="preserve">IPA Created                         </x:t>
  </x:si>
  <x:si>
    <x:t xml:space="preserve">KPI-85</x:t>
  </x:si>
  <x:si>
    <x:t xml:space="preserve">IPA Created to Completion %         </x:t>
  </x:si>
  <x:si>
    <x:t xml:space="preserve">KPI-73</x:t>
  </x:si>
  <x:si>
    <x:t xml:space="preserve">IPA Exists                          </x:t>
  </x:si>
  <x:si>
    <x:t xml:space="preserve">KPI-109</x:t>
  </x:si>
  <x:si>
    <x:t xml:space="preserve">[R62]    </x:t>
  </x:si>
  <x:si>
    <x:t xml:space="preserve">IPA Payment Status                       </x:t>
  </x:si>
  <x:si>
    <x:t xml:space="preserve">R62 finance payment reporting                               </x:t>
  </x:si>
  <x:si>
    <x:t xml:space="preserve">KPI-114</x:t>
  </x:si>
  <x:si>
    <x:t xml:space="preserve">[R20,R35]</x:t>
  </x:si>
  <x:si>
    <x:t xml:space="preserve">IPA Signature Completion Rate            </x:t>
  </x:si>
  <x:si>
    <x:t xml:space="preserve">R20 signatures tracked; R35 electronic signatures           </x:t>
  </x:si>
  <x:si>
    <x:t xml:space="preserve">KPI-78</x:t>
  </x:si>
  <x:si>
    <x:t xml:space="preserve">IPAs Pending Completion             </x:t>
  </x:si>
  <x:si>
    <x:t xml:space="preserve">KPI-81</x:t>
  </x:si>
  <x:si>
    <x:t xml:space="preserve">Is Awaiting IPA Creation            </x:t>
  </x:si>
  <x:si>
    <x:t xml:space="preserve">KPI-74</x:t>
  </x:si>
  <x:si>
    <x:t xml:space="preserve">[R28]    </x:t>
  </x:si>
  <x:si>
    <x:t xml:space="preserve">Is In Accepted KPI                  </x:t>
  </x:si>
  <x:si>
    <x:t xml:space="preserve">R28 (accept placements)                     </x:t>
  </x:si>
  <x:si>
    <x:t xml:space="preserve">KPI-82</x:t>
  </x:si>
  <x:si>
    <x:t xml:space="preserve">Is IPA Completed                    </x:t>
  </x:si>
  <x:si>
    <x:t xml:space="preserve">KPI-80</x:t>
  </x:si>
  <x:si>
    <x:t xml:space="preserve">Is IPA Pending                      </x:t>
  </x:si>
  <x:si>
    <x:t xml:space="preserve">KPI-47</x:t>
  </x:si>
  <x:si>
    <x:t xml:space="preserve">[R46]    </x:t>
  </x:si>
  <x:si>
    <x:t xml:space="preserve">Is Non Framework Provider          </x:t>
  </x:si>
  <x:si>
    <x:t xml:space="preserve">QA non-framework providers</x:t>
  </x:si>
  <x:si>
    <x:t xml:space="preserve">[R53]    </x:t>
  </x:si>
  <x:si>
    <x:t xml:space="preserve">Latest Export per Offer  </x:t>
  </x:si>
  <x:si>
    <x:t xml:space="preserve">R53 (export/reporting capability)               </x:t>
  </x:si>
  <x:si>
    <x:t xml:space="preserve">KPI-89</x:t>
  </x:si>
  <x:si>
    <x:t xml:space="preserve">Latest Offer Status Count</x:t>
  </x:si>
  <x:si>
    <x:t xml:space="preserve">R24 (dashboard monitoring)                      </x:t>
  </x:si>
  <x:si>
    <x:t xml:space="preserve">KPI-04</x:t>
  </x:si>
  <x:si>
    <x:t xml:space="preserve">Male Referrals</x:t>
  </x:si>
  <x:si>
    <x:t xml:space="preserve">KPI-110</x:t>
  </x:si>
  <x:si>
    <x:t xml:space="preserve">Messages Sent                            </x:t>
  </x:si>
  <x:si>
    <x:t xml:space="preserve">R14 provider messaging                                      </x:t>
  </x:si>
  <x:si>
    <x:t xml:space="preserve">KPI-11</x:t>
  </x:si>
  <x:si>
    <x:t xml:space="preserve">[R25,R26]</x:t>
  </x:si>
  <x:si>
    <x:t xml:space="preserve">No. Providers Who Made Offers</x:t>
  </x:si>
  <x:si>
    <x:t xml:space="preserve">R25 review requests; R26 prioritise requests</x:t>
  </x:si>
  <x:si>
    <x:t xml:space="preserve">KPI-46</x:t>
  </x:si>
  <x:si>
    <x:t xml:space="preserve">NON Framework Providers            </x:t>
  </x:si>
  <x:si>
    <x:t xml:space="preserve">KPI-28</x:t>
  </x:si>
  <x:si>
    <x:t xml:space="preserve">[R25-R29]</x:t>
  </x:si>
  <x:si>
    <x:t xml:space="preserve">Offer Count</x:t>
  </x:si>
  <x:si>
    <x:t xml:space="preserve">Provider offer management</x:t>
  </x:si>
  <x:si>
    <x:t xml:space="preserve">KPI-36</x:t>
  </x:si>
  <x:si>
    <x:t xml:space="preserve">Offer IDs (Under Offer Referrals)</x:t>
  </x:si>
  <x:si>
    <x:t xml:space="preserve">KPI-70</x:t>
  </x:si>
  <x:si>
    <x:t xml:space="preserve">Offers At Risk (8–14 Days)               </x:t>
  </x:si>
  <x:si>
    <x:t xml:space="preserve">KPI-79</x:t>
  </x:si>
  <x:si>
    <x:t xml:space="preserve">Offers Awaiting IPA Creation        </x:t>
  </x:si>
  <x:si>
    <x:t xml:space="preserve">KPI-17</x:t>
  </x:si>
  <x:si>
    <x:t xml:space="preserve">[R24]</x:t>
  </x:si>
  <x:si>
    <x:t xml:space="preserve">Offers in Draft (Under Offer Referrals)</x:t>
  </x:si>
  <x:si>
    <x:t xml:space="preserve">R24 dashboard tasks</x:t>
  </x:si>
  <x:si>
    <x:t xml:space="preserve">KPI-71</x:t>
  </x:si>
  <x:si>
    <x:t xml:space="preserve">Offers Outside Timeframe (15–30 Days)    </x:t>
  </x:si>
  <x:si>
    <x:t xml:space="preserve">KPI-37</x:t>
  </x:si>
  <x:si>
    <x:t xml:space="preserve">[R26]</x:t>
  </x:si>
  <x:si>
    <x:t xml:space="preserve">Offers per Provider (Under Offer Referrals)</x:t>
  </x:si>
  <x:si>
    <x:t xml:space="preserve">Prioritise requests</x:t>
  </x:si>
  <x:si>
    <x:t xml:space="preserve">KPI-84</x:t>
  </x:si>
  <x:si>
    <x:t xml:space="preserve">Offers Still to Progress to IPA     </x:t>
  </x:si>
  <x:si>
    <x:t xml:space="preserve">KPI-60</x:t>
  </x:si>
  <x:si>
    <x:t xml:space="preserve">Oldest Draft Age (Days)                  </x:t>
  </x:si>
  <x:si>
    <x:t xml:space="preserve">KPI-06</x:t>
  </x:si>
  <x:si>
    <x:t xml:space="preserve">Other Referrals</x:t>
  </x:si>
  <x:si>
    <x:t xml:space="preserve">KPI-96 </x:t>
  </x:si>
  <x:si>
    <x:t xml:space="preserve">[R22]    </x:t>
  </x:si>
  <x:si>
    <x:t xml:space="preserve">Out-of-Region Placement Rate             </x:t>
  </x:si>
  <x:si>
    <x:t xml:space="preserve">R22 out-of-region placement reporting                       </x:t>
  </x:si>
  <x:si>
    <x:t xml:space="preserve">KPI-95 </x:t>
  </x:si>
  <x:si>
    <x:t xml:space="preserve">Out-of-Region Referrals                  </x:t>
  </x:si>
  <x:si>
    <x:t xml:space="preserve">R22 out-of-region placements tagged and reported            </x:t>
  </x:si>
  <x:si>
    <x:t xml:space="preserve">KPI-90</x:t>
  </x:si>
  <x:si>
    <x:t xml:space="preserve">Overlap Referrals        </x:t>
  </x:si>
  <x:si>
    <x:t xml:space="preserve">R22 (out-of-region placements - partial)        </x:t>
  </x:si>
  <x:si>
    <x:t xml:space="preserve">KPI-108</x:t>
  </x:si>
  <x:si>
    <x:t xml:space="preserve">Payment Method Breakdown                 </x:t>
  </x:si>
  <x:si>
    <x:t xml:space="preserve">KPI-18</x:t>
  </x:si>
  <x:si>
    <x:t xml:space="preserve">Pending Offers (Under Offer Referrals)</x:t>
  </x:si>
  <x:si>
    <x:t xml:space="preserve">KPI-67</x:t>
  </x:si>
  <x:si>
    <x:t xml:space="preserve">Pending Offers 0–7 Days                  </x:t>
  </x:si>
  <x:si>
    <x:t xml:space="preserve">KPI-65</x:t>
  </x:si>
  <x:si>
    <x:t xml:space="preserve">Pending Offers 15–30 Days                </x:t>
  </x:si>
  <x:si>
    <x:t xml:space="preserve">KPI-66</x:t>
  </x:si>
  <x:si>
    <x:t xml:space="preserve">Pending Offers 30+ Days                  </x:t>
  </x:si>
  <x:si>
    <x:t xml:space="preserve">KPI-68</x:t>
  </x:si>
  <x:si>
    <x:t xml:space="preserve">Pending Offers 8–14 Days                 </x:t>
  </x:si>
  <x:si>
    <x:t xml:space="preserve">KPI-64</x:t>
  </x:si>
  <x:si>
    <x:t xml:space="preserve">Pending Offers by Age Bucket             </x:t>
  </x:si>
  <x:si>
    <x:t xml:space="preserve">KPI-26</x:t>
  </x:si>
  <x:si>
    <x:t xml:space="preserve">[R13]</x:t>
  </x:si>
  <x:si>
    <x:t xml:space="preserve">Placement Type Totals (Visual)</x:t>
  </x:si>
  <x:si>
    <x:t xml:space="preserve">Placement type filtering</x:t>
  </x:si>
  <x:si>
    <x:t xml:space="preserve">Section 4 - Spot vs Framework</x:t>
  </x:si>
  <x:si>
    <x:t xml:space="preserve">KPI-93 </x:t>
  </x:si>
  <x:si>
    <x:t xml:space="preserve">[R57]    </x:t>
  </x:si>
  <x:si>
    <x:t xml:space="preserve">Planned Referrals                        </x:t>
  </x:si>
  <x:si>
    <x:t xml:space="preserve">R57 planned placements separately reportable                </x:t>
  </x:si>
  <x:si>
    <x:t xml:space="preserve">KPI-112</x:t>
  </x:si>
  <x:si>
    <x:t xml:space="preserve">Priority Messages Unread                 </x:t>
  </x:si>
  <x:si>
    <x:t xml:space="preserve">R14 urgent message tracking                                 </x:t>
  </x:si>
  <x:si>
    <x:t xml:space="preserve">[R49]    </x:t>
  </x:si>
  <x:si>
    <x:t xml:space="preserve">Provider Due Diligence Status            </x:t>
  </x:si>
  <x:si>
    <x:t xml:space="preserve">R49 provider due diligence monitoring                       </x:t>
  </x:si>
  <x:si>
    <x:t xml:space="preserve">KPI-40</x:t>
  </x:si>
  <x:si>
    <x:t xml:space="preserve">[R91,R93]</x:t>
  </x:si>
  <x:si>
    <x:t xml:space="preserve">Provider Homes Registered          </x:t>
  </x:si>
  <x:si>
    <x:t xml:space="preserve">Registration; directory   </x:t>
  </x:si>
  <x:si>
    <x:t xml:space="preserve">KPI-116</x:t>
  </x:si>
  <x:si>
    <x:t xml:space="preserve">Provider Onboarding Pipeline             </x:t>
  </x:si>
  <x:si>
    <x:t xml:space="preserve">KPI-69</x:t>
  </x:si>
  <x:si>
    <x:t xml:space="preserve">Provider with Offers over 30+ Days       </x:t>
  </x:si>
  <x:si>
    <x:t xml:space="preserve">R24 (dashboard task management), R26 (prioritise requests)</x:t>
  </x:si>
  <x:si>
    <x:t xml:space="preserve">KPI-42</x:t>
  </x:si>
  <x:si>
    <x:t xml:space="preserve">Providers - Fostering              </x:t>
  </x:si>
  <x:si>
    <x:t xml:space="preserve">KPI-43</x:t>
  </x:si>
  <x:si>
    <x:t xml:space="preserve">[R96]    </x:t>
  </x:si>
  <x:si>
    <x:t xml:space="preserve">Providers - Residential            </x:t>
  </x:si>
  <x:si>
    <x:t xml:space="preserve">Residential Framework 2.0 </x:t>
  </x:si>
  <x:si>
    <x:t xml:space="preserve">KPI-44</x:t>
  </x:si>
  <x:si>
    <x:t xml:space="preserve">[R91]    </x:t>
  </x:si>
  <x:si>
    <x:t xml:space="preserve">Providers - Supported Accommodation</x:t>
  </x:si>
  <x:si>
    <x:t xml:space="preserve">Registration              </x:t>
  </x:si>
  <x:si>
    <x:t xml:space="preserve">KPI-102</x:t>
  </x:si>
  <x:si>
    <x:t xml:space="preserve">Providers Blocked (Incomplete Docs)      </x:t>
  </x:si>
  <x:si>
    <x:t xml:space="preserve">R48 exclude providers with incomplete documentation         </x:t>
  </x:si>
  <x:si>
    <x:t xml:space="preserve">KPI-41</x:t>
  </x:si>
  <x:si>
    <x:t xml:space="preserve">Providers Registered               </x:t>
  </x:si>
  <x:si>
    <x:t xml:space="preserve">KPI-97 </x:t>
  </x:si>
  <x:si>
    <x:t xml:space="preserve">[R41]    </x:t>
  </x:si>
  <x:si>
    <x:t xml:space="preserve">Providers with QA Flags                  </x:t>
  </x:si>
  <x:si>
    <x:t xml:space="preserve">R41 advisory notices and safeguarding flags                 </x:t>
  </x:si>
  <x:si>
    <x:t xml:space="preserve">KPI-98 </x:t>
  </x:si>
  <x:si>
    <x:t xml:space="preserve">QA Flag Type Breakdown                   </x:t>
  </x:si>
  <x:si>
    <x:t xml:space="preserve">R41 information notices and safeguarding concerns           </x:t>
  </x:si>
  <x:si>
    <x:t xml:space="preserve">KPI-99 </x:t>
  </x:si>
  <x:si>
    <x:t xml:space="preserve">QA Flagged Providers by Home             </x:t>
  </x:si>
  <x:si>
    <x:t xml:space="preserve">[R19]    </x:t>
  </x:si>
  <x:si>
    <x:t xml:space="preserve">Referral Updates per Day                 </x:t>
  </x:si>
  <x:si>
    <x:t xml:space="preserve">R19 referral maintenance and provider notification          </x:t>
  </x:si>
  <x:si>
    <x:t xml:space="preserve">KPI-03</x:t>
  </x:si>
  <x:si>
    <x:t xml:space="preserve">Referrals Awaiting Offer</x:t>
  </x:si>
  <x:si>
    <x:t xml:space="preserve">R24 referral status; R36 outstanding offers</x:t>
  </x:si>
  <x:si>
    <x:t xml:space="preserve">KPI-31</x:t>
  </x:si>
  <x:si>
    <x:t xml:space="preserve">Referrals Cancelled/Closed</x:t>
  </x:si>
  <x:si>
    <x:t xml:space="preserve">Placement filtering</x:t>
  </x:si>
  <x:si>
    <x:t xml:space="preserve">KPI-29</x:t>
  </x:si>
  <x:si>
    <x:t xml:space="preserve">Referrals Currently Active</x:t>
  </x:si>
  <x:si>
    <x:t xml:space="preserve">Dashboard</x:t>
  </x:si>
  <x:si>
    <x:t xml:space="preserve">KPI-08</x:t>
  </x:si>
  <x:si>
    <x:t xml:space="preserve">Referrals Not Yet Closed (Created in Period)</x:t>
  </x:si>
  <x:si>
    <x:t xml:space="preserve">R24 dashboard</x:t>
  </x:si>
  <x:si>
    <x:t xml:space="preserve">KPI-24</x:t>
  </x:si>
  <x:si>
    <x:t xml:space="preserve">[R52]</x:t>
  </x:si>
  <x:si>
    <x:t xml:space="preserve">Referrals This FY</x:t>
  </x:si>
  <x:si>
    <x:t xml:space="preserve">Reporting</x:t>
  </x:si>
  <x:si>
    <x:t xml:space="preserve">Section 3 - Timebased</x:t>
  </x:si>
  <x:si>
    <x:t xml:space="preserve">KPI-23</x:t>
  </x:si>
  <x:si>
    <x:t xml:space="preserve">[R24,R52]</x:t>
  </x:si>
  <x:si>
    <x:t xml:space="preserve">Referrals This Month</x:t>
  </x:si>
  <x:si>
    <x:t xml:space="preserve">Dashboard; reporting</x:t>
  </x:si>
  <x:si>
    <x:t xml:space="preserve">KPI-02</x:t>
  </x:si>
  <x:si>
    <x:t xml:space="preserve">Referrals With Offers</x:t>
  </x:si>
  <x:si>
    <x:t xml:space="preserve">KPI-09</x:t>
  </x:si>
  <x:si>
    <x:t xml:space="preserve">[R24,R51]</x:t>
  </x:si>
  <x:si>
    <x:t xml:space="preserve">Referrals With Offers (Created in Period)</x:t>
  </x:si>
  <x:si>
    <x:t xml:space="preserve">R24 dashboard; R51 reporting</x:t>
  </x:si>
  <x:si>
    <x:t xml:space="preserve">KPI-33</x:t>
  </x:si>
  <x:si>
    <x:t xml:space="preserve">Referrals With One or More Offers</x:t>
  </x:si>
  <x:si>
    <x:t xml:space="preserve">KPI-49</x:t>
  </x:si>
  <x:si>
    <x:t xml:space="preserve">Residential Homes                  </x:t>
  </x:si>
  <x:si>
    <x:t xml:space="preserve">Residential framework     </x:t>
  </x:si>
  <x:si>
    <x:t xml:space="preserve">KPI-27</x:t>
  </x:si>
  <x:si>
    <x:t xml:space="preserve">[R18]</x:t>
  </x:si>
  <x:si>
    <x:t xml:space="preserve">Spot Offers (Under Offer Referrals)</x:t>
  </x:si>
  <x:si>
    <x:t xml:space="preserve">Emergency placement reporting</x:t>
  </x:si>
  <x:si>
    <x:t xml:space="preserve">KPI-15</x:t>
  </x:si>
  <x:si>
    <x:t xml:space="preserve">[R28]</x:t>
  </x:si>
  <x:si>
    <x:t xml:space="preserve">Successful Offers (Under Offer Referrals)</x:t>
  </x:si>
  <x:si>
    <x:t xml:space="preserve">R28 accept placements</x:t>
  </x:si>
  <x:si>
    <x:t xml:space="preserve">KPI-86</x:t>
  </x:si>
  <x:si>
    <x:t xml:space="preserve">Successful Offers to IPA Completed %</x:t>
  </x:si>
  <x:si>
    <x:t xml:space="preserve">KPI-50</x:t>
  </x:si>
  <x:si>
    <x:t xml:space="preserve">Supported Accommodation Homes      </x:t>
  </x:si>
  <x:si>
    <x:t xml:space="preserve">KPI-07</x:t>
  </x:si>
  <x:si>
    <x:t xml:space="preserve">Total Gendered Referrals</x:t>
  </x:si>
  <x:si>
    <x:t xml:space="preserve">KPI-25</x:t>
  </x:si>
  <x:si>
    <x:t xml:space="preserve">Total Offers Made</x:t>
  </x:si>
  <x:si>
    <x:t xml:space="preserve">KPI-35</x:t>
  </x:si>
  <x:si>
    <x:t xml:space="preserve">Total Offers Made (Active Referrals Under Offer)</x:t>
  </x:si>
  <x:si>
    <x:t xml:space="preserve">KPI-12</x:t>
  </x:si>
  <x:si>
    <x:t xml:space="preserve">Total Offers Made Historically</x:t>
  </x:si>
  <x:si>
    <x:t xml:space="preserve">KPI-01</x:t>
  </x:si>
  <x:si>
    <x:t xml:space="preserve">Total Referrals</x:t>
  </x:si>
  <x:si>
    <x:t xml:space="preserve">R24 dashboard referral status overview; R51 robust data model</x:t>
  </x:si>
  <x:si>
    <x:t xml:space="preserve">KPI-10</x:t>
  </x:si>
  <x:si>
    <x:t xml:space="preserve">Total Referrals That Received Offers</x:t>
  </x:si>
  <x:si>
    <x:t xml:space="preserve">R51 referral offer rate</x:t>
  </x:si>
  <x:si>
    <x:t xml:space="preserve">KPI-107</x:t>
  </x:si>
  <x:si>
    <x:t xml:space="preserve">Total Weekly Fee Liability               </x:t>
  </x:si>
  <x:si>
    <x:t xml:space="preserve">KPI-16</x:t>
  </x:si>
  <x:si>
    <x:t xml:space="preserve">Unsuccessful Offers (Under Offer Referrals)</x:t>
  </x:si>
  <x:si>
    <x:t xml:space="preserve">R28 reject placements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</x:si>
</x:sst>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Aptos Narrow"/>
      <x:family val="2"/>
      <x:scheme val="minor"/>
    </x:font>
    <x:font>
      <x:sz val="11"/>
      <x:color rgb="FF006100"/>
      <x:name val="Aptos Narrow"/>
      <x:family val="2"/>
      <x:scheme val="minor"/>
    </x:font>
    <x:font>
      <x:sz val="11"/>
      <x:color rgb="FF9C0006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4"/>
      <x:color rgb="FF17365D"/>
      <x:name val="Arial"/>
      <x:family val="2"/>
      <x:scheme val="minor"/>
    </x:font>
    <x:font>
      <x:b/>
      <x:sz val="12"/>
      <x:color rgb="FF17365D"/>
      <x:name val="Arial"/>
      <x:family val="2"/>
      <x:scheme val="minor"/>
    </x:font>
    <x:font>
      <x:sz val="10"/>
      <x:color theme="1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2" borderId="0" applyNumberFormat="0" applyBorder="0" applyAlignment="0" applyProtection="0"/>
    <x:xf numFmtId="0" fontId="2" fillId="3" borderId="0" applyNumberFormat="0" applyBorder="0" applyAlignment="0" applyProtection="0"/>
  </x:cellStyleXfs>
  <x:cellXfs count="28">
    <x:xf numFmtId="0" fontId="0" fillId="0" borderId="0" xfId="0"/>
    <x:xf numFmtId="1" fontId="0" fillId="0" borderId="0" xfId="0" applyNumberFormat="1"/>
    <x:xf numFmtId="0" fontId="3" fillId="0" borderId="0" xfId="0" applyFont="1"/>
    <x:xf numFmtId="0" fontId="1" fillId="2" borderId="0" xfId="1"/>
    <x:xf numFmtId="0" fontId="2" fillId="3" borderId="0" xfId="2"/>
    <x:xf numFmtId="0" fontId="3" fillId="4" borderId="0" xfId="0" applyFont="1" applyFill="1"/>
    <x:xf numFmtId="0" fontId="0" fillId="4" borderId="0" xfId="0" applyFill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</x:cellXfs>
  <x:cellStyles count="3">
    <x:cellStyle name="Bad" xfId="2"/>
    <x:cellStyle name="Goo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98ebbc5c44498" /><Relationship Type="http://schemas.openxmlformats.org/officeDocument/2006/relationships/theme" Target="/xl/theme/theme1.xml" Id="Rc60c9060f3fb4d20" /><Relationship Type="http://schemas.openxmlformats.org/officeDocument/2006/relationships/sharedStrings" Target="/xl/sharedStrings.xml" Id="R10c8e607df80445f" /><Relationship Type="http://schemas.openxmlformats.org/officeDocument/2006/relationships/worksheet" Target="/xl/worksheets/sheet1.xml" Id="R2cbda54bfa464d90" /><Relationship Type="http://schemas.openxmlformats.org/officeDocument/2006/relationships/worksheet" Target="/xl/worksheets/sheet2.xml" Id="R414e06d7dce34a49" /><Relationship Type="http://schemas.openxmlformats.org/officeDocument/2006/relationships/worksheet" Target="/xl/worksheets/sheet3.xml" Id="Rf23e02971a2f4e0f" /><Relationship Type="http://schemas.openxmlformats.org/officeDocument/2006/relationships/worksheet" Target="/xl/worksheets/sheet4.xml" Id="Rfc20f84c7c6b4dd7" /></Relationships>
</file>

<file path=xl/tables/table1.xml><?xml version="1.0" encoding="utf-8"?>
<x:table xmlns:x="http://schemas.openxmlformats.org/spreadsheetml/2006/main" id="1" name="LegendSourceCoverage" displayName="LegendSourceCoverage" ref="A5:I21" headerRowCount="1" totalsRowCount="0" totalsRowShown="0">
  <x:tableColumns count="9">
    <x:tableColumn id="1" name="Requirement / capability"/>
    <x:tableColumn id="2" name="Required source entity / extract"/>
    <x:tableColumn id="3" name="Expected Bronze → Silver table"/>
    <x:tableColumn id="4" name="Fields needed"/>
    <x:tableColumn id="5" name="Source / Silver evidence"/>
    <x:tableColumn id="6" name="Current Gold publication"/>
    <x:tableColumn id="7" name="Gold coverage"/>
    <x:tableColumn id="8" name="Action / conclusion"/>
    <x:tableColumn id="9" name="KPI DAX eligi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gendRequirements" displayName="LegendRequirements" ref="A25:I105" headerRowCount="1" totalsRowCount="0" totalsRowShown="0">
  <x:tableColumns count="9">
    <x:tableColumn id="1" name="Req ID"/>
    <x:tableColumn id="2" name="Requirement"/>
    <x:tableColumn id="3" name="Business dashboard evidence"/>
    <x:tableColumn id="4" name="Mission Control contribution"/>
    <x:tableColumn id="5" name="Status"/>
    <x:tableColumn id="6" name="Gap / Notes"/>
    <x:tableColumn id="7" name="Suggested Action"/>
    <x:tableColumn id="8" name="Previous assessment"/>
    <x:tableColumn id="9" name="Evidence / assessment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gendGoldCatalogue" displayName="LegendGoldCatalogue" ref="A109:I253" headerRowCount="1" totalsRowCount="0" totalsRowShown="0">
  <x:tableColumns count="9">
    <x:tableColumn id="1" name="Gold KPI ID"/>
    <x:tableColumn id="2" name="Business area"/>
    <x:tableColumn id="3" name="DAX measure"/>
    <x:tableColumn id="4" name="Legacy KPI mapping"/>
    <x:tableColumn id="5" name="Requirement IDs"/>
    <x:tableColumn id="6" name="WIP source tables"/>
    <x:tableColumn id="7" name="Implementation status"/>
    <x:tableColumn id="8" name="Meaning / remaining check"/>
    <x:tableColumn id="9" name="Calculation logi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endMissionControl" displayName="LegendMissionControl" ref="A257:I533" headerRowCount="1" totalsRowCount="0" totalsRowShown="0">
  <x:tableColumns count="9">
    <x:tableColumn id="1" name="Measure"/>
    <x:tableColumn id="2" name="Measure container"/>
    <x:tableColumn id="3" name="DAX calculation"/>
    <x:tableColumn id="4" name="Physical/model sources"/>
    <x:tableColumn id="5" name="Direct visible-page bindings"/>
    <x:tableColumn id="6" name="Req ID support (proposed)"/>
    <x:tableColumn id="7" name="Python / Spark SQL producer"/>
    <x:tableColumn id="8" name="Assessment boundary"/>
    <x:tableColumn id="9" name="Definition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gendModelInventory" displayName="LegendModelInventory" ref="A537:I608" headerRowCount="1" totalsRowCount="0" totalsRowShown="0">
  <x:tableColumns count="9">
    <x:tableColumn id="1" name="Model table"/>
    <x:tableColumn id="2" name="Source schema / kind"/>
    <x:tableColumn id="3" name="Source object"/>
    <x:tableColumn id="4" name="Column definitions"/>
    <x:tableColumn id="5" name="Partition interpretation"/>
    <x:tableColumn id="6" name="Definition member"/>
    <x:tableColumn id="7" name="Assessment date"/>
    <x:tableColumn id="8" name="Source commit"/>
    <x:tableColumn id="9" name="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gendPriorGaps" displayName="LegendPriorGaps" ref="A612:G622" headerRowCount="1" totalsRowCount="0" totalsRowShown="0">
  <x:tableColumns count="7">
    <x:tableColumn id="1" name="Gap ID"/>
    <x:tableColumn id="2" name="Business area"/>
    <x:tableColumn id="3" name="KPI / capability"/>
    <x:tableColumn id="4" name="Legacy KPI mapping"/>
    <x:tableColumn id="5" name="Requirement IDs"/>
    <x:tableColumn id="6" name="Status"/>
    <x:tableColumn id="7" name="Reason / next Gold-model 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3cb4cf96aae491b" /><Relationship Type="http://schemas.openxmlformats.org/officeDocument/2006/relationships/table" Target="/xl/tables/table2.xml" Id="R860ec25cbe3c48df" /><Relationship Type="http://schemas.openxmlformats.org/officeDocument/2006/relationships/table" Target="/xl/tables/table3.xml" Id="R99fa784bf1e24ed4" /><Relationship Type="http://schemas.openxmlformats.org/officeDocument/2006/relationships/table" Target="/xl/tables/table4.xml" Id="R3928d7302fbb4a37" /><Relationship Type="http://schemas.openxmlformats.org/officeDocument/2006/relationships/table" Target="/xl/tables/table5.xml" Id="R0c3590b9700d4443" /><Relationship Type="http://schemas.openxmlformats.org/officeDocument/2006/relationships/table" Target="/xl/tables/table6.xml" Id="Rfcfc9dd79477432c" /></Relationships>
</file>

<file path=xl/worksheets/sheet1.xml><?xml version="1.0" encoding="utf-8"?>
<x:worksheet xmlns:x="http://schemas.openxmlformats.org/spreadsheetml/2006/main">
  <x:sheetFormatPr defaultRowHeight="15"/>
  <x:cols>
    <x:col min="1" max="1" width="10.453125" style="1" customWidth="1"/>
    <x:col min="2" max="2" width="10.7265625" customWidth="1"/>
    <x:col min="3" max="3" width="65.54296875" customWidth="1"/>
    <x:col min="4" max="4" width="17.7265625" customWidth="1"/>
    <x:col min="5" max="5" width="16.54296875" customWidth="1"/>
    <x:col min="6" max="6" width="20.1796875" customWidth="1"/>
    <x:col min="7" max="7" width="21.1796875" customWidth="1"/>
    <x:col min="8" max="8" width="34.54296875" customWidth="1"/>
    <x:col min="9" max="9" width="25.7265625" customWidth="1"/>
    <x:col min="11" max="11" width="15.1796875" customWidth="1"/>
  </x:cols>
  <x:sheetData>
    <x:row r="1" ht="30" customHeight="1">
      <x:c r="A1" s="19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/>
      <x:c r="K1" s="7" t="s">
        <x:v>9</x:v>
      </x:c>
    </x:row>
    <x:row r="2" ht="85" customHeight="1">
      <x:c r="A2" s="11" t="n">
        <x:f t="shared" ref="A2:A65" si="0">VALUE(TRIM(SUBSTITUTE(B2,"R","",1)))</x:f>
        <x:v>1</x:v>
      </x:c>
      <x:c r="B2" s="12" t="s">
        <x:v>10</x:v>
      </x:c>
      <x:c r="C2" s="13" t="s">
        <x:v>11</x:v>
      </x:c>
      <x:c r="D2" s="13" t="s">
        <x:v>12</x:v>
      </x:c>
      <x:c r="E2" s="13" t="s">
        <x:v>13</x:v>
      </x:c>
      <x:c r="F2" s="13" t="s">
        <x:v>14</x:v>
      </x:c>
      <x:c r="G2" s="13" t="str">
        <x:v>Partial reporting</x:v>
      </x:c>
      <x:c r="H2" s="13" t="str">
        <x:v>The report exposes demand and assignments; it does not publish referrals or place children. Support-needs analysis is not in the WIP model. Historical v1 status: ✅ Implemented.</x:v>
      </x:c>
      <x:c r="I2" s="13" t="str">
        <x:v>Validate explorer results and obtain portal-workflow evidence.</x:v>
      </x:c>
      <x:c r="J2" s="13"/>
      <x:c r="K2" s="13"/>
    </x:row>
    <x:row r="3" ht="72" customHeight="1">
      <x:c r="A3" s="11">
        <x:f t="shared" si="0"/>
        <x:v>2</x:v>
      </x:c>
      <x:c r="B3" s="12" t="s">
        <x:v>15</x:v>
      </x:c>
      <x:c r="C3" s="13" t="s">
        <x:v>16</x:v>
      </x:c>
      <x:c r="D3" s="13" t="s">
        <x:v>17</x:v>
      </x:c>
      <x:c r="E3" s="13" t="s">
        <x:v>18</x:v>
      </x:c>
      <x:c r="F3" s="13" t="s">
        <x:v>19</x:v>
      </x:c>
      <x:c r="G3" s="13" t="str">
        <x:v>Outside report assessment</x:v>
      </x:c>
      <x:c r="H3" s="13" t="str">
        <x:v>Architecture, procurement, API or data-entry requirement; a KPI cannot establish compliance. Historical v1 status: ℹ️ Non-functional.</x:v>
      </x:c>
      <x:c r="I3" s="13" t="str">
        <x:v>Retain source-system or project acceptance evidence.</x:v>
      </x:c>
      <x:c r="J3" s="13"/>
      <x:c r="K3" s="13"/>
    </x:row>
    <x:row r="4" ht="72" customHeight="1">
      <x:c r="A4" s="11">
        <x:f t="shared" si="0"/>
        <x:v>3</x:v>
      </x:c>
      <x:c r="B4" s="12" t="s">
        <x:v>20</x:v>
      </x:c>
      <x:c r="C4" s="13" t="s">
        <x:v>21</x:v>
      </x:c>
      <x:c r="D4" s="13" t="s">
        <x:v>17</x:v>
      </x:c>
      <x:c r="E4" s="13" t="s">
        <x:v>13</x:v>
      </x:c>
      <x:c r="F4" s="13" t="s">
        <x:v>19</x:v>
      </x:c>
      <x:c r="G4" s="13" t="str">
        <x:v>Outside report assessment</x:v>
      </x:c>
      <x:c r="H4" s="13" t="str">
        <x:v>Architecture, procurement, API or data-entry requirement; a KPI cannot establish compliance. Historical v1 status: ℹ️ Non-functional.</x:v>
      </x:c>
      <x:c r="I4" s="13" t="str">
        <x:v>Retain source-system or project acceptance evidence.</x:v>
      </x:c>
      <x:c r="J4" s="13"/>
      <x:c r="K4" s="13"/>
    </x:row>
    <x:row r="5" ht="72" customHeight="1">
      <x:c r="A5" s="11">
        <x:f t="shared" si="0"/>
        <x:v>4</x:v>
      </x:c>
      <x:c r="B5" s="12" t="s">
        <x:v>22</x:v>
      </x:c>
      <x:c r="C5" s="13" t="s">
        <x:v>23</x:v>
      </x:c>
      <x:c r="D5" s="13" t="s">
        <x:v>17</x:v>
      </x:c>
      <x:c r="E5" s="13" t="s">
        <x:v>18</x:v>
      </x:c>
      <x:c r="F5" s="13" t="s">
        <x:v>19</x:v>
      </x:c>
      <x:c r="G5" s="13" t="str">
        <x:v>Outside report assessment</x:v>
      </x:c>
      <x:c r="H5" s="13" t="str">
        <x:v>Architecture, procurement, API or data-entry requirement; a KPI cannot establish compliance. Historical v1 status: ℹ️ Non-functional.</x:v>
      </x:c>
      <x:c r="I5" s="13" t="str">
        <x:v>Retain source-system or project acceptance evidence.</x:v>
      </x:c>
      <x:c r="J5" s="13"/>
      <x:c r="K5" s="13"/>
    </x:row>
    <x:row r="6" ht="72" customHeight="1">
      <x:c r="A6" s="11">
        <x:f t="shared" si="0"/>
        <x:v>5</x:v>
      </x:c>
      <x:c r="B6" s="12" t="s">
        <x:v>24</x:v>
      </x:c>
      <x:c r="C6" s="13" t="s">
        <x:v>25</x:v>
      </x:c>
      <x:c r="D6" s="13" t="s">
        <x:v>17</x:v>
      </x:c>
      <x:c r="E6" s="13" t="s">
        <x:v>18</x:v>
      </x:c>
      <x:c r="F6" s="13" t="s">
        <x:v>19</x:v>
      </x:c>
      <x:c r="G6" s="13" t="str">
        <x:v>Outside report assessment</x:v>
      </x:c>
      <x:c r="H6" s="13" t="str">
        <x:v>Architecture, procurement, API or data-entry requirement; a KPI cannot establish compliance. Historical v1 status: ℹ️ Non-functional.</x:v>
      </x:c>
      <x:c r="I6" s="13" t="str">
        <x:v>Retain source-system or project acceptance evidence.</x:v>
      </x:c>
      <x:c r="J6" s="13"/>
      <x:c r="K6" s="13"/>
    </x:row>
    <x:row r="7" ht="72" customHeight="1">
      <x:c r="A7" s="11">
        <x:f t="shared" si="0"/>
        <x:v>6</x:v>
      </x:c>
      <x:c r="B7" s="12" t="s">
        <x:v>26</x:v>
      </x:c>
      <x:c r="C7" s="13" t="s">
        <x:v>27</x:v>
      </x:c>
      <x:c r="D7" s="13" t="s">
        <x:v>17</x:v>
      </x:c>
      <x:c r="E7" s="13" t="s">
        <x:v>18</x:v>
      </x:c>
      <x:c r="F7" s="13" t="s">
        <x:v>19</x:v>
      </x:c>
      <x:c r="G7" s="13" t="str">
        <x:v>Outside report assessment</x:v>
      </x:c>
      <x:c r="H7" s="13" t="str">
        <x:v>Architecture, procurement, API or data-entry requirement; a KPI cannot establish compliance. Historical v1 status: ℹ️ Non-functional.</x:v>
      </x:c>
      <x:c r="I7" s="13" t="str">
        <x:v>Retain source-system or project acceptance evidence.</x:v>
      </x:c>
      <x:c r="J7" s="13"/>
      <x:c r="K7" s="13"/>
    </x:row>
    <x:row r="8" ht="72" customHeight="1">
      <x:c r="A8" s="11">
        <x:f t="shared" si="0"/>
        <x:v>7</x:v>
      </x:c>
      <x:c r="B8" s="12" t="s">
        <x:v>28</x:v>
      </x:c>
      <x:c r="C8" s="13" t="s">
        <x:v>29</x:v>
      </x:c>
      <x:c r="D8" s="13" t="s">
        <x:v>17</x:v>
      </x:c>
      <x:c r="E8" s="13" t="s">
        <x:v>13</x:v>
      </x:c>
      <x:c r="F8" s="13" t="s">
        <x:v>19</x:v>
      </x:c>
      <x:c r="G8" s="13" t="str">
        <x:v>Outside report assessment</x:v>
      </x:c>
      <x:c r="H8" s="13" t="str">
        <x:v>Architecture, procurement, API or data-entry requirement; a KPI cannot establish compliance. Historical v1 status: ℹ️ Non-functional.</x:v>
      </x:c>
      <x:c r="I8" s="13" t="str">
        <x:v>Retain source-system or project acceptance evidence.</x:v>
      </x:c>
      <x:c r="J8" s="13"/>
      <x:c r="K8" s="13"/>
    </x:row>
    <x:row r="9" ht="72" customHeight="1">
      <x:c r="A9" s="11">
        <x:f t="shared" si="0"/>
        <x:v>8</x:v>
      </x:c>
      <x:c r="B9" s="12" t="s">
        <x:v>30</x:v>
      </x:c>
      <x:c r="C9" s="13" t="s">
        <x:v>31</x:v>
      </x:c>
      <x:c r="D9" s="13" t="s">
        <x:v>17</x:v>
      </x:c>
      <x:c r="E9" s="13" t="s">
        <x:v>18</x:v>
      </x:c>
      <x:c r="F9" s="13" t="s">
        <x:v>19</x:v>
      </x:c>
      <x:c r="G9" s="13" t="str">
        <x:v>Outside report assessment</x:v>
      </x:c>
      <x:c r="H9" s="13" t="str">
        <x:v>Architecture, procurement, API or data-entry requirement; a KPI cannot establish compliance. Historical v1 status: ℹ️ Non-functional.</x:v>
      </x:c>
      <x:c r="I9" s="13" t="str">
        <x:v>Retain source-system or project acceptance evidence.</x:v>
      </x:c>
      <x:c r="J9" s="13"/>
      <x:c r="K9" s="13"/>
    </x:row>
    <x:row r="10" ht="59" customHeight="1">
      <x:c r="A10" s="11">
        <x:f t="shared" si="0"/>
        <x:v>9</x:v>
      </x:c>
      <x:c r="B10" s="12" t="s">
        <x:v>32</x:v>
      </x:c>
      <x:c r="C10" s="13" t="s">
        <x:v>33</x:v>
      </x:c>
      <x:c r="D10" s="13" t="s">
        <x:v>12</x:v>
      </x:c>
      <x:c r="E10" s="13" t="s">
        <x:v>34</x:v>
      </x:c>
      <x:c r="F10" s="13" t="s">
        <x:v>19</x:v>
      </x:c>
      <x:c r="G10" s="13" t="str">
        <x:v>Outside report assessment</x:v>
      </x:c>
      <x:c r="H10" s="13" t="str">
        <x:v>Architecture, procurement, API or data-entry requirement; a KPI cannot establish compliance. Historical v1 status: ℹ️ Feature.</x:v>
      </x:c>
      <x:c r="I10" s="13" t="str">
        <x:v>Retain source-system or project acceptance evidence.</x:v>
      </x:c>
      <x:c r="J10" s="13"/>
      <x:c r="K10" s="13"/>
    </x:row>
    <x:row r="11" ht="85" customHeight="1">
      <x:c r="A11" s="11">
        <x:f t="shared" si="0"/>
        <x:v>11</x:v>
      </x:c>
      <x:c r="B11" s="12" t="s">
        <x:v>35</x:v>
      </x:c>
      <x:c r="C11" s="13" t="s">
        <x:v>36</x:v>
      </x:c>
      <x:c r="D11" s="13" t="s">
        <x:v>12</x:v>
      </x:c>
      <x:c r="E11" s="13" t="s">
        <x:v>13</x:v>
      </x:c>
      <x:c r="F11" s="13" t="s">
        <x:v>14</x:v>
      </x:c>
      <x:c r="G11" s="13" t="str">
        <x:v>Partial reporting</x:v>
      </x:c>
      <x:c r="H11" s="13" t="str">
        <x:v>The report exposes demand and assignments; it does not publish referrals or place children. Support-needs analysis is not in the WIP model. Historical v1 status: ✅ Implemented.</x:v>
      </x:c>
      <x:c r="I11" s="13" t="str">
        <x:v>Validate explorer results and obtain portal-workflow evidence.</x:v>
      </x:c>
      <x:c r="J11" s="13"/>
      <x:c r="K11" s="13"/>
    </x:row>
    <x:row r="12" ht="85" customHeight="1">
      <x:c r="A12" s="11">
        <x:f t="shared" si="0"/>
        <x:v>12</x:v>
      </x:c>
      <x:c r="B12" s="12" t="s">
        <x:v>37</x:v>
      </x:c>
      <x:c r="C12" s="13" t="s">
        <x:v>38</x:v>
      </x:c>
      <x:c r="D12" s="13" t="s">
        <x:v>17</x:v>
      </x:c>
      <x:c r="E12" s="13" t="s">
        <x:v>13</x:v>
      </x:c>
      <x:c r="F12" s="13" t="s">
        <x:v>19</x:v>
      </x:c>
      <x:c r="G12" s="13" t="str">
        <x:v>Security acceptance pending</x:v>
      </x:c>
      <x:c r="H12" s="13" t="str">
        <x:v>Role definitions exist, but authorised identity tests, access provisioning, small-cell disclosure and break-glass controls are not signed off. Historical v1 status: ℹ️ Security.</x:v>
      </x:c>
      <x:c r="I12" s="13" t="str">
        <x:v>Approve mappings and disclosure policy; execute role and Service-access tests.</x:v>
      </x:c>
      <x:c r="J12" s="13"/>
      <x:c r="K12" s="13"/>
    </x:row>
    <x:row r="13" ht="59" customHeight="1">
      <x:c r="A13" s="11">
        <x:f t="shared" si="0"/>
        <x:v>13</x:v>
      </x:c>
      <x:c r="B13" s="12" t="s">
        <x:v>39</x:v>
      </x:c>
      <x:c r="C13" s="13" t="s">
        <x:v>40</x:v>
      </x:c>
      <x:c r="D13" s="13" t="s">
        <x:v>12</x:v>
      </x:c>
      <x:c r="E13" s="13" t="s">
        <x:v>34</x:v>
      </x:c>
      <x:c r="F13" s="13" t="s">
        <x:v>41</x:v>
      </x:c>
      <x:c r="G13" s="13" t="str">
        <x:v>Built; UAT pending</x:v>
      </x:c>
      <x:c r="H13" s="13" t="str">
        <x:v>Priority and placement urgency band both remain. Category counts are not additive. Historical v1 status: ✅ Implemented.</x:v>
      </x:c>
      <x:c r="I13" s="13" t="str">
        <x:v>Confirm retained priority field and test combined slicers.</x:v>
      </x:c>
      <x:c r="J13" s="13"/>
      <x:c r="K13" s="13"/>
    </x:row>
    <x:row r="14" ht="85" customHeight="1">
      <x:c r="A14" s="11">
        <x:f t="shared" si="0"/>
        <x:v>14</x:v>
      </x:c>
      <x:c r="B14" s="12" t="s">
        <x:v>42</x:v>
      </x:c>
      <x:c r="C14" s="13" t="s">
        <x:v>43</x:v>
      </x:c>
      <x:c r="D14" s="13" t="s">
        <x:v>12</x:v>
      </x:c>
      <x:c r="E14" s="14" t="s">
        <x:v>44</x:v>
      </x:c>
      <x:c r="F14" s="13" t="s">
        <x:v>45</x:v>
      </x:c>
      <x:c r="G14" s="13" t="str">
        <x:v>Partial reporting</x:v>
      </x:c>
      <x:c r="H14" s="15" t="str">
        <x:v>Message text and read timestamps are available. Provider authorship, paired response time and unread-priority semantics remain unapproved. Historical v1 status: ❌ Missing.</x:v>
      </x:c>
      <x:c r="I14" s="13" t="str">
        <x:v>Approve author and unread rules before message SLA KPIs.</x:v>
      </x:c>
      <x:c r="J14" s="13"/>
      <x:c r="K14" s="13" t="s">
        <x:v>46</x:v>
      </x:c>
    </x:row>
    <x:row r="15" ht="72" customHeight="1">
      <x:c r="A15" s="11">
        <x:f t="shared" si="0"/>
        <x:v>15</x:v>
      </x:c>
      <x:c r="B15" s="12" t="s">
        <x:v>47</x:v>
      </x:c>
      <x:c r="C15" s="13" t="s">
        <x:v>48</x:v>
      </x:c>
      <x:c r="D15" s="13" t="s">
        <x:v>12</x:v>
      </x:c>
      <x:c r="E15" s="13" t="s">
        <x:v>13</x:v>
      </x:c>
      <x:c r="F15" s="13" t="s">
        <x:v>49</x:v>
      </x:c>
      <x:c r="G15" s="13" t="str">
        <x:v>Partial reporting</x:v>
      </x:c>
      <x:c r="H15" s="13" t="str">
        <x:v>IPA-grain signing is implemented; the report does not perform signing, approval or certify a full audit trail. Historical v1 status: ✅ Implemented.</x:v>
      </x:c>
      <x:c r="I15" s="13" t="str">
        <x:v>Reconcile both signatures on the same IPA, closed unsigned IPAs and multiple IPAs per offer.</x:v>
      </x:c>
      <x:c r="J15" s="13"/>
      <x:c r="K15" s="13"/>
    </x:row>
    <x:row r="16" ht="59" customHeight="1">
      <x:c r="A16" s="11">
        <x:f t="shared" si="0"/>
        <x:v>16</x:v>
      </x:c>
      <x:c r="B16" s="12" t="s">
        <x:v>50</x:v>
      </x:c>
      <x:c r="C16" s="13" t="s">
        <x:v>51</x:v>
      </x:c>
      <x:c r="D16" s="13" t="s">
        <x:v>12</x:v>
      </x:c>
      <x:c r="E16" s="13" t="s">
        <x:v>34</x:v>
      </x:c>
      <x:c r="F16" s="13" t="s">
        <x:v>19</x:v>
      </x:c>
      <x:c r="G16" s="13" t="str">
        <x:v>Built; UAT pending</x:v>
      </x:c>
      <x:c r="H16" s="13" t="str">
        <x:v>Priority and placement urgency band both remain. Category counts are not additive. Historical v1 status: ℹ️ Feature.</x:v>
      </x:c>
      <x:c r="I16" s="13" t="str">
        <x:v>Confirm retained priority field and test combined slicers.</x:v>
      </x:c>
      <x:c r="J16" s="13"/>
      <x:c r="K16" s="13"/>
    </x:row>
    <x:row r="17" ht="72" customHeight="1">
      <x:c r="A17" s="11">
        <x:f t="shared" si="0"/>
        <x:v>17</x:v>
      </x:c>
      <x:c r="B17" s="12" t="s">
        <x:v>52</x:v>
      </x:c>
      <x:c r="C17" s="13" t="s">
        <x:v>53</x:v>
      </x:c>
      <x:c r="D17" s="13" t="s">
        <x:v>12</x:v>
      </x:c>
      <x:c r="E17" s="13" t="s">
        <x:v>13</x:v>
      </x:c>
      <x:c r="F17" s="13" t="s">
        <x:v>54</x:v>
      </x:c>
      <x:c r="G17" s="13" t="str">
        <x:v>Partial reporting</x:v>
      </x:c>
      <x:c r="H17" s="13" t="str">
        <x:v>Read-only detail and journey evidence exist. Immediate portal availability or write workflows are not proven. Historical v1 status: ✅ Implemented.</x:v>
      </x:c>
      <x:c r="I17" s="13" t="str">
        <x:v>Test referral drillthrough with known records and confirm portal workflow.</x:v>
      </x:c>
      <x:c r="J17" s="13"/>
      <x:c r="K17" s="13"/>
    </x:row>
    <x:row r="18" ht="85" customHeight="1">
      <x:c r="A18" s="11">
        <x:f t="shared" si="0"/>
        <x:v>18</x:v>
      </x:c>
      <x:c r="B18" s="12" t="s">
        <x:v>55</x:v>
      </x:c>
      <x:c r="C18" s="13" t="s">
        <x:v>56</x:v>
      </x:c>
      <x:c r="D18" s="13" t="s">
        <x:v>12</x:v>
      </x:c>
      <x:c r="E18" s="13" t="s">
        <x:v>13</x:v>
      </x:c>
      <x:c r="F18" s="13" t="s">
        <x:v>57</x:v>
      </x:c>
      <x:c r="G18" s="13" t="str">
        <x:v>Partial reporting</x:v>
      </x:c>
      <x:c r="H18" s="15" t="str">
        <x:v>Emergency uses the Gold same-day-date rule on OPEN/UNDER_OFFER referrals, not a statutory emergency source classification or spot status. Historical v1 status: ❌ Missing.</x:v>
      </x:c>
      <x:c r="I18" s="13" t="str">
        <x:v>Approve emergency definition and finance categorisation; test missing and reversed dates.</x:v>
      </x:c>
      <x:c r="J18" s="13"/>
      <x:c r="K18" s="13"/>
    </x:row>
    <x:row r="19" ht="72" customHeight="1">
      <x:c r="A19" s="11">
        <x:f t="shared" si="0"/>
        <x:v>19</x:v>
      </x:c>
      <x:c r="B19" s="12" t="s">
        <x:v>58</x:v>
      </x:c>
      <x:c r="C19" s="13" t="s">
        <x:v>59</x:v>
      </x:c>
      <x:c r="D19" s="13" t="s">
        <x:v>12</x:v>
      </x:c>
      <x:c r="E19" s="15" t="s">
        <x:v>18</x:v>
      </x:c>
      <x:c r="F19" s="13" t="s">
        <x:v>60</x:v>
      </x:c>
      <x:c r="G19" s="13" t="str">
        <x:v>Partial reporting</x:v>
      </x:c>
      <x:c r="H19" s="13" t="str">
        <x:v>Derived lifecycle events do not provide durable full audit history, exact signature events or notification delivery. Historical v1 status: ❌ Missing.</x:v>
      </x:c>
      <x:c r="I19" s="13" t="str">
        <x:v>Confirm event coverage; source durable changes and notification outcomes.</x:v>
      </x:c>
      <x:c r="J19" s="13"/>
      <x:c r="K19" s="13"/>
    </x:row>
    <x:row r="20" ht="137" customHeight="1">
      <x:c r="A20" s="11">
        <x:f t="shared" si="0"/>
        <x:v>20</x:v>
      </x:c>
      <x:c r="B20" s="12" t="s">
        <x:v>61</x:v>
      </x:c>
      <x:c r="C20" s="13" t="s">
        <x:v>62</x:v>
      </x:c>
      <x:c r="D20" s="13" t="s">
        <x:v>63</x:v>
      </x:c>
      <x:c r="E20" s="13" t="s">
        <x:v>34</x:v>
      </x:c>
      <x:c r="F20" s="13" t="s">
        <x:v>64</x:v>
      </x:c>
      <x:c r="G20" s="13" t="str">
        <x:v>Partial reporting</x:v>
      </x:c>
      <x:c r="H20" s="13" t="str">
        <x:v>Derived lifecycle events do not provide durable full audit history, exact signature events or notification delivery. Mission Control: Operational context only. Pipeline/job execution is not the business placement, signature or notification audit trail. Historical v1 status: ❌ Missing.</x:v>
      </x:c>
      <x:c r="I20" s="13" t="str">
        <x:v>Confirm event coverage; source durable changes and notification outcomes. Validate the Mission Control measures and page filters against known runs; proposed R-to-operational-measure association requires owner approval.</x:v>
      </x:c>
      <x:c r="J20" s="13"/>
      <x:c r="K20" s="15" t="s">
        <x:v>65</x:v>
      </x:c>
    </x:row>
    <x:row r="21" ht="72" customHeight="1">
      <x:c r="A21" s="11">
        <x:f t="shared" si="0"/>
        <x:v>21</x:v>
      </x:c>
      <x:c r="B21" s="12" t="s">
        <x:v>66</x:v>
      </x:c>
      <x:c r="C21" s="13" t="s">
        <x:v>67</x:v>
      </x:c>
      <x:c r="D21" s="13" t="s">
        <x:v>12</x:v>
      </x:c>
      <x:c r="E21" s="13" t="s">
        <x:v>34</x:v>
      </x:c>
      <x:c r="F21" s="13" t="s">
        <x:v>19</x:v>
      </x:c>
      <x:c r="G21" s="13" t="str">
        <x:v>Outside report assessment</x:v>
      </x:c>
      <x:c r="H21" s="13" t="str">
        <x:v>Read-only reporting cannot implement notifications, matching, upload, record editing or operational visibility rules. Historical v1 status: ℹ️ Feature.</x:v>
      </x:c>
      <x:c r="I21" s="13" t="str">
        <x:v>Obtain source-system workflow acceptance separately.</x:v>
      </x:c>
      <x:c r="J21" s="13"/>
      <x:c r="K21" s="13"/>
    </x:row>
    <x:row r="22" ht="98" customHeight="1">
      <x:c r="A22" s="11">
        <x:f t="shared" si="0"/>
        <x:v>22</x:v>
      </x:c>
      <x:c r="B22" s="12" t="s">
        <x:v>68</x:v>
      </x:c>
      <x:c r="C22" s="13" t="s">
        <x:v>69</x:v>
      </x:c>
      <x:c r="D22" s="13" t="s">
        <x:v>12</x:v>
      </x:c>
      <x:c r="E22" s="14" t="s">
        <x:v>70</x:v>
      </x:c>
      <x:c r="F22" s="13" t="s">
        <x:v>71</x:v>
      </x:c>
      <x:c r="G22" s="13" t="str">
        <x:v>Open data gap</x:v>
      </x:c>
      <x:c r="H22" s="13" t="str">
        <x:v>Provider/home postcode and preferred-city distance are not referral-origin or placement-region evidence. Multiple provider assignments is not out-of-region placement. Historical v1 status: ❌ Missing.</x:v>
      </x:c>
      <x:c r="I22" s="13" t="str">
        <x:v>Obtain governed origin/destination region and an approved out-of-region rule.</x:v>
      </x:c>
      <x:c r="J22" s="13"/>
      <x:c r="K22" s="15" t="s">
        <x:v>72</x:v>
      </x:c>
    </x:row>
    <x:row r="23" ht="98" customHeight="1">
      <x:c r="A23" s="11">
        <x:f t="shared" si="0"/>
        <x:v>24</x:v>
      </x:c>
      <x:c r="B23" s="12" t="s">
        <x:v>73</x:v>
      </x:c>
      <x:c r="C23" s="13" t="s">
        <x:v>74</x:v>
      </x:c>
      <x:c r="D23" s="13" t="s">
        <x:v>12</x:v>
      </x:c>
      <x:c r="E23" s="13" t="s">
        <x:v>13</x:v>
      </x:c>
      <x:c r="F23" s="13" t="s">
        <x:v>75</x:v>
      </x:c>
      <x:c r="G23" s="13" t="str">
        <x:v>Partial reporting</x:v>
      </x:c>
      <x:c r="H23" s="13" t="str">
        <x:v>Status, engagement and journey reporting are built. Task management and quick updates are portal functions; newest journey rendering/clicks remain unverified. Historical v1 status: ✅ Implemented.</x:v>
      </x:c>
      <x:c r="I23" s="13" t="str">
        <x:v>Refresh WIP; test stage selectors, filters and drillthrough; review portal tasks separately.</x:v>
      </x:c>
      <x:c r="J23" s="13"/>
      <x:c r="K23" s="13"/>
    </x:row>
    <x:row r="24" ht="72" customHeight="1">
      <x:c r="A24" s="11">
        <x:f t="shared" si="0"/>
        <x:v>25</x:v>
      </x:c>
      <x:c r="B24" s="12" t="s">
        <x:v>76</x:v>
      </x:c>
      <x:c r="C24" s="13" t="s">
        <x:v>77</x:v>
      </x:c>
      <x:c r="D24" s="13" t="s">
        <x:v>78</x:v>
      </x:c>
      <x:c r="E24" s="13" t="s">
        <x:v>13</x:v>
      </x:c>
      <x:c r="F24" s="13" t="s">
        <x:v>79</x:v>
      </x:c>
      <x:c r="G24" s="13" t="str">
        <x:v>Partial reporting</x:v>
      </x:c>
      <x:c r="H24" s="13" t="str">
        <x:v>Read-only detail and journey evidence exist. Immediate portal availability or write workflows are not proven. Historical v1 status: ✅ Implemented.</x:v>
      </x:c>
      <x:c r="I24" s="13" t="str">
        <x:v>Test referral drillthrough with known records and confirm portal workflow.</x:v>
      </x:c>
      <x:c r="J24" s="13"/>
      <x:c r="K24" s="13"/>
    </x:row>
    <x:row r="25" ht="72" customHeight="1">
      <x:c r="A25" s="11">
        <x:f t="shared" si="0"/>
        <x:v>26</x:v>
      </x:c>
      <x:c r="B25" s="12" t="s">
        <x:v>80</x:v>
      </x:c>
      <x:c r="C25" s="13" t="s">
        <x:v>81</x:v>
      </x:c>
      <x:c r="D25" s="13" t="s">
        <x:v>78</x:v>
      </x:c>
      <x:c r="E25" s="13" t="s">
        <x:v>13</x:v>
      </x:c>
      <x:c r="F25" s="13" t="s">
        <x:v>82</x:v>
      </x:c>
      <x:c r="G25" s="13" t="str">
        <x:v>Partial reporting</x:v>
      </x:c>
      <x:c r="H25" s="13" t="str">
        <x:v>Provider and offer analysis exists; no approved suitability score or automatic matching algorithm is implemented. Historical v1 status: ✅ Implemented.</x:v>
      </x:c>
      <x:c r="I25" s="13" t="str">
        <x:v>Validate provider cohort attribution and agree any scoring policy.</x:v>
      </x:c>
      <x:c r="J25" s="13"/>
      <x:c r="K25" s="13"/>
    </x:row>
    <x:row r="26" ht="85" customHeight="1">
      <x:c r="A26" s="11">
        <x:f t="shared" si="0"/>
        <x:v>27</x:v>
      </x:c>
      <x:c r="B26" s="12" t="s">
        <x:v>83</x:v>
      </x:c>
      <x:c r="C26" s="13" t="s">
        <x:v>84</x:v>
      </x:c>
      <x:c r="D26" s="13" t="s">
        <x:v>78</x:v>
      </x:c>
      <x:c r="E26" s="13" t="s">
        <x:v>34</x:v>
      </x:c>
      <x:c r="F26" s="13" t="s">
        <x:v>19</x:v>
      </x:c>
      <x:c r="G26" s="13" t="str">
        <x:v>Partial reporting</x:v>
      </x:c>
      <x:c r="H26" s="13" t="str">
        <x:v>Message text and read timestamps are available. Provider authorship, paired response time and unread-priority semantics remain unapproved. Historical v1 status: ℹ️ Feature.</x:v>
      </x:c>
      <x:c r="I26" s="13" t="str">
        <x:v>Approve author and unread rules before message SLA KPIs.</x:v>
      </x:c>
      <x:c r="J26" s="13"/>
      <x:c r="K26" s="13"/>
    </x:row>
    <x:row r="27" ht="72" customHeight="1">
      <x:c r="A27" s="11">
        <x:f t="shared" si="0"/>
        <x:v>28</x:v>
      </x:c>
      <x:c r="B27" s="12" t="s">
        <x:v>85</x:v>
      </x:c>
      <x:c r="C27" s="13" t="s">
        <x:v>86</x:v>
      </x:c>
      <x:c r="D27" s="13" t="s">
        <x:v>78</x:v>
      </x:c>
      <x:c r="E27" s="13" t="s">
        <x:v>13</x:v>
      </x:c>
      <x:c r="F27" s="13" t="s">
        <x:v>87</x:v>
      </x:c>
      <x:c r="G27" s="13" t="str">
        <x:v>Partial reporting</x:v>
      </x:c>
      <x:c r="H27" s="13" t="str">
        <x:v>Offer decisions are reportable. Accept/reject/request-information actions are not performed by Power BI. Historical v1 status: ✅ Implemented.</x:v>
      </x:c>
      <x:c r="I27" s="13" t="str">
        <x:v>Reconcile offer statuses and test the source workflow.</x:v>
      </x:c>
      <x:c r="J27" s="13"/>
      <x:c r="K27" s="13"/>
    </x:row>
    <x:row r="28" ht="72" customHeight="1">
      <x:c r="A28" s="11">
        <x:f t="shared" si="0"/>
        <x:v>29</x:v>
      </x:c>
      <x:c r="B28" s="12" t="s">
        <x:v>88</x:v>
      </x:c>
      <x:c r="C28" s="13" t="s">
        <x:v>89</x:v>
      </x:c>
      <x:c r="D28" s="13" t="s">
        <x:v>78</x:v>
      </x:c>
      <x:c r="E28" s="13" t="s">
        <x:v>34</x:v>
      </x:c>
      <x:c r="F28" s="13" t="s">
        <x:v>19</x:v>
      </x:c>
      <x:c r="G28" s="13" t="str">
        <x:v>Outside report assessment</x:v>
      </x:c>
      <x:c r="H28" s="13" t="str">
        <x:v>Read-only reporting cannot implement notifications, matching, upload, record editing or operational visibility rules. Historical v1 status: ℹ️ Feature.</x:v>
      </x:c>
      <x:c r="I28" s="13" t="str">
        <x:v>Obtain source-system workflow acceptance separately.</x:v>
      </x:c>
      <x:c r="J28" s="13"/>
      <x:c r="K28" s="13"/>
    </x:row>
    <x:row r="29" ht="72" customHeight="1">
      <x:c r="A29" s="11">
        <x:f t="shared" si="0"/>
        <x:v>31</x:v>
      </x:c>
      <x:c r="B29" s="12" t="s">
        <x:v>90</x:v>
      </x:c>
      <x:c r="C29" s="13" t="s">
        <x:v>91</x:v>
      </x:c>
      <x:c r="D29" s="13" t="s">
        <x:v>78</x:v>
      </x:c>
      <x:c r="E29" s="14" t="s">
        <x:v>44</x:v>
      </x:c>
      <x:c r="F29" s="13" t="s">
        <x:v>19</x:v>
      </x:c>
      <x:c r="G29" s="13" t="str">
        <x:v>Outside report assessment</x:v>
      </x:c>
      <x:c r="H29" s="13" t="str">
        <x:v>Read-only reporting cannot implement notifications, matching, upload, record editing or operational visibility rules. Historical v1 status: ❌ Missing.</x:v>
      </x:c>
      <x:c r="I29" s="13" t="str">
        <x:v>Obtain source-system workflow acceptance separately.</x:v>
      </x:c>
      <x:c r="J29" s="13"/>
      <x:c r="K29" s="16" t="s">
        <x:v>92</x:v>
      </x:c>
    </x:row>
    <x:row r="30" ht="72" customHeight="1">
      <x:c r="A30" s="11">
        <x:f t="shared" si="0"/>
        <x:v>32</x:v>
      </x:c>
      <x:c r="B30" s="12" t="s">
        <x:v>93</x:v>
      </x:c>
      <x:c r="C30" s="13" t="s">
        <x:v>94</x:v>
      </x:c>
      <x:c r="D30" s="13" t="s">
        <x:v>78</x:v>
      </x:c>
      <x:c r="E30" s="13" t="s">
        <x:v>34</x:v>
      </x:c>
      <x:c r="F30" s="13" t="s">
        <x:v>19</x:v>
      </x:c>
      <x:c r="G30" s="13" t="str">
        <x:v>Outside report assessment</x:v>
      </x:c>
      <x:c r="H30" s="13" t="str">
        <x:v>Read-only reporting cannot implement notifications, matching, upload, record editing or operational visibility rules. Historical v1 status: ℹ️ Feature.</x:v>
      </x:c>
      <x:c r="I30" s="13" t="str">
        <x:v>Obtain source-system workflow acceptance separately.</x:v>
      </x:c>
      <x:c r="J30" s="13"/>
      <x:c r="K30" s="13"/>
    </x:row>
    <x:row r="31" ht="72" customHeight="1">
      <x:c r="A31" s="11">
        <x:f t="shared" si="0"/>
        <x:v>33</x:v>
      </x:c>
      <x:c r="B31" s="12" t="s">
        <x:v>95</x:v>
      </x:c>
      <x:c r="C31" s="13" t="s">
        <x:v>96</x:v>
      </x:c>
      <x:c r="D31" s="13" t="s">
        <x:v>78</x:v>
      </x:c>
      <x:c r="E31" s="13" t="s">
        <x:v>34</x:v>
      </x:c>
      <x:c r="F31" s="13" t="s">
        <x:v>19</x:v>
      </x:c>
      <x:c r="G31" s="13" t="str">
        <x:v>Outside report assessment</x:v>
      </x:c>
      <x:c r="H31" s="13" t="str">
        <x:v>Read-only reporting cannot implement notifications, matching, upload, record editing or operational visibility rules. Historical v1 status: ℹ️ Feature.</x:v>
      </x:c>
      <x:c r="I31" s="13" t="str">
        <x:v>Obtain source-system workflow acceptance separately.</x:v>
      </x:c>
      <x:c r="J31" s="13"/>
      <x:c r="K31" s="13"/>
    </x:row>
    <x:row r="32" ht="85" customHeight="1">
      <x:c r="A32" s="11">
        <x:f t="shared" si="0"/>
        <x:v>34</x:v>
      </x:c>
      <x:c r="B32" s="12" t="s">
        <x:v>97</x:v>
      </x:c>
      <x:c r="C32" s="13" t="s">
        <x:v>98</x:v>
      </x:c>
      <x:c r="D32" s="13" t="s">
        <x:v>78</x:v>
      </x:c>
      <x:c r="E32" s="13" t="s">
        <x:v>13</x:v>
      </x:c>
      <x:c r="F32" s="13" t="s">
        <x:v>99</x:v>
      </x:c>
      <x:c r="G32" s="13" t="str">
        <x:v>Partial reporting</x:v>
      </x:c>
      <x:c r="H32" s="13" t="str">
        <x:v>Emergency uses the Gold same-day-date rule on OPEN/UNDER_OFFER referrals, not a statutory emergency source classification or spot status. Historical v1 status: ❌ Missing.</x:v>
      </x:c>
      <x:c r="I32" s="13" t="str">
        <x:v>Approve emergency definition and finance categorisation; test missing and reversed dates.</x:v>
      </x:c>
      <x:c r="J32" s="13"/>
      <x:c r="K32" s="15" t="s">
        <x:v>100</x:v>
      </x:c>
    </x:row>
    <x:row r="33" ht="72" customHeight="1">
      <x:c r="A33" s="11">
        <x:f t="shared" si="0"/>
        <x:v>35</x:v>
      </x:c>
      <x:c r="B33" s="12" t="s">
        <x:v>101</x:v>
      </x:c>
      <x:c r="C33" s="13" t="s">
        <x:v>102</x:v>
      </x:c>
      <x:c r="D33" s="13" t="s">
        <x:v>78</x:v>
      </x:c>
      <x:c r="E33" s="13" t="s">
        <x:v>13</x:v>
      </x:c>
      <x:c r="F33" s="13" t="s">
        <x:v>103</x:v>
      </x:c>
      <x:c r="G33" s="13" t="str">
        <x:v>Partial reporting</x:v>
      </x:c>
      <x:c r="H33" s="13" t="str">
        <x:v>IPA-grain signing is implemented; the report does not perform signing, approval or certify a full audit trail. Historical v1 status: ✅ Implemented.</x:v>
      </x:c>
      <x:c r="I33" s="13" t="str">
        <x:v>Reconcile both signatures on the same IPA, closed unsigned IPAs and multiple IPAs per offer.</x:v>
      </x:c>
      <x:c r="J33" s="13"/>
      <x:c r="K33" s="13"/>
    </x:row>
    <x:row r="34" ht="72" customHeight="1">
      <x:c r="A34" s="11">
        <x:f t="shared" si="0"/>
        <x:v>36</x:v>
      </x:c>
      <x:c r="B34" s="12" t="s">
        <x:v>104</x:v>
      </x:c>
      <x:c r="C34" s="13" t="s">
        <x:v>105</x:v>
      </x:c>
      <x:c r="D34" s="13" t="s">
        <x:v>78</x:v>
      </x:c>
      <x:c r="E34" s="13" t="s">
        <x:v>13</x:v>
      </x:c>
      <x:c r="F34" s="13" t="s">
        <x:v>106</x:v>
      </x:c>
      <x:c r="G34" s="13" t="str">
        <x:v>Built; UAT pending</x:v>
      </x:c>
      <x:c r="H34" s="13" t="str">
        <x:v>Pending/open offer views and provider filters are built; runtime reconciliation remains outstanding. Historical v1 status: ✅ Implemented.</x:v>
      </x:c>
      <x:c r="I34" s="13" t="str">
        <x:v>Check provider, home and status filters against known offers.</x:v>
      </x:c>
      <x:c r="J34" s="13"/>
      <x:c r="K34" s="13"/>
    </x:row>
    <x:row r="35" ht="72" customHeight="1">
      <x:c r="A35" s="11">
        <x:f t="shared" si="0"/>
        <x:v>38</x:v>
      </x:c>
      <x:c r="B35" s="12" t="s">
        <x:v>107</x:v>
      </x:c>
      <x:c r="C35" s="13" t="s">
        <x:v>108</x:v>
      </x:c>
      <x:c r="D35" s="13" t="s">
        <x:v>109</x:v>
      </x:c>
      <x:c r="E35" s="13" t="s">
        <x:v>34</x:v>
      </x:c>
      <x:c r="F35" s="13" t="s">
        <x:v>19</x:v>
      </x:c>
      <x:c r="G35" s="13" t="str">
        <x:v>Outside report assessment</x:v>
      </x:c>
      <x:c r="H35" s="13" t="str">
        <x:v>Read-only reporting cannot implement notifications, matching, upload, record editing or operational visibility rules. Historical v1 status: ℹ️ Data entry.</x:v>
      </x:c>
      <x:c r="I35" s="13" t="str">
        <x:v>Obtain source-system workflow acceptance separately.</x:v>
      </x:c>
      <x:c r="J35" s="13"/>
      <x:c r="K35" s="13"/>
    </x:row>
    <x:row r="36" ht="72" customHeight="1">
      <x:c r="A36" s="11">
        <x:f t="shared" si="0"/>
        <x:v>39</x:v>
      </x:c>
      <x:c r="B36" s="12" t="s">
        <x:v>110</x:v>
      </x:c>
      <x:c r="C36" s="13" t="s">
        <x:v>111</x:v>
      </x:c>
      <x:c r="D36" s="13" t="s">
        <x:v>109</x:v>
      </x:c>
      <x:c r="E36" s="13" t="s">
        <x:v>34</x:v>
      </x:c>
      <x:c r="F36" s="13" t="s">
        <x:v>19</x:v>
      </x:c>
      <x:c r="G36" s="13" t="str">
        <x:v>Outside report assessment</x:v>
      </x:c>
      <x:c r="H36" s="13" t="str">
        <x:v>Read-only reporting cannot implement notifications, matching, upload, record editing or operational visibility rules. Historical v1 status: ℹ️ Feature.</x:v>
      </x:c>
      <x:c r="I36" s="13" t="str">
        <x:v>Obtain source-system workflow acceptance separately.</x:v>
      </x:c>
      <x:c r="J36" s="13"/>
      <x:c r="K36" s="13"/>
    </x:row>
    <x:row r="37" ht="72" customHeight="1">
      <x:c r="A37" s="11">
        <x:f t="shared" si="0"/>
        <x:v>41</x:v>
      </x:c>
      <x:c r="B37" s="12" t="s">
        <x:v>112</x:v>
      </x:c>
      <x:c r="C37" s="13" t="s">
        <x:v>113</x:v>
      </x:c>
      <x:c r="D37" s="13" t="s">
        <x:v>109</x:v>
      </x:c>
      <x:c r="E37" s="15" t="s">
        <x:v>70</x:v>
      </x:c>
      <x:c r="F37" s="13" t="s">
        <x:v>114</x:v>
      </x:c>
      <x:c r="G37" s="13" t="str">
        <x:v>Partial reporting</x:v>
      </x:c>
      <x:c r="H37" s="13" t="str">
        <x:v>Current flags are reportable. Historical flag types and application/removal workflow are not proven. Historical v1 status: ❌ Missing.</x:v>
      </x:c>
      <x:c r="I37" s="13" t="str">
        <x:v>Confirm flag scope and obtain historical classification and portal evidence.</x:v>
      </x:c>
      <x:c r="J37" s="13"/>
      <x:c r="K37" s="15" t="s">
        <x:v>115</x:v>
      </x:c>
    </x:row>
    <x:row r="38" ht="72" customHeight="1">
      <x:c r="A38" s="11">
        <x:f t="shared" si="0"/>
        <x:v>45</x:v>
      </x:c>
      <x:c r="B38" s="12" t="s">
        <x:v>116</x:v>
      </x:c>
      <x:c r="C38" s="13" t="s">
        <x:v>117</x:v>
      </x:c>
      <x:c r="D38" s="13" t="s">
        <x:v>109</x:v>
      </x:c>
      <x:c r="E38" s="13" t="s">
        <x:v>34</x:v>
      </x:c>
      <x:c r="F38" s="13" t="s">
        <x:v>19</x:v>
      </x:c>
      <x:c r="G38" s="13" t="str">
        <x:v>Outside report assessment</x:v>
      </x:c>
      <x:c r="H38" s="13" t="str">
        <x:v>Read-only reporting cannot implement notifications, matching, upload, record editing or operational visibility rules. Historical v1 status: ℹ️ Feature.</x:v>
      </x:c>
      <x:c r="I38" s="13" t="str">
        <x:v>Obtain source-system workflow acceptance separately.</x:v>
      </x:c>
      <x:c r="J38" s="13"/>
      <x:c r="K38" s="13"/>
    </x:row>
    <x:row r="39" ht="72" customHeight="1">
      <x:c r="A39" s="11">
        <x:f t="shared" si="0"/>
        <x:v>46</x:v>
      </x:c>
      <x:c r="B39" s="12" t="s">
        <x:v>118</x:v>
      </x:c>
      <x:c r="C39" s="13" t="s">
        <x:v>119</x:v>
      </x:c>
      <x:c r="D39" s="13" t="s">
        <x:v>109</x:v>
      </x:c>
      <x:c r="E39" s="13" t="s">
        <x:v>34</x:v>
      </x:c>
      <x:c r="F39" s="13" t="s">
        <x:v>120</x:v>
      </x:c>
      <x:c r="G39" s="13" t="str">
        <x:v>Partial reporting</x:v>
      </x:c>
      <x:c r="H39" s="13" t="str">
        <x:v>Non-framework visibility exists; cross-organisation QA sharing requires role and disclosure acceptance. Historical v1 status: ✅ Implemented.</x:v>
      </x:c>
      <x:c r="I39" s="13" t="str">
        <x:v>Test provider scope and authorised sharing.</x:v>
      </x:c>
      <x:c r="J39" s="13"/>
      <x:c r="K39" s="13"/>
    </x:row>
    <x:row r="40" ht="72" customHeight="1">
      <x:c r="A40" s="11">
        <x:f t="shared" si="0"/>
        <x:v>47</x:v>
      </x:c>
      <x:c r="B40" s="12" t="s">
        <x:v>121</x:v>
      </x:c>
      <x:c r="C40" s="13" t="s">
        <x:v>122</x:v>
      </x:c>
      <x:c r="D40" s="13" t="s">
        <x:v>109</x:v>
      </x:c>
      <x:c r="E40" s="14" t="s">
        <x:v>13</x:v>
      </x:c>
      <x:c r="F40" s="13" t="s">
        <x:v>123</x:v>
      </x:c>
      <x:c r="G40" s="13" t="str">
        <x:v>Partial reporting</x:v>
      </x:c>
      <x:c r="H40" s="13" t="str">
        <x:v>Document dates support monitoring, not reminder delivery or missing-required-document detection. Historical v1 status: ❌ Missing.</x:v>
      </x:c>
      <x:c r="I40" s="13" t="str">
        <x:v>Validate document dates and obtain reminder and expected-document rules.</x:v>
      </x:c>
      <x:c r="J40" s="13"/>
      <x:c r="K40" s="15" t="s">
        <x:v>124</x:v>
      </x:c>
    </x:row>
    <x:row r="41" ht="72" customHeight="1">
      <x:c r="A41" s="11">
        <x:f t="shared" si="0"/>
        <x:v>48</x:v>
      </x:c>
      <x:c r="B41" s="12" t="s">
        <x:v>125</x:v>
      </x:c>
      <x:c r="C41" s="13" t="s">
        <x:v>126</x:v>
      </x:c>
      <x:c r="D41" s="13" t="s">
        <x:v>109</x:v>
      </x:c>
      <x:c r="E41" s="13" t="s">
        <x:v>13</x:v>
      </x:c>
      <x:c r="F41" s="13" t="s">
        <x:v>127</x:v>
      </x:c>
      <x:c r="G41" s="13" t="str">
        <x:v>Open data gap</x:v>
      </x:c>
      <x:c r="H41" s="13" t="str">
        <x:v>No governed expected-document denominator or blocked-provider decision exists. Expiry alone cannot prove compliance. Historical v1 status: ❌ Missing.</x:v>
      </x:c>
      <x:c r="I41" s="13" t="str">
        <x:v>Supply policy and decision outcomes.</x:v>
      </x:c>
      <x:c r="J41" s="13"/>
      <x:c r="K41" s="15" t="s">
        <x:v>124</x:v>
      </x:c>
    </x:row>
    <x:row r="42" ht="72" customHeight="1">
      <x:c r="A42" s="11">
        <x:f t="shared" si="0"/>
        <x:v>49</x:v>
      </x:c>
      <x:c r="B42" s="12" t="s">
        <x:v>128</x:v>
      </x:c>
      <x:c r="C42" s="13" t="s">
        <x:v>129</x:v>
      </x:c>
      <x:c r="D42" s="13" t="s">
        <x:v>109</x:v>
      </x:c>
      <x:c r="E42" s="13" t="s">
        <x:v>34</x:v>
      </x:c>
      <x:c r="F42" s="13" t="s">
        <x:v>130</x:v>
      </x:c>
      <x:c r="G42" s="13" t="str">
        <x:v>Partial reporting</x:v>
      </x:c>
      <x:c r="H42" s="13" t="str">
        <x:v>Current provider approval state is reportable; it does not certify due diligence, bulk-job success or registration workflow. Historical v1 status: ❌ Missing.</x:v>
      </x:c>
      <x:c r="I42" s="13" t="str">
        <x:v>Approve proxy label and obtain workflow/compliance evidence.</x:v>
      </x:c>
      <x:c r="J42" s="13"/>
      <x:c r="K42" s="13"/>
    </x:row>
    <x:row r="43" ht="72" customHeight="1">
      <x:c r="A43" s="11">
        <x:f t="shared" si="0"/>
        <x:v>51</x:v>
      </x:c>
      <x:c r="B43" s="12" t="s">
        <x:v>131</x:v>
      </x:c>
      <x:c r="C43" s="13" t="s">
        <x:v>132</x:v>
      </x:c>
      <x:c r="D43" s="13" t="s">
        <x:v>63</x:v>
      </x:c>
      <x:c r="E43" s="13" t="s">
        <x:v>13</x:v>
      </x:c>
      <x:c r="F43" s="13" t="s">
        <x:v>133</x:v>
      </x:c>
      <x:c r="G43" s="13" t="str">
        <x:v>Built; UAT pending</x:v>
      </x:c>
      <x:c r="H43" s="13" t="str">
        <x:v>Saved-file definitions exist. Full refreshed DAX reconciliation, data completeness and business acceptance remain open. Historical v1 status: ✅ Implemented.</x:v>
      </x:c>
      <x:c r="I43" s="13" t="str">
        <x:v>Run refresh, data-quality, cohort, snapshot and role reconciliation before release.</x:v>
      </x:c>
      <x:c r="J43" s="13"/>
      <x:c r="K43" s="13"/>
    </x:row>
    <x:row r="44" ht="72" customHeight="1">
      <x:c r="A44" s="11">
        <x:f t="shared" si="0"/>
        <x:v>52</x:v>
      </x:c>
      <x:c r="B44" s="12" t="s">
        <x:v>134</x:v>
      </x:c>
      <x:c r="C44" s="13" t="s">
        <x:v>135</x:v>
      </x:c>
      <x:c r="D44" s="13" t="s">
        <x:v>63</x:v>
      </x:c>
      <x:c r="E44" s="13" t="s">
        <x:v>13</x:v>
      </x:c>
      <x:c r="F44" s="13" t="s">
        <x:v>136</x:v>
      </x:c>
      <x:c r="G44" s="13" t="str">
        <x:v>Built; UAT pending</x:v>
      </x:c>
      <x:c r="H44" s="13" t="str">
        <x:v>Saved-file definitions exist. Full refreshed DAX reconciliation, data completeness and business acceptance remain open. Historical v1 status: ✅ Implemented.</x:v>
      </x:c>
      <x:c r="I44" s="13" t="str">
        <x:v>Run refresh, data-quality, cohort, snapshot and role reconciliation before release.</x:v>
      </x:c>
      <x:c r="J44" s="13"/>
      <x:c r="K44" s="13"/>
    </x:row>
    <x:row r="45" ht="150" customHeight="1">
      <x:c r="A45" s="11">
        <x:f t="shared" si="0"/>
        <x:v>53</x:v>
      </x:c>
      <x:c r="B45" s="12" t="s">
        <x:v>137</x:v>
      </x:c>
      <x:c r="C45" s="13" t="s">
        <x:v>138</x:v>
      </x:c>
      <x:c r="D45" s="13" t="s">
        <x:v>63</x:v>
      </x:c>
      <x:c r="E45" s="13" t="s">
        <x:v>34</x:v>
      </x:c>
      <x:c r="F45" s="13" t="s">
        <x:v>139</x:v>
      </x:c>
      <x:c r="G45" s="13" t="str">
        <x:v>Built; UAT pending</x:v>
      </x:c>
      <x:c r="H45" s="13" t="str">
        <x:v>Saved-file definitions exist. Full refreshed DAX reconciliation, data completeness and business acceptance remain open. Mission Control: Partial operational support. DQ results, rejected keys, lineage and load metrics support consistency; export rights and reconciliation still need acceptance. Historical v1 status: ✅ Implemented.</x:v>
      </x:c>
      <x:c r="I45" s="13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J45" s="13"/>
      <x:c r="K45" s="13"/>
    </x:row>
    <x:row r="46" ht="85" customHeight="1">
      <x:c r="A46" s="11">
        <x:f t="shared" si="0"/>
        <x:v>54</x:v>
      </x:c>
      <x:c r="B46" s="12" t="s">
        <x:v>140</x:v>
      </x:c>
      <x:c r="C46" s="13" t="s">
        <x:v>141</x:v>
      </x:c>
      <x:c r="D46" s="13" t="s">
        <x:v>63</x:v>
      </x:c>
      <x:c r="E46" s="13" t="s">
        <x:v>13</x:v>
      </x:c>
      <x:c r="F46" s="13" t="s">
        <x:v>142</x:v>
      </x:c>
      <x:c r="G46" s="13" t="str">
        <x:v>Partial reporting</x:v>
      </x:c>
      <x:c r="H46" s="13" t="str">
        <x:v>Current assignment-level decline/cancellation reasons are present. Complete immutable reason history and business attribution are not established. Historical v1 status: ⚠️ Partial.</x:v>
      </x:c>
      <x:c r="I46" s="13" t="str">
        <x:v>Validate reason completeness, joins and historical coverage; agree classifications.</x:v>
      </x:c>
      <x:c r="J46" s="13"/>
      <x:c r="K46" s="13"/>
    </x:row>
    <x:row r="47" ht="85" customHeight="1">
      <x:c r="A47" s="11">
        <x:f t="shared" si="0"/>
        <x:v>55</x:v>
      </x:c>
      <x:c r="B47" s="12" t="s">
        <x:v>143</x:v>
      </x:c>
      <x:c r="C47" s="13" t="s">
        <x:v>144</x:v>
      </x:c>
      <x:c r="D47" s="13" t="s">
        <x:v>63</x:v>
      </x:c>
      <x:c r="E47" s="13" t="s">
        <x:v>34</x:v>
      </x:c>
      <x:c r="F47" s="13" t="s">
        <x:v>19</x:v>
      </x:c>
      <x:c r="G47" s="13" t="str">
        <x:v>Security acceptance pending</x:v>
      </x:c>
      <x:c r="H47" s="13" t="str">
        <x:v>Role definitions exist, but authorised identity tests, access provisioning, small-cell disclosure and break-glass controls are not signed off. Historical v1 status: ℹ️ Security.</x:v>
      </x:c>
      <x:c r="I47" s="13" t="str">
        <x:v>Approve mappings and disclosure policy; execute role and Service-access tests.</x:v>
      </x:c>
      <x:c r="J47" s="13"/>
      <x:c r="K47" s="13"/>
    </x:row>
    <x:row r="48" ht="85" customHeight="1">
      <x:c r="A48" s="11">
        <x:f t="shared" si="0"/>
        <x:v>57</x:v>
      </x:c>
      <x:c r="B48" s="12" t="s">
        <x:v>145</x:v>
      </x:c>
      <x:c r="C48" s="13" t="s">
        <x:v>146</x:v>
      </x:c>
      <x:c r="D48" s="13" t="s">
        <x:v>63</x:v>
      </x:c>
      <x:c r="E48" s="13" t="s">
        <x:v>13</x:v>
      </x:c>
      <x:c r="F48" s="13" t="s">
        <x:v>147</x:v>
      </x:c>
      <x:c r="G48" s="13" t="str">
        <x:v>Partial reporting</x:v>
      </x:c>
      <x:c r="H48" s="13" t="str">
        <x:v>Emergency uses the Gold same-day-date rule on OPEN/UNDER_OFFER referrals, not a statutory emergency source classification or spot status. Historical v1 status: ❌ Missing.</x:v>
      </x:c>
      <x:c r="I48" s="13" t="str">
        <x:v>Approve emergency definition and finance categorisation; test missing and reversed dates.</x:v>
      </x:c>
      <x:c r="J48" s="13"/>
      <x:c r="K48" s="15" t="s">
        <x:v>148</x:v>
      </x:c>
    </x:row>
    <x:row r="49" ht="72" customHeight="1">
      <x:c r="A49" s="11">
        <x:f t="shared" si="0"/>
        <x:v>58</x:v>
      </x:c>
      <x:c r="B49" s="12" t="s">
        <x:v>149</x:v>
      </x:c>
      <x:c r="C49" s="13" t="s">
        <x:v>150</x:v>
      </x:c>
      <x:c r="D49" s="13" t="s">
        <x:v>63</x:v>
      </x:c>
      <x:c r="E49" s="13" t="s">
        <x:v>13</x:v>
      </x:c>
      <x:c r="F49" s="13" t="s">
        <x:v>151</x:v>
      </x:c>
      <x:c r="G49" s="13" t="str">
        <x:v>Open data gap</x:v>
      </x:c>
      <x:c r="H49" s="13" t="str">
        <x:v>Current category membership does not record framework changes during active referrals or alert delivery. Historical v1 status: ❌ Missing.</x:v>
      </x:c>
      <x:c r="I49" s="13" t="str">
        <x:v>Obtain effective-dated change events and notification evidence.</x:v>
      </x:c>
      <x:c r="J49" s="13"/>
      <x:c r="K49" s="15" t="s">
        <x:v>152</x:v>
      </x:c>
    </x:row>
    <x:row r="50" ht="72" customHeight="1">
      <x:c r="A50" s="11">
        <x:f t="shared" si="0"/>
        <x:v>59</x:v>
      </x:c>
      <x:c r="B50" s="12" t="s">
        <x:v>153</x:v>
      </x:c>
      <x:c r="C50" s="13" t="s">
        <x:v>154</x:v>
      </x:c>
      <x:c r="D50" s="13" t="s">
        <x:v>63</x:v>
      </x:c>
      <x:c r="E50" s="13" t="s">
        <x:v>18</x:v>
      </x:c>
      <x:c r="F50" s="13" t="s">
        <x:v>155</x:v>
      </x:c>
      <x:c r="G50" s="13" t="str">
        <x:v>Partial reporting</x:v>
      </x:c>
      <x:c r="H50" s="13" t="str">
        <x:v>Current provider approval state is reportable; it does not certify due diligence, bulk-job success or registration workflow. Historical v1 status: ❌ Missing.</x:v>
      </x:c>
      <x:c r="I50" s="13" t="str">
        <x:v>Approve proxy label and obtain workflow/compliance evidence.</x:v>
      </x:c>
      <x:c r="J50" s="13"/>
      <x:c r="K50" s="13"/>
    </x:row>
    <x:row r="51" ht="111" customHeight="1">
      <x:c r="A51" s="11">
        <x:f t="shared" si="0"/>
        <x:v>62</x:v>
      </x:c>
      <x:c r="B51" s="12" t="s">
        <x:v>156</x:v>
      </x:c>
      <x:c r="C51" s="13" t="s">
        <x:v>157</x:v>
      </x:c>
      <x:c r="D51" s="13" t="s">
        <x:v>158</x:v>
      </x:c>
      <x:c r="E51" s="13" t="s">
        <x:v>13</x:v>
      </x:c>
      <x:c r="F51" s="16" t="s">
        <x:v>159</x:v>
      </x:c>
      <x:c r="G51" s="13" t="str">
        <x:v>Partial reporting</x:v>
      </x:c>
      <x:c r="H51" s="13" t="str">
        <x:v>Weekly and lifetime costs are estimates. Payment method, invoice/payment status and actual spend are absent; lifetime-cost formula needs boundary/filter review. Historical v1 status: ❌ Missing.</x:v>
      </x:c>
      <x:c r="I51" s="13" t="str">
        <x:v>Approve finance definitions and provide payment facts; do not label estimates as spend.</x:v>
      </x:c>
      <x:c r="J51" s="13"/>
      <x:c r="K51" s="15" t="s">
        <x:v>160</x:v>
      </x:c>
    </x:row>
    <x:row r="52" ht="85" customHeight="1">
      <x:c r="A52" s="11">
        <x:f t="shared" si="0"/>
        <x:v>67</x:v>
      </x:c>
      <x:c r="B52" s="12" t="s">
        <x:v>161</x:v>
      </x:c>
      <x:c r="C52" s="13" t="s">
        <x:v>162</x:v>
      </x:c>
      <x:c r="D52" s="13" t="s">
        <x:v>17</x:v>
      </x:c>
      <x:c r="E52" s="13" t="s">
        <x:v>34</x:v>
      </x:c>
      <x:c r="F52" s="13" t="s">
        <x:v>163</x:v>
      </x:c>
      <x:c r="G52" s="13" t="str">
        <x:v>Partial reporting</x:v>
      </x:c>
      <x:c r="H52" s="13" t="str">
        <x:v>Current reference/category reporting exists; framework configuration workflows and specific release contents need business verification. Historical v1 status: ✅ Implemented.</x:v>
      </x:c>
      <x:c r="I52" s="13" t="str">
        <x:v>Reconcile framework versions and all categories, then confirm portal configuration.</x:v>
      </x:c>
      <x:c r="J52" s="13"/>
      <x:c r="K52" s="13"/>
    </x:row>
    <x:row r="53" ht="85" customHeight="1">
      <x:c r="A53" s="11">
        <x:f t="shared" si="0"/>
        <x:v>68</x:v>
      </x:c>
      <x:c r="B53" s="12" t="s">
        <x:v>164</x:v>
      </x:c>
      <x:c r="C53" s="13" t="s">
        <x:v>165</x:v>
      </x:c>
      <x:c r="D53" s="13" t="s">
        <x:v>17</x:v>
      </x:c>
      <x:c r="E53" s="13" t="s">
        <x:v>34</x:v>
      </x:c>
      <x:c r="F53" s="13" t="s">
        <x:v>163</x:v>
      </x:c>
      <x:c r="G53" s="13" t="str">
        <x:v>Partial reporting</x:v>
      </x:c>
      <x:c r="H53" s="13" t="str">
        <x:v>Current reference/category reporting exists; framework configuration workflows and specific release contents need business verification. Historical v1 status: ✅ Implemented.</x:v>
      </x:c>
      <x:c r="I53" s="13" t="str">
        <x:v>Reconcile framework versions and all categories, then confirm portal configuration.</x:v>
      </x:c>
      <x:c r="J53" s="13"/>
      <x:c r="K53" s="13"/>
    </x:row>
    <x:row r="54" ht="150" customHeight="1">
      <x:c r="A54" s="11">
        <x:f t="shared" si="0"/>
        <x:v>69</x:v>
      </x:c>
      <x:c r="B54" s="12" t="s">
        <x:v>166</x:v>
      </x:c>
      <x:c r="C54" s="13" t="s">
        <x:v>167</x:v>
      </x:c>
      <x:c r="D54" s="13" t="s">
        <x:v>17</x:v>
      </x:c>
      <x:c r="E54" s="13" t="s">
        <x:v>13</x:v>
      </x:c>
      <x:c r="F54" s="13" t="s">
        <x:v>19</x:v>
      </x:c>
      <x:c r="G54" s="13" t="str">
        <x:v>Built; UAT pending</x:v>
      </x:c>
      <x:c r="H54" s="13" t="str">
        <x:v>Saved-file definitions exist. Full refreshed DAX reconciliation, data completeness and business acceptance remain open. Mission Control: Supporting design evidence. Governed contract/schema and lineage imports support model controls; robustness and performance need runtime tests. Historical v1 status: ℹ️ Non-functional.</x:v>
      </x:c>
      <x:c r="I54" s="13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J54" s="13"/>
      <x:c r="K54" s="13"/>
    </x:row>
    <x:row r="55" ht="72" customHeight="1">
      <x:c r="A55" s="11">
        <x:f t="shared" si="0"/>
        <x:v>70</x:v>
      </x:c>
      <x:c r="B55" s="12" t="s">
        <x:v>168</x:v>
      </x:c>
      <x:c r="C55" s="13" t="s">
        <x:v>169</x:v>
      </x:c>
      <x:c r="D55" s="13" t="s">
        <x:v>17</x:v>
      </x:c>
      <x:c r="E55" s="13" t="s">
        <x:v>18</x:v>
      </x:c>
      <x:c r="F55" s="13" t="s">
        <x:v>19</x:v>
      </x:c>
      <x:c r="G55" s="13" t="str">
        <x:v>Outside report assessment</x:v>
      </x:c>
      <x:c r="H55" s="13" t="str">
        <x:v>Read-only reporting cannot implement notifications, matching, upload, record editing or operational visibility rules. Historical v1 status: ℹ️ Feature.</x:v>
      </x:c>
      <x:c r="I55" s="13" t="str">
        <x:v>Obtain source-system workflow acceptance separately.</x:v>
      </x:c>
      <x:c r="J55" s="13"/>
      <x:c r="K55" s="13"/>
    </x:row>
    <x:row r="56" ht="72" customHeight="1">
      <x:c r="A56" s="11">
        <x:f t="shared" si="0"/>
        <x:v>71</x:v>
      </x:c>
      <x:c r="B56" s="12" t="s">
        <x:v>170</x:v>
      </x:c>
      <x:c r="C56" s="13" t="s">
        <x:v>171</x:v>
      </x:c>
      <x:c r="D56" s="13" t="s">
        <x:v>78</x:v>
      </x:c>
      <x:c r="E56" s="13" t="s">
        <x:v>13</x:v>
      </x:c>
      <x:c r="F56" s="13" t="s">
        <x:v>103</x:v>
      </x:c>
      <x:c r="G56" s="13" t="str">
        <x:v>Partial reporting</x:v>
      </x:c>
      <x:c r="H56" s="13" t="str">
        <x:v>IPA-grain signing is implemented; the report does not perform signing, approval or certify a full audit trail. Historical v1 status: ✅ Implemented.</x:v>
      </x:c>
      <x:c r="I56" s="13" t="str">
        <x:v>Reconcile both signatures on the same IPA, closed unsigned IPAs and multiple IPAs per offer.</x:v>
      </x:c>
      <x:c r="J56" s="13"/>
      <x:c r="K56" s="13"/>
    </x:row>
    <x:row r="57" ht="72" customHeight="1">
      <x:c r="A57" s="11">
        <x:f t="shared" si="0"/>
        <x:v>72</x:v>
      </x:c>
      <x:c r="B57" s="12" t="s">
        <x:v>172</x:v>
      </x:c>
      <x:c r="C57" s="13" t="s">
        <x:v>173</x:v>
      </x:c>
      <x:c r="D57" s="13" t="s">
        <x:v>17</x:v>
      </x:c>
      <x:c r="E57" s="13" t="s">
        <x:v>34</x:v>
      </x:c>
      <x:c r="F57" s="13" t="s">
        <x:v>19</x:v>
      </x:c>
      <x:c r="G57" s="13" t="str">
        <x:v>Outside report assessment</x:v>
      </x:c>
      <x:c r="H57" s="13" t="str">
        <x:v>Read-only reporting cannot implement notifications, matching, upload, record editing or operational visibility rules. Historical v1 status: ℹ️ Feature.</x:v>
      </x:c>
      <x:c r="I57" s="13" t="str">
        <x:v>Obtain source-system workflow acceptance separately.</x:v>
      </x:c>
      <x:c r="J57" s="13"/>
      <x:c r="K57" s="13"/>
    </x:row>
    <x:row r="58" ht="59" customHeight="1">
      <x:c r="A58" s="11">
        <x:f t="shared" si="0"/>
        <x:v>73</x:v>
      </x:c>
      <x:c r="B58" s="12" t="s">
        <x:v>174</x:v>
      </x:c>
      <x:c r="C58" s="13" t="s">
        <x:v>175</x:v>
      </x:c>
      <x:c r="D58" s="13" t="s">
        <x:v>17</x:v>
      </x:c>
      <x:c r="E58" s="13" t="s">
        <x:v>18</x:v>
      </x:c>
      <x:c r="F58" s="13" t="s">
        <x:v>19</x:v>
      </x:c>
      <x:c r="G58" s="13" t="str">
        <x:v>Outside report assessment</x:v>
      </x:c>
      <x:c r="H58" s="13" t="str">
        <x:v>Design and roadmap evidence is separate from KPI coverage or production acceptance. Historical v1 status: ℹ️ Non-functional.</x:v>
      </x:c>
      <x:c r="I58" s="13" t="str">
        <x:v>Confirm architecture/procurement and hosting decisions.</x:v>
      </x:c>
      <x:c r="J58" s="13"/>
      <x:c r="K58" s="13"/>
    </x:row>
    <x:row r="59" ht="59" customHeight="1">
      <x:c r="A59" s="11">
        <x:f t="shared" si="0"/>
        <x:v>74</x:v>
      </x:c>
      <x:c r="B59" s="12" t="s">
        <x:v>176</x:v>
      </x:c>
      <x:c r="C59" s="13" t="s">
        <x:v>177</x:v>
      </x:c>
      <x:c r="D59" s="13" t="s">
        <x:v>17</x:v>
      </x:c>
      <x:c r="E59" s="13" t="s">
        <x:v>18</x:v>
      </x:c>
      <x:c r="F59" s="13" t="s">
        <x:v>19</x:v>
      </x:c>
      <x:c r="G59" s="13" t="str">
        <x:v>Outside report assessment</x:v>
      </x:c>
      <x:c r="H59" s="13" t="str">
        <x:v>Design and roadmap evidence is separate from KPI coverage or production acceptance. Historical v1 status: ℹ️ Non-functional.</x:v>
      </x:c>
      <x:c r="I59" s="13" t="str">
        <x:v>Confirm architecture/procurement and hosting decisions.</x:v>
      </x:c>
      <x:c r="J59" s="13"/>
      <x:c r="K59" s="13"/>
    </x:row>
    <x:row r="60" ht="150" customHeight="1">
      <x:c r="A60" s="11">
        <x:f t="shared" si="0"/>
        <x:v>75</x:v>
      </x:c>
      <x:c r="B60" s="12" t="s">
        <x:v>178</x:v>
      </x:c>
      <x:c r="C60" s="13" t="s">
        <x:v>179</x:v>
      </x:c>
      <x:c r="D60" s="13" t="s">
        <x:v>17</x:v>
      </x:c>
      <x:c r="E60" s="13" t="s">
        <x:v>13</x:v>
      </x:c>
      <x:c r="F60" s="13" t="s">
        <x:v>19</x:v>
      </x:c>
      <x:c r="G60" s="13" t="str">
        <x:v>Delivery acceptance pending</x:v>
      </x:c>
      <x:c r="H60" s="13" t="str">
        <x:v>Report/model files do not establish availability, accessibility, SLA, device compatibility, migration completeness, retention or formal sign-off. Mission Control: Partial operational support. Run status and timing support operations; availability, scalability, DR/RTO/RPO and failover are not proven. Historical v1 status: ℹ️ Non-functional.</x:v>
      </x:c>
      <x:c r="I60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0" s="13"/>
      <x:c r="K60" s="13"/>
    </x:row>
    <x:row r="61" ht="85" customHeight="1">
      <x:c r="A61" s="11">
        <x:f t="shared" si="0"/>
        <x:v>76</x:v>
      </x:c>
      <x:c r="B61" s="12" t="s">
        <x:v>180</x:v>
      </x:c>
      <x:c r="C61" s="13" t="s">
        <x:v>181</x:v>
      </x:c>
      <x:c r="D61" s="13" t="s">
        <x:v>17</x:v>
      </x:c>
      <x:c r="E61" s="13" t="s">
        <x:v>13</x:v>
      </x:c>
      <x:c r="F61" s="13" t="s">
        <x:v>19</x:v>
      </x:c>
      <x:c r="G61" s="13" t="str">
        <x:v>Security acceptance pending</x:v>
      </x:c>
      <x:c r="H61" s="13" t="str">
        <x:v>Role definitions exist, but authorised identity tests, access provisioning, small-cell disclosure and break-glass controls are not signed off. Historical v1 status: ℹ️ Security.</x:v>
      </x:c>
      <x:c r="I61" s="13" t="str">
        <x:v>Approve mappings and disclosure policy; execute role and Service-access tests.</x:v>
      </x:c>
      <x:c r="J61" s="13"/>
      <x:c r="K61" s="13"/>
    </x:row>
    <x:row r="62" ht="72" customHeight="1">
      <x:c r="A62" s="11">
        <x:f t="shared" si="0"/>
        <x:v>77</x:v>
      </x:c>
      <x:c r="B62" s="12" t="s">
        <x:v>182</x:v>
      </x:c>
      <x:c r="C62" s="13" t="s">
        <x:v>183</x:v>
      </x:c>
      <x:c r="D62" s="13" t="s">
        <x:v>17</x:v>
      </x:c>
      <x:c r="E62" s="13" t="s">
        <x:v>34</x:v>
      </x:c>
      <x:c r="F62" s="13" t="s">
        <x:v>19</x:v>
      </x:c>
      <x:c r="G62" s="13" t="str">
        <x:v>Outside report assessment</x:v>
      </x:c>
      <x:c r="H62" s="13" t="str">
        <x:v>Read-only reporting cannot implement notifications, matching, upload, record editing or operational visibility rules. Historical v1 status: ℹ️ Feature.</x:v>
      </x:c>
      <x:c r="I62" s="13" t="str">
        <x:v>Obtain source-system workflow acceptance separately.</x:v>
      </x:c>
      <x:c r="J62" s="13"/>
      <x:c r="K62" s="13"/>
    </x:row>
    <x:row r="63" ht="85" customHeight="1">
      <x:c r="A63" s="11">
        <x:f t="shared" si="0"/>
        <x:v>78</x:v>
      </x:c>
      <x:c r="B63" s="12" t="s">
        <x:v>184</x:v>
      </x:c>
      <x:c r="C63" s="13" t="s">
        <x:v>185</x:v>
      </x:c>
      <x:c r="D63" s="13" t="s">
        <x:v>17</x:v>
      </x:c>
      <x:c r="E63" s="13" t="s">
        <x:v>13</x:v>
      </x:c>
      <x:c r="F63" s="13" t="s">
        <x:v>19</x:v>
      </x:c>
      <x:c r="G63" s="13" t="str">
        <x:v>Security acceptance pending</x:v>
      </x:c>
      <x:c r="H63" s="13" t="str">
        <x:v>Role definitions exist, but authorised identity tests, access provisioning, small-cell disclosure and break-glass controls are not signed off. Historical v1 status: ℹ️ Security.</x:v>
      </x:c>
      <x:c r="I63" s="13" t="str">
        <x:v>Approve mappings and disclosure policy; execute role and Service-access tests.</x:v>
      </x:c>
      <x:c r="J63" s="13"/>
      <x:c r="K63" s="13"/>
    </x:row>
    <x:row r="64" ht="85" customHeight="1">
      <x:c r="A64" s="11">
        <x:f t="shared" si="0"/>
        <x:v>79</x:v>
      </x:c>
      <x:c r="B64" s="12" t="s">
        <x:v>186</x:v>
      </x:c>
      <x:c r="C64" s="13" t="s">
        <x:v>187</x:v>
      </x:c>
      <x:c r="D64" s="13" t="s">
        <x:v>17</x:v>
      </x:c>
      <x:c r="E64" s="13" t="s">
        <x:v>34</x:v>
      </x:c>
      <x:c r="F64" s="13" t="s">
        <x:v>19</x:v>
      </x:c>
      <x:c r="G64" s="13" t="str">
        <x:v>Security acceptance pending</x:v>
      </x:c>
      <x:c r="H64" s="13" t="str">
        <x:v>Role definitions exist, but authorised identity tests, access provisioning, small-cell disclosure and break-glass controls are not signed off. Historical v1 status: ℹ️ Security.</x:v>
      </x:c>
      <x:c r="I64" s="13" t="str">
        <x:v>Approve mappings and disclosure policy; execute role and Service-access tests.</x:v>
      </x:c>
      <x:c r="J64" s="13"/>
      <x:c r="K64" s="13"/>
    </x:row>
    <x:row r="65" ht="72" customHeight="1">
      <x:c r="A65" s="11">
        <x:f t="shared" si="0"/>
        <x:v>80</x:v>
      </x:c>
      <x:c r="B65" s="12" t="s">
        <x:v>188</x:v>
      </x:c>
      <x:c r="C65" s="13" t="s">
        <x:v>189</x:v>
      </x:c>
      <x:c r="D65" s="13" t="s">
        <x:v>17</x:v>
      </x:c>
      <x:c r="E65" s="13" t="s">
        <x:v>34</x:v>
      </x:c>
      <x:c r="F65" s="13" t="s">
        <x:v>19</x:v>
      </x:c>
      <x:c r="G65" s="13" t="str">
        <x:v>Outside report assessment</x:v>
      </x:c>
      <x:c r="H65" s="13" t="str">
        <x:v>Read-only reporting cannot implement notifications, matching, upload, record editing or operational visibility rules. Historical v1 status: ℹ️ Feature.</x:v>
      </x:c>
      <x:c r="I65" s="13" t="str">
        <x:v>Obtain source-system workflow acceptance separately.</x:v>
      </x:c>
      <x:c r="J65" s="13"/>
      <x:c r="K65" s="13"/>
    </x:row>
    <x:row r="66" ht="85" customHeight="1">
      <x:c r="A66" s="11" t="n">
        <x:f t="shared" ref="A66:A81" si="1">VALUE(TRIM(SUBSTITUTE(B66,"R","",1)))</x:f>
        <x:v>81</x:v>
      </x:c>
      <x:c r="B66" s="12" t="s">
        <x:v>190</x:v>
      </x:c>
      <x:c r="C66" s="13" t="s">
        <x:v>191</x:v>
      </x:c>
      <x:c r="D66" s="13" t="s">
        <x:v>17</x:v>
      </x:c>
      <x:c r="E66" s="13" t="s">
        <x:v>34</x:v>
      </x:c>
      <x:c r="F66" s="13" t="s">
        <x:v>19</x:v>
      </x:c>
      <x:c r="G66" s="13" t="str">
        <x:v>Delivery acceptance pending</x:v>
      </x:c>
      <x:c r="H66" s="13" t="str">
        <x:v>Report/model files do not establish availability, accessibility, SLA, device compatibility, migration completeness, retention or formal sign-off. Historical v1 status: ℹ️ Non-functional.</x:v>
      </x:c>
      <x:c r="I66" s="13" t="str">
        <x:v>Complete the requirement-specific acceptance evidence; freshness is not an SLA measurement.</x:v>
      </x:c>
      <x:c r="J66" s="13"/>
      <x:c r="K66" s="13"/>
    </x:row>
    <x:row r="67" ht="163" customHeight="1">
      <x:c r="A67" s="11">
        <x:f t="shared" si="1"/>
        <x:v>82</x:v>
      </x:c>
      <x:c r="B67" s="12" t="s">
        <x:v>192</x:v>
      </x:c>
      <x:c r="C67" s="13" t="s">
        <x:v>193</x:v>
      </x:c>
      <x:c r="D67" s="13" t="s">
        <x:v>17</x:v>
      </x:c>
      <x:c r="E67" s="13" t="s">
        <x:v>34</x:v>
      </x:c>
      <x:c r="F67" s="13" t="s">
        <x:v>194</x:v>
      </x:c>
      <x:c r="G67" s="13" t="str">
        <x:v>Delivery acceptance pending</x:v>
      </x:c>
      <x:c r="H67" s="13" t="str">
        <x:v>Report/model files do not establish availability, accessibility, SLA, device compatibility, migration completeness, retention or formal sign-off. Mission Control: Partial operational support. Pipeline duration, throughput and prior-run benchmarks exist; these do not measure portal/report response latency or certify an SLA. Historical v1 status: ✅ Implemented.</x:v>
      </x:c>
      <x:c r="I67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7" s="13"/>
      <x:c r="K67" s="13"/>
    </x:row>
    <x:row r="68" ht="163" customHeight="1">
      <x:c r="A68" s="11">
        <x:f t="shared" si="1"/>
        <x:v>83</x:v>
      </x:c>
      <x:c r="B68" s="12" t="s">
        <x:v>195</x:v>
      </x:c>
      <x:c r="C68" s="13" t="s">
        <x:v>196</x:v>
      </x:c>
      <x:c r="D68" s="13" t="s">
        <x:v>17</x:v>
      </x:c>
      <x:c r="E68" s="13" t="s">
        <x:v>13</x:v>
      </x:c>
      <x:c r="F68" s="13" t="s">
        <x:v>19</x:v>
      </x:c>
      <x:c r="G68" s="13" t="str">
        <x:v>Delivery acceptance pending</x:v>
      </x:c>
      <x:c r="H68" s="13" t="str">
        <x:v>Report/model files do not establish availability, accessibility, SLA, device compatibility, migration completeness, retention or formal sign-off. Mission Control: Partial operational support. Archive/replay controls and load rows provide migration evidence, not complete source-to-target migration acceptance. Historical v1 status: ℹ️ Non-functional.</x:v>
      </x:c>
      <x:c r="I68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8" s="13"/>
      <x:c r="K68" s="13"/>
    </x:row>
    <x:row r="69" ht="163" customHeight="1">
      <x:c r="A69" s="11">
        <x:f t="shared" si="1"/>
        <x:v>84</x:v>
      </x:c>
      <x:c r="B69" s="12" t="s">
        <x:v>197</x:v>
      </x:c>
      <x:c r="C69" s="13" t="s">
        <x:v>198</x:v>
      </x:c>
      <x:c r="D69" s="13" t="s">
        <x:v>17</x:v>
      </x:c>
      <x:c r="E69" s="13" t="s">
        <x:v>13</x:v>
      </x:c>
      <x:c r="F69" s="13" t="s">
        <x:v>19</x:v>
      </x:c>
      <x:c r="G69" s="13" t="str">
        <x:v>Delivery acceptance pending</x:v>
      </x:c>
      <x:c r="H69" s="13" t="str">
        <x:v>Report/model files do not establish availability, accessibility, SLA, device compatibility, migration completeness, retention or formal sign-off. Mission Control: Partial operational support. DQ/RI exceptions, drift, lineage and retained domain evidence exist; retention/export policy and security acceptance remain open. Historical v1 status: ℹ️ Non-functional.</x:v>
      </x:c>
      <x:c r="I69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9" s="13"/>
      <x:c r="K69" s="13"/>
    </x:row>
    <x:row r="70" ht="163" customHeight="1">
      <x:c r="A70" s="11">
        <x:f t="shared" si="1"/>
        <x:v>85</x:v>
      </x:c>
      <x:c r="B70" s="12" t="s">
        <x:v>199</x:v>
      </x:c>
      <x:c r="C70" s="13" t="s">
        <x:v>200</x:v>
      </x:c>
      <x:c r="D70" s="13" t="s">
        <x:v>17</x:v>
      </x:c>
      <x:c r="E70" s="13" t="s">
        <x:v>18</x:v>
      </x:c>
      <x:c r="F70" s="13" t="s">
        <x:v>19</x:v>
      </x:c>
      <x:c r="G70" s="13" t="str">
        <x:v>Delivery acceptance pending</x:v>
      </x:c>
      <x:c r="H70" s="13" t="str">
        <x:v>Report/model files do not establish availability, accessibility, SLA, device compatibility, migration completeness, retention or formal sign-off. Mission Control: Supporting documentation evidence. Operational pages and runbooks support handover; FAQs, user training, support readiness and client approval remain separate. Historical v1 status: ℹ️ Non-functional.</x:v>
      </x:c>
      <x:c r="I70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70" s="13"/>
      <x:c r="K70" s="13"/>
    </x:row>
    <x:row r="71" ht="137" customHeight="1">
      <x:c r="A71" s="11">
        <x:f t="shared" si="1"/>
        <x:v>86</x:v>
      </x:c>
      <x:c r="B71" s="12" t="s">
        <x:v>201</x:v>
      </x:c>
      <x:c r="C71" s="13" t="s">
        <x:v>202</x:v>
      </x:c>
      <x:c r="D71" s="13" t="s">
        <x:v>17</x:v>
      </x:c>
      <x:c r="E71" s="13" t="s">
        <x:v>34</x:v>
      </x:c>
      <x:c r="F71" s="13" t="s">
        <x:v>19</x:v>
      </x:c>
      <x:c r="G71" s="13" t="str">
        <x:v>Delivery acceptance pending</x:v>
      </x:c>
      <x:c r="H71" s="13" t="str">
        <x:v>Report/model files do not establish availability, accessibility, SLA, device compatibility, migration completeness, retention or formal sign-off. Phone-layout definitions are present; actual device/browser behaviour and accessibility still need client tests. Historical v1 status: ℹ️ Non-functional.</x:v>
      </x:c>
      <x:c r="I71" s="13" t="str">
        <x:v>Complete the requirement-specific acceptance evidence; freshness is not an SLA measurement.</x:v>
      </x:c>
      <x:c r="J71" s="13"/>
      <x:c r="K71" s="13"/>
    </x:row>
    <x:row r="72" ht="176" customHeight="1">
      <x:c r="A72" s="11">
        <x:f t="shared" si="1"/>
        <x:v>87</x:v>
      </x:c>
      <x:c r="B72" s="12" t="s">
        <x:v>203</x:v>
      </x:c>
      <x:c r="C72" s="13" t="s">
        <x:v>204</x:v>
      </x:c>
      <x:c r="D72" s="13" t="s">
        <x:v>17</x:v>
      </x:c>
      <x:c r="E72" s="13" t="s">
        <x:v>34</x:v>
      </x:c>
      <x:c r="F72" s="13" t="s">
        <x:v>19</x:v>
      </x:c>
      <x:c r="G72" s="13" t="str">
        <x:v>Delivery acceptance pending</x:v>
      </x:c>
      <x:c r="H72" s="13" t="str">
        <x:v>Report/model files do not establish availability, accessibility, SLA, device compatibility, migration completeness, retention or formal sign-off. Mission Control: Partial operational support. Failures, error detail and reload queues support incident triage; notification delivery, ticket workflow and SLA ownership are not implemented by these cards. Historical v1 status: ℹ️ Non-functional.</x:v>
      </x:c>
      <x:c r="I72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72" s="13"/>
      <x:c r="K72" s="13"/>
    </x:row>
    <x:row r="73" ht="137" customHeight="1">
      <x:c r="A73" s="11">
        <x:f t="shared" si="1"/>
        <x:v>88</x:v>
      </x:c>
      <x:c r="B73" s="12" t="s">
        <x:v>205</x:v>
      </x:c>
      <x:c r="C73" s="13" t="s">
        <x:v>206</x:v>
      </x:c>
      <x:c r="D73" s="13" t="s">
        <x:v>17</x:v>
      </x:c>
      <x:c r="E73" s="13" t="s">
        <x:v>18</x:v>
      </x:c>
      <x:c r="F73" s="13" t="s">
        <x:v>19</x:v>
      </x:c>
      <x:c r="G73" s="13" t="str">
        <x:v>Outside report assessment</x:v>
      </x:c>
      <x:c r="H73" s="13" t="str">
        <x:v>Design and roadmap evidence is separate from KPI coverage or production acceptance. Mission Control: Supporting change-control evidence. Versioned contracts, source-controlled notebooks and discovery evidence support controlled change, not full roadmap/governance acceptance. Historical v1 status: ℹ️ Non-functional.</x:v>
      </x:c>
      <x:c r="I73" s="13" t="str">
        <x:v>Confirm architecture/procurement and hosting decisions. Validate the Mission Control measures and page filters against known runs; proposed R-to-operational-measure association requires owner approval.</x:v>
      </x:c>
      <x:c r="J73" s="13"/>
      <x:c r="K73" s="13"/>
    </x:row>
    <x:row r="74" ht="85" customHeight="1">
      <x:c r="A74" s="11">
        <x:f t="shared" si="1"/>
        <x:v>89</x:v>
      </x:c>
      <x:c r="B74" s="12" t="s">
        <x:v>207</x:v>
      </x:c>
      <x:c r="C74" s="13" t="s">
        <x:v>208</x:v>
      </x:c>
      <x:c r="D74" s="13" t="s">
        <x:v>17</x:v>
      </x:c>
      <x:c r="E74" s="13" t="s">
        <x:v>18</x:v>
      </x:c>
      <x:c r="F74" s="13" t="s">
        <x:v>19</x:v>
      </x:c>
      <x:c r="G74" s="13" t="str">
        <x:v>Delivery acceptance pending</x:v>
      </x:c>
      <x:c r="H74" s="13" t="str">
        <x:v>Report/model files do not establish availability, accessibility, SLA, device compatibility, migration completeness, retention or formal sign-off. Historical v1 status: ℹ️ Non-functional.</x:v>
      </x:c>
      <x:c r="I74" s="13" t="str">
        <x:v>Complete the requirement-specific acceptance evidence; freshness is not an SLA measurement.</x:v>
      </x:c>
      <x:c r="J74" s="13"/>
      <x:c r="K74" s="13"/>
    </x:row>
    <x:row r="75" ht="59" customHeight="1">
      <x:c r="A75" s="11">
        <x:f t="shared" si="1"/>
        <x:v>90</x:v>
      </x:c>
      <x:c r="B75" s="12" t="s">
        <x:v>209</x:v>
      </x:c>
      <x:c r="C75" s="13" t="s">
        <x:v>210</x:v>
      </x:c>
      <x:c r="D75" s="13" t="s">
        <x:v>17</x:v>
      </x:c>
      <x:c r="E75" s="13" t="s">
        <x:v>18</x:v>
      </x:c>
      <x:c r="F75" s="13" t="s">
        <x:v>19</x:v>
      </x:c>
      <x:c r="G75" s="13" t="str">
        <x:v>Outside report assessment</x:v>
      </x:c>
      <x:c r="H75" s="13" t="str">
        <x:v>Design and roadmap evidence is separate from KPI coverage or production acceptance. Historical v1 status: ℹ️ Non-functional.</x:v>
      </x:c>
      <x:c r="I75" s="13" t="str">
        <x:v>Confirm architecture/procurement and hosting decisions.</x:v>
      </x:c>
      <x:c r="J75" s="13"/>
      <x:c r="K75" s="13"/>
    </x:row>
    <x:row r="76" ht="72" customHeight="1">
      <x:c r="A76" s="11">
        <x:f t="shared" si="1"/>
        <x:v>91</x:v>
      </x:c>
      <x:c r="B76" s="12" t="s">
        <x:v>211</x:v>
      </x:c>
      <x:c r="C76" s="13" t="s">
        <x:v>212</x:v>
      </x:c>
      <x:c r="D76" s="13" t="s">
        <x:v>78</x:v>
      </x:c>
      <x:c r="E76" s="13" t="s">
        <x:v>13</x:v>
      </x:c>
      <x:c r="F76" s="13" t="s">
        <x:v>213</x:v>
      </x:c>
      <x:c r="G76" s="13" t="str">
        <x:v>Partial reporting</x:v>
      </x:c>
      <x:c r="H76" s="13" t="str">
        <x:v>Registration data is reportable; submission/upload and onboarding workflows remain source-system functions. Historical v1 status: ✅ Implemented.</x:v>
      </x:c>
      <x:c r="I76" s="13" t="str">
        <x:v>Validate directory data and obtain registration workflow evidence.</x:v>
      </x:c>
      <x:c r="J76" s="13"/>
      <x:c r="K76" s="13"/>
    </x:row>
    <x:row r="77" ht="72" customHeight="1">
      <x:c r="A77" s="11">
        <x:f t="shared" si="1"/>
        <x:v>92</x:v>
      </x:c>
      <x:c r="B77" s="12" t="s">
        <x:v>214</x:v>
      </x:c>
      <x:c r="C77" s="13" t="s">
        <x:v>215</x:v>
      </x:c>
      <x:c r="D77" s="13" t="s">
        <x:v>109</x:v>
      </x:c>
      <x:c r="E77" s="13" t="s">
        <x:v>34</x:v>
      </x:c>
      <x:c r="F77" s="13" t="s">
        <x:v>19</x:v>
      </x:c>
      <x:c r="G77" s="13" t="str">
        <x:v>Partial reporting</x:v>
      </x:c>
      <x:c r="H77" s="13" t="str">
        <x:v>Current provider approval state is reportable; it does not certify due diligence, bulk-job success or registration workflow. Historical v1 status: ℹ️ Feature.</x:v>
      </x:c>
      <x:c r="I77" s="13" t="str">
        <x:v>Approve proxy label and obtain workflow/compliance evidence.</x:v>
      </x:c>
      <x:c r="J77" s="13"/>
      <x:c r="K77" s="13"/>
    </x:row>
    <x:row r="78" ht="111" customHeight="1">
      <x:c r="A78" s="11">
        <x:f t="shared" si="1"/>
        <x:v>93</x:v>
      </x:c>
      <x:c r="B78" s="12" t="s">
        <x:v>216</x:v>
      </x:c>
      <x:c r="C78" s="13" t="s">
        <x:v>217</x:v>
      </x:c>
      <x:c r="D78" s="13" t="s">
        <x:v>12</x:v>
      </x:c>
      <x:c r="E78" s="13" t="s">
        <x:v>13</x:v>
      </x:c>
      <x:c r="F78" s="13" t="s">
        <x:v>218</x:v>
      </x:c>
      <x:c r="G78" s="13" t="str">
        <x:v>Built; UAT pending</x:v>
      </x:c>
      <x:c r="H78" s="13" t="str">
        <x:v>Provider/home/offer/assignment/message detail is built. Document access and permissions need runtime review. Registry source, export permissions and identity access still require runtime acceptance. Historical v1 status: ✅ Implemented.</x:v>
      </x:c>
      <x:c r="I78" s="13" t="str">
        <x:v>Drill from a provider and test each detail section and authorised document access.</x:v>
      </x:c>
      <x:c r="J78" s="13"/>
      <x:c r="K78" s="13"/>
    </x:row>
    <x:row r="79" ht="72" customHeight="1">
      <x:c r="A79" s="11">
        <x:f t="shared" si="1"/>
        <x:v>94</x:v>
      </x:c>
      <x:c r="B79" s="12" t="s">
        <x:v>219</x:v>
      </x:c>
      <x:c r="C79" s="13" t="s">
        <x:v>220</x:v>
      </x:c>
      <x:c r="D79" s="13" t="s">
        <x:v>109</x:v>
      </x:c>
      <x:c r="E79" s="13" t="s">
        <x:v>34</x:v>
      </x:c>
      <x:c r="F79" s="13" t="s">
        <x:v>221</x:v>
      </x:c>
      <x:c r="G79" s="13" t="str">
        <x:v>Partial reporting</x:v>
      </x:c>
      <x:c r="H79" s="13" t="str">
        <x:v>Current flags are reportable. Historical flag types and application/removal workflow are not proven. Historical v1 status: ⚠️ Partial.</x:v>
      </x:c>
      <x:c r="I79" s="13" t="str">
        <x:v>Confirm flag scope and obtain historical classification and portal evidence.</x:v>
      </x:c>
      <x:c r="J79" s="13"/>
      <x:c r="K79" s="13"/>
    </x:row>
    <x:row r="80" ht="85" customHeight="1">
      <x:c r="A80" s="11">
        <x:f t="shared" si="1"/>
        <x:v>95</x:v>
      </x:c>
      <x:c r="B80" s="12" t="s">
        <x:v>222</x:v>
      </x:c>
      <x:c r="C80" s="13" t="s">
        <x:v>223</x:v>
      </x:c>
      <x:c r="D80" s="13" t="s">
        <x:v>17</x:v>
      </x:c>
      <x:c r="E80" s="13" t="s">
        <x:v>34</x:v>
      </x:c>
      <x:c r="F80" s="13" t="s">
        <x:v>224</x:v>
      </x:c>
      <x:c r="G80" s="13" t="str">
        <x:v>Partial reporting</x:v>
      </x:c>
      <x:c r="H80" s="13" t="str">
        <x:v>Current reference/category reporting exists; framework configuration workflows and specific release contents need business verification. Historical v1 status: ✅ Implemented.</x:v>
      </x:c>
      <x:c r="I80" s="13" t="str">
        <x:v>Reconcile framework versions and all categories, then confirm portal configuration.</x:v>
      </x:c>
      <x:c r="J80" s="13"/>
      <x:c r="K80" s="13"/>
    </x:row>
    <x:row r="81" ht="85" customHeight="1">
      <x:c r="A81" s="11">
        <x:f t="shared" si="1"/>
        <x:v>96</x:v>
      </x:c>
      <x:c r="B81" s="12" t="s">
        <x:v>225</x:v>
      </x:c>
      <x:c r="C81" s="13" t="s">
        <x:v>226</x:v>
      </x:c>
      <x:c r="D81" s="13" t="s">
        <x:v>17</x:v>
      </x:c>
      <x:c r="E81" s="13" t="s">
        <x:v>34</x:v>
      </x:c>
      <x:c r="F81" s="13" t="s">
        <x:v>227</x:v>
      </x:c>
      <x:c r="G81" s="13" t="str">
        <x:v>Partial reporting</x:v>
      </x:c>
      <x:c r="H81" s="13" t="str">
        <x:v>Current reference/category reporting exists; framework configuration workflows and specific release contents need business verification. Historical v1 status: ✅ Implemented.</x:v>
      </x:c>
      <x:c r="I81" s="13" t="str">
        <x:v>Reconcile framework versions and all categories, then confirm portal configuration.</x:v>
      </x:c>
      <x:c r="J81" s="13"/>
      <x:c r="K8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33.453125" customWidth="1"/>
    <x:col min="2" max="2" width="32.453125" customWidth="1"/>
    <x:col min="3" max="3" width="36" customWidth="1"/>
    <x:col min="4" max="4" width="29.54296875" customWidth="1"/>
  </x:cols>
  <x:sheetData>
    <x:row r="1" s="2" customFormat="1" ht="30" customHeight="1">
      <x:c r="A1" s="8" t="s">
        <x:v>228</x:v>
      </x:c>
      <x:c r="B1" s="8" t="s">
        <x:v>229</x:v>
      </x:c>
      <x:c r="C1" s="8" t="s">
        <x:v>230</x:v>
      </x:c>
      <x:c r="D1" s="20" t="s">
        <x:v>231</x:v>
      </x:c>
    </x:row>
    <x:row r="2" ht="46" customHeight="1">
      <x:c r="A2" s="13" t="s">
        <x:v>232</x:v>
      </x:c>
      <x:c r="B2" s="13" t="str">
        <x:v>slv_referral_provider</x:v>
      </x:c>
      <x:c r="C2" s="13" t="str">
        <x:v>referral.referral_provider</x:v>
      </x:c>
      <x:c r="D2" s="13" t="str">
        <x:v>Referral → Provider mapping; historical v1 object; no current production asserted</x:v>
      </x:c>
    </x:row>
    <x:row r="3" ht="72" customHeight="1">
      <x:c r="A3" s="13" t="s">
        <x:v>233</x:v>
      </x:c>
      <x:c r="B3" s="13" t="str">
        <x:v>silver.ipa; silver.offer; silver.provider_home_category; silver.provider_home_location; silver.referral_location; silver.referral_provider</x:v>
      </x:c>
      <x:c r="C3" s="13" t="str">
        <x:v>offer.offer</x:v>
      </x:c>
      <x:c r="D3" s="13" t="str">
        <x:v>Provider offers; notebook definition verified; refresh/UAT pending</x:v>
      </x:c>
    </x:row>
    <x:row r="4" ht="59" customHeight="1">
      <x:c r="A4" s="13" t="s">
        <x:v>234</x:v>
      </x:c>
      <x:c r="B4" s="13" t="str">
        <x:v>silver.ipa</x:v>
      </x:c>
      <x:c r="C4" s="13" t="str">
        <x:v>ipa.ipa</x:v>
      </x:c>
      <x:c r="D4" s="13" t="str">
        <x:v>Individual Placement Agreements; notebook definition verified; refresh/UAT pending</x:v>
      </x:c>
    </x:row>
    <x:row r="5" ht="46" customHeight="1">
      <x:c r="A5" s="13" t="s">
        <x:v>235</x:v>
      </x:c>
      <x:c r="B5" s="13" t="str">
        <x:v>slv_referral</x:v>
      </x:c>
      <x:c r="C5" s="13" t="str">
        <x:v>referral.referral</x:v>
      </x:c>
      <x:c r="D5" s="13" t="str">
        <x:v>Referral header; historical v1 object; no current production asserted</x:v>
      </x:c>
    </x:row>
    <x:row r="6" ht="46" customHeight="1">
      <x:c r="A6" s="13" t="s">
        <x:v>236</x:v>
      </x:c>
      <x:c r="B6" s="13" t="str">
        <x:v>silver.provider</x:v>
      </x:c>
      <x:c r="C6" s="13" t="str">
        <x:v>provider.provider</x:v>
      </x:c>
      <x:c r="D6" s="13" t="str">
        <x:v>Provider master; notebook definition verified; refresh/UAT pending</x:v>
      </x:c>
    </x:row>
    <x:row r="7" ht="46" customHeight="1">
      <x:c r="A7" s="13" t="s">
        <x:v>237</x:v>
      </x:c>
      <x:c r="B7" s="13" t="str">
        <x:v>silver.provider_home</x:v>
      </x:c>
      <x:c r="C7" s="13" t="str">
        <x:v>provider.provider_home</x:v>
      </x:c>
      <x:c r="D7" s="13" t="str">
        <x:v>Provider homes; notebook definition verified; refresh/UAT pending</x:v>
      </x:c>
    </x:row>
    <x:row r="8" ht="46" customHeight="1">
      <x:c r="A8" s="13" t="s">
        <x:v>238</x:v>
      </x:c>
      <x:c r="B8" s="13" t="str">
        <x:v>slv_provider_framework</x:v>
      </x:c>
      <x:c r="C8" s="13" t="str">
        <x:v>provider.provider_framework</x:v>
      </x:c>
      <x:c r="D8" s="13" t="str">
        <x:v>Provider-framework link; historical v1 object; no current production asserted</x:v>
      </x:c>
    </x:row>
    <x:row r="9" ht="46" customHeight="1">
      <x:c r="A9" s="13" t="s">
        <x:v>239</x:v>
      </x:c>
      <x:c r="B9" s="13" t="str">
        <x:v>slv_person</x:v>
      </x:c>
      <x:c r="C9" s="13" t="str">
        <x:v>referral.person</x:v>
      </x:c>
      <x:c r="D9" s="13" t="str">
        <x:v>Child demographics; historical v1 object; no current production asserted</x:v>
      </x:c>
    </x:row>
    <x:row r="10" ht="46" customHeight="1">
      <x:c r="A10" s="13" t="s">
        <x:v>240</x:v>
      </x:c>
      <x:c r="B10" s="13" t="str">
        <x:v>slv_referral_category</x:v>
      </x:c>
      <x:c r="C10" s="13" t="str">
        <x:v>referral.referral_category</x:v>
      </x:c>
      <x:c r="D10" s="13" t="str">
        <x:v>Referral categories; historical v1 object; no current production asserted</x:v>
      </x:c>
    </x:row>
    <x:row r="11" ht="46" customHeight="1">
      <x:c r="A11" s="13" t="s">
        <x:v>241</x:v>
      </x:c>
      <x:c r="B11" s="13" t="str">
        <x:v>slv_referral_provider_message</x:v>
      </x:c>
      <x:c r="C11" s="13" t="str">
        <x:v>referral.referral_provider_message</x:v>
      </x:c>
      <x:c r="D11" s="13" t="str">
        <x:v>Inter-party messages; historical v1 object; no current production asserted</x:v>
      </x:c>
    </x:row>
    <x:row r="12" ht="46" customHeight="1">
      <x:c r="A12" s="13" t="s">
        <x:v>242</x:v>
      </x:c>
      <x:c r="B12" s="13" t="str">
        <x:v>slv_person</x:v>
      </x:c>
      <x:c r="C12" s="13" t="str">
        <x:v>referral.person</x:v>
      </x:c>
      <x:c r="D12" s="13" t="str">
        <x:v>Gender aggregation; historical v1 object; no current production asserted</x:v>
      </x:c>
    </x:row>
    <x:row r="13" ht="46" customHeight="1">
      <x:c r="A13" s="13" t="s">
        <x:v>243</x:v>
      </x:c>
      <x:c r="B13" s="13" t="str">
        <x:v>slv_referral_event_log</x:v>
      </x:c>
      <x:c r="C13" s="13" t="str">
        <x:v>referral.referral_event_log</x:v>
      </x:c>
      <x:c r="D13" s="13" t="str">
        <x:v>Audit trail; historical v1 object; no current production asserted</x:v>
      </x:c>
    </x:row>
    <x:row r="14" ht="46" customHeight="1">
      <x:c r="A14" s="13" t="s">
        <x:v>244</x:v>
      </x:c>
      <x:c r="B14" s="13" t="str">
        <x:v>slv_s3_file_metadata</x:v>
      </x:c>
      <x:c r="C14" s="13" t="str">
        <x:v>document.s3_file_metadata</x:v>
      </x:c>
      <x:c r="D14" s="13" t="str">
        <x:v>Document metadata; historical v1 object; no current production asserted</x:v>
      </x:c>
    </x:row>
    <x:row r="15" ht="46" customHeight="1">
      <x:c r="A15" s="13" t="s">
        <x:v>245</x:v>
      </x:c>
      <x:c r="B15" s="13" t="str">
        <x:v>slv_provider_document</x:v>
      </x:c>
      <x:c r="C15" s="13" t="str">
        <x:v>provider.provider_document</x:v>
      </x:c>
      <x:c r="D15" s="13" t="str">
        <x:v>Provider docs; historical v1 object; no current production asserted</x:v>
      </x:c>
    </x:row>
    <x:row r="16" ht="46" customHeight="1">
      <x:c r="A16" s="13" t="s">
        <x:v>246</x:v>
      </x:c>
      <x:c r="B16" s="13" t="str">
        <x:v>slv_submission_documents</x:v>
      </x:c>
      <x:c r="C16" s="13" t="str">
        <x:v>provider.submission_documents</x:v>
      </x:c>
      <x:c r="D16" s="13" t="str">
        <x:v>Onboarding docs; historical v1 object; no current production asserted</x:v>
      </x:c>
    </x:row>
    <x:row r="17" ht="46" customHeight="1">
      <x:c r="A17" s="13" t="s">
        <x:v>247</x:v>
      </x:c>
      <x:c r="B17" s="13" t="str">
        <x:v>slv_referral_provider_decline_reason</x:v>
      </x:c>
      <x:c r="C17" s="13" t="str">
        <x:v>referral.referral_provider_decline_reason</x:v>
      </x:c>
      <x:c r="D17" s="13" t="str">
        <x:v>Decline reasons; historical v1 object; no current production asserted</x:v>
      </x:c>
    </x:row>
    <x:row r="18" ht="189" customHeight="1">
      <x:c r="A18" s="13" t="s">
        <x:v>248</x:v>
      </x:c>
      <x:c r="B18" s="13" t="str">
        <x:v>silver.ipa; silver.offer; silver.provider_framework; silver.provider_home_category; silver.provider_home_spot_category; silver.provider_sic_codes; silver.provider_submission_docs; silver.referral; silver.referral_category; silver.referral_person; silver.referral_provider_cancel_reason; silver.referral_provider_decline_reason; silver.referral_provider_message; silver.referral_spot_category</x:v>
      </x:c>
      <x:c r="C18" s="13" t="str">
        <x:v>offer.offer</x:v>
      </x:c>
      <x:c r="D18" s="13" t="str">
        <x:v>Offer status lookup; notebook definition verified; refresh/UAT 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3.1796875" customWidth="1"/>
    <x:col min="2" max="2" width="18.1796875" customWidth="1"/>
    <x:col min="3" max="3" width="41.1796875" customWidth="1"/>
    <x:col min="4" max="4" width="29.7265625" customWidth="1"/>
    <x:col min="5" max="5" width="29.453125" customWidth="1"/>
    <x:col min="6" max="6" width="85" hidden="0" customWidth="1"/>
    <x:col min="7" max="7" width="21" customWidth="1"/>
    <x:col min="8" max="8" width="28.54296875" customWidth="1"/>
  </x:cols>
  <x:sheetData>
    <x:row r="1" s="2" customFormat="1" ht="30" customHeight="1">
      <x:c r="A1" s="8" t="s">
        <x:v>249</x:v>
      </x:c>
      <x:c r="B1" s="8" t="s">
        <x:v>250</x:v>
      </x:c>
      <x:c r="C1" s="8" t="s">
        <x:v>251</x:v>
      </x:c>
      <x:c r="D1" s="8" t="s">
        <x:v>252</x:v>
      </x:c>
      <x:c r="E1" s="8" t="s">
        <x:v>253</x:v>
      </x:c>
      <x:c r="F1" s="8" t="s">
        <x:v>254</x:v>
      </x:c>
      <x:c r="G1" s="8" t="s">
        <x:v>255</x:v>
      </x:c>
      <x:c r="H1" s="20" t="s">
        <x:v>256</x:v>
      </x:c>
    </x:row>
    <x:row r="2" ht="332" customHeight="1">
      <x:c r="A2" s="12" t="s">
        <x:v>257</x:v>
      </x:c>
      <x:c r="B2" s="13" t="s">
        <x:v>258</x:v>
      </x:c>
      <x:c r="C2" s="13" t="s">
        <x:v>259</x:v>
      </x:c>
      <x:c r="D2" s="13" t="s">
        <x:v>260</x:v>
      </x:c>
      <x:c r="E2" s="13" t="str">
        <x:v>gold.fact_ipa; gold.fact_offer</x:v>
      </x:c>
      <x:c r="F2" s="13" t="str">
        <x:v>Original specification: `COUNT(DISTINCT ipa_id) / COUNT(DISTINCT accepted_offers) * 100`
Current assessment: Defined in saved model; runtime/UAT pending
Check the original population, grain and filter rules against the saved DAX. Definition differences and prior mappings are detailed in the calculation trace.
DAX:
[Accepted Offer to IPA Conversion %] = DIVIDE ( [IPAs Created], [Accepted Offers]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[producer excerpt; full source and dependencies in traceability document]
Full logic: KPI_CALCULATION_TRACEABILITY.md#kpi-83</x:v>
      </x:c>
      <x:c r="G2" s="13" t="str">
        <x:v>Accepted Offer to IPA Conversion %</x:v>
      </x:c>
      <x:c r="H2" s="13" t="s">
        <x:v>261</x:v>
      </x:c>
    </x:row>
    <x:row r="3" ht="409" customHeight="1">
      <x:c r="A3" s="12" t="s">
        <x:v>262</x:v>
      </x:c>
      <x:c r="B3" s="13" t="s">
        <x:v>263</x:v>
      </x:c>
      <x:c r="C3" s="13" t="s">
        <x:v>264</x:v>
      </x:c>
      <x:c r="D3" s="13" t="s">
        <x:v>265</x:v>
      </x:c>
      <x:c r="E3" s="13" t="str">
        <x:v>gold.fact_offer</x:v>
      </x:c>
      <x:c r="F3" s="13" t="str">
        <x:v>Original specification: Accepted offers
Current assessment: Legacy helper retired; original specification retained
Check the original population, grain and filter rules against the saved DAX. Definition differences and prior mappings are detailed in the calculation trace.
DAX:
[Accepted Offers] = CALCULATE (
			    [Offers Submitted],
			    FILTER (
			        'fact_offer',
			        LOWER ( 'fact_offer'[offer_status] ) IN { "accepted", "approved", "selected", "offer_successful" }
			   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KPI_CALCULATION_TRACEABILITY.md#kpi-39</x:v>
      </x:c>
      <x:c r="G3" s="13" t="str">
        <x:v>Accepted Offers</x:v>
      </x:c>
      <x:c r="H3" s="13" t="s">
        <x:v>266</x:v>
      </x:c>
    </x:row>
    <x:row r="4" ht="409" customHeight="1">
      <x:c r="A4" s="12" t="s">
        <x:v>54</x:v>
      </x:c>
      <x:c r="B4" s="13" t="s">
        <x:v>263</x:v>
      </x:c>
      <x:c r="C4" s="13" t="s">
        <x:v>267</x:v>
      </x:c>
      <x:c r="D4" s="13" t="s">
        <x:v>268</x:v>
      </x:c>
      <x:c r="E4" s="13" t="str">
        <x:v>gold.fact_offer</x:v>
      </x:c>
      <x:c r="F4" s="13" t="str">
        <x:v>Original specification: `COUNT(DISTINCT offer_id) WHERE offer_status = 'ACCEPTED'`
Current assessment: Legacy helper retired; original specification retained
Check the original population, grain and filter rules against the saved DAX. Definition differences and prior mappings are detailed in the calculation trace.
DAX:
[Accepted Offers] = CALCULATE (
			    [Offers Submitted],
			    FILTER (
			        'fact_offer',
			        LOWER ( 'fact_offer'[offer_status] ) IN { "accepted", "approved", "selected", "offer_successful" }
			   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KPI_CALCULATION_TRACEABILITY.md#kpi-75</x:v>
      </x:c>
      <x:c r="G4" s="13" t="str">
        <x:v>Accepted Offers</x:v>
      </x:c>
      <x:c r="H4" s="13" t="s">
        <x:v>261</x:v>
      </x:c>
    </x:row>
    <x:row r="5" ht="409" customHeight="1">
      <x:c r="A5" s="12" t="s">
        <x:v>269</x:v>
      </x:c>
      <x:c r="B5" s="13" t="s">
        <x:v>270</x:v>
      </x:c>
      <x:c r="C5" s="13" t="s">
        <x:v>271</x:v>
      </x:c>
      <x:c r="D5" s="13" t="s">
        <x:v>272</x:v>
      </x:c>
      <x:c r="E5" s="13" t="str">
        <x:v>gold.fact_referral</x:v>
      </x:c>
      <x:c r="F5" s="13" t="str">
        <x:v>Original specification: Open referrals with engagement
Current assessment: Defined in saved model; runtime/UAT pending
Check the original population, grain and filter rules against the saved DAX. Definition differences and prior mappings are detailed in the calculation trace.
DAX:
[Active Awaiting Offers With Engagement] = CALCULATE (
				[Total Referrals],
				'fact_referral'[is_open] = TRUE (),
				'fact_referral'[is_awaiting_offer] = TRUE (),
				'fact_referral'[has_provider_response] = TRUE ()
			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KPI_CALCULATION_TRACEABILITY.md#kpi-21</x:v>
      </x:c>
      <x:c r="G5" s="13" t="str">
        <x:v>Active Awaiting Offers With Engagement</x:v>
      </x:c>
      <x:c r="H5" s="13" t="s">
        <x:v>273</x:v>
      </x:c>
    </x:row>
    <x:row r="6" ht="409" customHeight="1">
      <x:c r="A6" s="12" t="s">
        <x:v>274</x:v>
      </x:c>
      <x:c r="B6" s="13" t="s">
        <x:v>270</x:v>
      </x:c>
      <x:c r="C6" s="13" t="s">
        <x:v>275</x:v>
      </x:c>
      <x:c r="D6" s="13" t="s">
        <x:v>272</x:v>
      </x:c>
      <x:c r="E6" s="13" t="str">
        <x:v>gold.fact_referral</x:v>
      </x:c>
      <x:c r="F6" s="13" t="str">
        <x:v>Original specification: Open referrals without engagement
Current assessment: Defined in saved model; runtime/UAT pending
Check the original population, grain and filter rules against the saved DAX. Definition differences and prior mappings are detailed in the calculation trace.
DAX:
[Active Awaiting Offers Without Engagement] = CALCULATE (
				[Total Referrals],
				'fact_referral'[is_open] = TRUE (),
				'fact_referral'[is_awaiting_offer] = TRUE (),
				'fact_referral'[has_provider_response] = FALSE ()
			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KPI_CALCULATION_TRACEABILITY.md#kpi-22</x:v>
      </x:c>
      <x:c r="G6" s="13" t="str">
        <x:v>Active Awaiting Offers Without Engagement</x:v>
      </x:c>
      <x:c r="H6" s="13" t="s">
        <x:v>273</x:v>
      </x:c>
    </x:row>
    <x:row r="7" ht="371" customHeight="1">
      <x:c r="A7" s="12" t="s">
        <x:v>276</x:v>
      </x:c>
      <x:c r="B7" s="13" t="s">
        <x:v>270</x:v>
      </x:c>
      <x:c r="C7" s="13" t="s">
        <x:v>277</x:v>
      </x:c>
      <x:c r="D7" s="13" t="s">
        <x:v>272</x:v>
      </x:c>
      <x:c r="E7" s="13" t="str">
        <x:v>gold.fact_referral</x:v>
      </x:c>
      <x:c r="F7" s="13" t="str">
        <x:v>Original specification: KPI-19 / Active referrals
Current assessment: Defined in saved model; runtime/UAT pending
Check the original population, grain and filter rules against the saved DAX. Definition differences and prior mappings are detailed in the calculation trace.
DAX:
[Active Referral Engagement Rate] = DIVIDE ( [Active Referrals With Provider Engagement], [Referrals Currently Active]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KPI_CALCULATION_TRACEABILITY.md#kpi-20</x:v>
      </x:c>
      <x:c r="G7" s="13" t="str">
        <x:v>Active Referral Engagement Rate</x:v>
      </x:c>
      <x:c r="H7" s="13" t="s">
        <x:v>273</x:v>
      </x:c>
    </x:row>
    <x:row r="8" ht="371" customHeight="1">
      <x:c r="A8" s="12" t="s">
        <x:v>278</x:v>
      </x:c>
      <x:c r="B8" s="13" t="s">
        <x:v>279</x:v>
      </x:c>
      <x:c r="C8" s="13" t="s">
        <x:v>280</x:v>
      </x:c>
      <x:c r="D8" s="13" t="s">
        <x:v>281</x:v>
      </x:c>
      <x:c r="E8" s="13" t="str">
        <x:v>gold.fact_referral</x:v>
      </x:c>
      <x:c r="F8" s="13" t="str">
        <x:v>Original specification: Open referrals without offers
Current assessment: Defined in saved model; runtime/UAT pending
Check the original population, grain and filter rules against the saved DAX. Definition differences and prior mappings are detailed in the calculation trace.
DAX:
[Referrals Awaiting Offer] = CALCULATE ( [Total Referrals], 'fact_referral'[is_awaiting_offer] = TRUE ()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KPI_CALCULATION_TRACEABILITY.md#kpi-32</x:v>
      </x:c>
      <x:c r="G8" s="13" t="str">
        <x:v>Referrals Awaiting Offer</x:v>
      </x:c>
      <x:c r="H8" s="13" t="s">
        <x:v>266</x:v>
      </x:c>
    </x:row>
    <x:row r="9" ht="384" customHeight="1">
      <x:c r="A9" s="12" t="s">
        <x:v>282</x:v>
      </x:c>
      <x:c r="B9" s="13" t="s">
        <x:v>279</x:v>
      </x:c>
      <x:c r="C9" s="13" t="s">
        <x:v>283</x:v>
      </x:c>
      <x:c r="D9" s="13" t="s">
        <x:v>284</x:v>
      </x:c>
      <x:c r="E9" s="13" t="str">
        <x:v>gold.fact_referral</x:v>
      </x:c>
      <x:c r="F9" s="13" t="str">
        <x:v>Original specification: Under-offer referrals with valid offers
Current assessment: Defined in saved model; runtime/UAT pending
Check the original population, grain and filter rules against the saved DAX. Definition differences and prior mappings are detailed in the calculation trace.
DAX:
[Referrals Under Offer] = CALCULATE ( [Total Referrals], KEEPFILTERS ( 'fact_referral'[is_open] = TRUE () ), KEEPFILTERS ( 'fact_referral'[current_status] = "UNDER_OFFER" 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KPI_CALCULATION_TRACEABILITY.md#kpi-30</x:v>
      </x:c>
      <x:c r="G9" s="13" t="str">
        <x:v>Referrals Under Offer</x:v>
      </x:c>
      <x:c r="H9" s="13" t="s">
        <x:v>266</x:v>
      </x:c>
    </x:row>
    <x:row r="10" ht="409" customHeight="1">
      <x:c r="A10" s="12" t="s">
        <x:v>285</x:v>
      </x:c>
      <x:c r="B10" s="13" t="s">
        <x:v>270</x:v>
      </x:c>
      <x:c r="C10" s="13" t="s">
        <x:v>286</x:v>
      </x:c>
      <x:c r="D10" s="13" t="s">
        <x:v>272</x:v>
      </x:c>
      <x:c r="E10" s="13" t="str">
        <x:v>gold.fact_referral</x:v>
      </x:c>
      <x:c r="F10" s="13" t="str">
        <x:v>Original specification: Active referrals with offer activity
Current assessment: Defined in saved model; runtime/UAT pending
Check the original population, grain and filter rules against the saved DAX. Definition differences and prior mappings are detailed in the calculation trace.
DAX:
[Active Referrals With Provider Engagement] = CALCULATE (
				[Total Referrals],
				'fact_referral'[is_open] = TRUE (),
				'fact_referral'[has_provider_response] = TRUE ()
			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KPI_CALCULATION_TRACEABILITY.md#kpi-19</x:v>
      </x:c>
      <x:c r="G10" s="13" t="str">
        <x:v>Active Referrals With Provider Engagement</x:v>
      </x:c>
      <x:c r="H10" s="13" t="s">
        <x:v>273</x:v>
      </x:c>
    </x:row>
    <x:row r="11" ht="319" customHeight="1">
      <x:c r="A11" s="12" t="s">
        <x:v>287</x:v>
      </x:c>
      <x:c r="B11" s="13" t="s">
        <x:v>288</x:v>
      </x:c>
      <x:c r="C11" s="13" t="s">
        <x:v>289</x:v>
      </x:c>
      <x:c r="D11" s="13" t="s">
        <x:v>290</x:v>
      </x:c>
      <x:c r="E11" s="13" t="str">
        <x:v>gold.fact_referral_lifecycle_event</x:v>
      </x:c>
      <x:c r="F11" s="13" t="str">
        <x:v>Original specification: `COUNT(DISTINCT event_id) GROUP BY event_type`
Current assessment: Defined in saved model; runtime/UAT pending
Check the original population, grain and filter rules against the saved DAX. Definition differences and prior mappings are detailed in the calculation trace.
DAX:
[Referral Lifecycle Events] = DISTINCTCOUNT ( 'fact_referral_lifecycle_event'[event_id] )
Python / Spark SQL:
project X/04_gold_model.py:698
spark.sql(f"""
CREATE OR REPLACE TABLE gold.fact_referral_lifecycle_event AS
SELECT e.event_id, e.referral_id, e.event_type, e.event_timestamp,
... selected producer lines ...
spark.sql(f"""
CREATE OR REPLACE TABLE gold.fact_referral_lifecycle_event AS
SELECT e.event_id, e.referral_id, e.event_type, e.event_timestamp,
  e.sequence_number, e.created_by, r.exp
[producer excerpt; full source and dependencies in traceability document]
Full logic: KPI_CALCULATION_TRACEABILITY.md#kpi-113</x:v>
      </x:c>
      <x:c r="G11" s="13" t="str">
        <x:v>Referral Lifecycle Events</x:v>
      </x:c>
      <x:c r="H11" s="18" t="s">
        <x:v>291</x:v>
      </x:c>
    </x:row>
    <x:row r="12" ht="409" customHeight="1">
      <x:c r="A12" s="12" t="s">
        <x:v>292</x:v>
      </x:c>
      <x:c r="B12" s="13" t="s">
        <x:v>293</x:v>
      </x:c>
      <x:c r="C12" s="13" t="s">
        <x:v>294</x:v>
      </x:c>
      <x:c r="D12" s="13" t="s">
        <x:v>295</x:v>
      </x:c>
      <x:c r="E12" s="13" t="str">
        <x:v>gold.fact_offer</x:v>
      </x:c>
      <x:c r="F12" s="13" t="str">
        <x:v>Original specification: `AVG(DATEDIFF(current_date(), offer_date)) WHERE offer_status = 'DRAFT'`
Current assessment: Defined in saved model; runtime/UAT pending
Check the original population, grain and filter rules against the saved DAX. Definition differences and prior mappings are detailed in the calculation trace.
DAX:
[Average Days in Draft] = AVERAGEX (
				FILTER (
					'fact_offer',
					LOWER ( COALESCE ( 'fact_offer'[offer_status], "" ) ) = "draft"
						&amp;&amp; NOT ISBLANK ( 'fact_offer'[offer_age_days] )
				),
				'fact_offer'[offer_age_days]
			)
Python / Spark SQL:
project X/04_gold_model.py:712
spark.sql(f"""
CREATE OR REPLACE TABLE gold.fact_offer AS
WITH home_framework_category AS (
... selected producer lines ...
  CAST(o.offer_date AS TIMESTAMP) AS offer_submitted_date,
  CAST(o.last_modified_date AS TIMESTAMP) AS offer_reviewed_date,
  CASE WHEN LOWER(COALESCE(o.offer_status, '')) IN
    ('offer_successful', 'offer_unsuccessful', 'offer_withdr
[producer excerpt; full source and dependencies in traceability document]
Full logic: KPI_CALCULATION_TRACEABILITY.md#kpi-59</x:v>
      </x:c>
      <x:c r="G12" s="13" t="str">
        <x:v>Average Days in Draft</x:v>
      </x:c>
      <x:c r="H12" s="13" t="s">
        <x:v>296</x:v>
      </x:c>
    </x:row>
    <x:row r="13" ht="215" customHeight="1">
      <x:c r="A13" s="12" t="s">
        <x:v>297</x:v>
      </x:c>
      <x:c r="B13" s="13" t="s">
        <x:v>298</x:v>
      </x:c>
      <x:c r="C13" s="13" t="s">
        <x:v>299</x:v>
      </x:c>
      <x:c r="D13" s="13" t="s">
        <x:v>300</x:v>
      </x:c>
      <x:c r="E13" s="13" t="str">
        <x:v>`gold.fact_provider_message` ⟕ `gold.fact_referral_offer` [v1 specification; current source is not asserted]</x:v>
      </x:c>
      <x:c r="F13" s="13" t="str">
        <x:v>Original specification: `AVG(response hours between messages)`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KPI_CALCULATION_TRACEABILITY.md#kpi-111</x:v>
      </x:c>
      <x:c r="G13" s="13" t="str">
        <x:v>Not implemented / retired; see Calculation</x:v>
      </x:c>
      <x:c r="H13" s="18" t="s">
        <x:v>291</x:v>
      </x:c>
    </x:row>
    <x:row r="14" ht="371" customHeight="1">
      <x:c r="A14" s="12" t="s">
        <x:v>301</x:v>
      </x:c>
      <x:c r="B14" s="13" t="s">
        <x:v>302</x:v>
      </x:c>
      <x:c r="C14" s="13" t="s">
        <x:v>303</x:v>
      </x:c>
      <x:c r="D14" s="13" t="s">
        <x:v>304</x:v>
      </x:c>
      <x:c r="E14" s="13" t="str">
        <x:v>gold.fact_offer; gold.fact_referral</x:v>
      </x:c>
      <x:c r="F14" s="13" t="str">
        <x:v>Original specification: Offers / Providers
Current assessment: Defined in saved model; runtime/UAT pending
Check the original population, grain and filter rules against the saved DAX. Definition differences and prior mappings are detailed in the calculation trace.
DAX:
[Avg Offers per Provider (Under Offer)] = DIVIDE(
			    [Offers on Referrals Under Offer],
			    [No. Providers Who Made Offers],
			    0
			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KPI_CALCULATION_TRACEABILITY.md#kpi-14</x:v>
      </x:c>
      <x:c r="G14" s="13" t="str">
        <x:v>Avg Offers per Provider (Under Offer)</x:v>
      </x:c>
      <x:c r="H14" s="13" t="s">
        <x:v>273</x:v>
      </x:c>
    </x:row>
    <x:row r="15" ht="409" customHeight="1">
      <x:c r="A15" s="12" t="s">
        <x:v>305</x:v>
      </x:c>
      <x:c r="B15" s="13" t="s">
        <x:v>302</x:v>
      </x:c>
      <x:c r="C15" s="13" t="s">
        <x:v>306</x:v>
      </x:c>
      <x:c r="D15" s="13" t="s">
        <x:v>304</x:v>
      </x:c>
      <x:c r="E15" s="13" t="str">
        <x:v>gold.fact_offer; gold.fact_referral</x:v>
      </x:c>
      <x:c r="F15" s="13" t="str">
        <x:v>Original specification: Offers / Referrals
Current assessment: Defined in saved model; runtime/UAT pending
Check the original population, grain and filter rules against the saved DAX. Definition differences and prior mappings are detailed in the calculation trace.
DAX:
[Average Offers per Referral Under Offer] = DIVIDE (
			    CALCULATE (
			        [Non-Draft Offers],
			        FILTER (
			            'fact_referral',
			            'fact_referral'[is_open] = TRUE () &amp;&amp; 'fact_referral'[current_status] = "UNDER_OFFER"
			        )
			    ),
			    [Referrals Under Offer]
			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KPI_CALCULATION_TRACEABILITY.md#kpi-13</x:v>
      </x:c>
      <x:c r="G15" s="13" t="str">
        <x:v>Average Offers per Referral Under Offer</x:v>
      </x:c>
      <x:c r="H15" s="13" t="s">
        <x:v>273</x:v>
      </x:c>
    </x:row>
    <x:row r="16" ht="358" customHeight="1">
      <x:c r="A16" s="12" t="s">
        <x:v>307</x:v>
      </x:c>
      <x:c r="B16" s="13" t="s">
        <x:v>308</x:v>
      </x:c>
      <x:c r="C16" s="13" t="s">
        <x:v>309</x:v>
      </x:c>
      <x:c r="D16" s="13" t="s">
        <x:v>310</x:v>
      </x:c>
      <x:c r="E16" s="13" t="str">
        <x:v>gold.dim_provider</x:v>
      </x:c>
      <x:c r="F16" s="13" t="str">
        <x:v>Original specification: `COUNT(DISTINCT approved providers) / COUNT(DISTINCT providers) * 100`
Current assessment: Defined in saved model; runtime/UAT pending
Check the original population, grain and filter rules against the saved DAX. Definition differences and prior mappings are detailed in the calculation trace.
DAX:
[Provider Onboarding Success Rate] = DIVIDE ( [Providers Approved], [Providers Registered] )
Python / Spark SQL:
project X/05_gold_dimensions.py:155
latest_dimension(
    "silver.provider", "gold.dim_provider", ["provider_id"],
    [("provider_id", "provider_id"), ("holding_company_id", "holding_company_id"),
... selected producer lines ...
latest_dimension(
    "silver.provider", "gold.dim_provider", ["provider_id"],
    [("provider_id", "provider_id"), ("holding_company_id", "holding_company_id"),
[producer excerpt; full source and dependencies in traceability document]
Full logic: KPI_CALCULATION_TRACEABILITY.md#kpi-117</x:v>
      </x:c>
      <x:c r="G16" s="13" t="str">
        <x:v>Provider Onboarding Success Rate</x:v>
      </x:c>
      <x:c r="H16" s="18" t="s">
        <x:v>291</x:v>
      </x:c>
    </x:row>
    <x:row r="17" ht="215" customHeight="1">
      <x:c r="A17" s="12" t="s">
        <x:v>311</x:v>
      </x:c>
      <x:c r="B17" s="13" t="s">
        <x:v>312</x:v>
      </x:c>
      <x:c r="C17" s="13" t="s">
        <x:v>313</x:v>
      </x:c>
      <x:c r="D17" s="13" t="s">
        <x:v>314</x:v>
      </x:c>
      <x:c r="E17" s="13" t="str">
        <x:v>referral + referral_offer + offer [v1 specification; current source is not asserted]</x:v>
      </x:c>
      <x:c r="F17" s="13" t="str">
        <x:v>Original specification: Group by decline reason
Current assessment: No current standalone implementation verified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KPI_CALCULATION_TRACEABILITY.md#kpi-34</x:v>
      </x:c>
      <x:c r="G17" s="13" t="str">
        <x:v>Not implemented / retired; see Calculation</x:v>
      </x:c>
      <x:c r="H17" s="13" t="s">
        <x:v>266</x:v>
      </x:c>
    </x:row>
    <x:row r="18" ht="384" customHeight="1">
      <x:c r="A18" s="12" t="s">
        <x:v>315</x:v>
      </x:c>
      <x:c r="B18" s="13" t="s">
        <x:v>293</x:v>
      </x:c>
      <x:c r="C18" s="13" t="s">
        <x:v>316</x:v>
      </x:c>
      <x:c r="D18" s="13" t="s">
        <x:v>295</x:v>
      </x:c>
      <x:c r="E18" s="13" t="str">
        <x:v>gold.fact_offer</x:v>
      </x:c>
      <x:c r="F18" s="13" t="str">
        <x:v>Original specification: Same as KPI-66 (duplicate)
Current assessment: Defined in saved model; runtime/UAT pending
Check the original population, grain and filter rules against the saved DAX. Definition differences and prior mappings are detailed in the calculation trace.
DAX:
[Pending Offers 30+ Days] = CALCULATE (
			    [Pending Offers],
			    KEEPFILTERS ( FILTER ( 'fact_offer', NOT ISBLANK ( 'fact_offer'[offer_age_days] ) &amp;&amp; 'fact_offer'[offer_age_days] &gt;= 30 )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KPI_CALCULATION_TRACEABILITY.md#kpi-72</x:v>
      </x:c>
      <x:c r="G18" s="13" t="str">
        <x:v>Pending Offers 30+ Days</x:v>
      </x:c>
      <x:c r="H18" s="13" t="s">
        <x:v>296</x:v>
      </x:c>
    </x:row>
    <x:row r="19" ht="306" customHeight="1">
      <x:c r="A19" s="12" t="s">
        <x:v>194</x:v>
      </x:c>
      <x:c r="B19" s="13" t="s">
        <x:v>317</x:v>
      </x:c>
      <x:c r="C19" s="13" t="s">
        <x:v>318</x:v>
      </x:c>
      <x:c r="D19" s="13" t="s">
        <x:v>319</x:v>
      </x:c>
      <x:c r="E19" s="13" t="str">
        <x:v>gold.fact_referral</x:v>
      </x:c>
      <x:c r="F19" s="13" t="str">
        <x:v>Original specification: `current_timestamp()`
Current assessment: Defined in saved model; runtime/UAT pending
Check the original population, grain and filter rules against the saved DAX. Definition differences and prior mappings are detailed in the calculation trace.
DAX:
[Gold Model Last Refreshed] = MAX ( 'fact_referral'[gold_modelled_at] )
Python / Spark SQL:
project X/04_gold_model.py:232
spark.sql(f"""
CREATE OR REPLACE TABLE gold.fact_referral AS
WITH referral_history AS (
... selected producer lines ...
  END AS required_placement_date_outcome,
  planned_placement_start_date, estimated_weekly_cost,
  '{GOLD_JOB_RUN_ID}' AS job_run_id, CURRENT_TIMESTAMP() AS gold_modelled_at
FROM reference_profile
[producer excerpt; full source and dependencies in traceability document]
Full logic: KPI_CALCULATION_TRACEABILITY.md#kpi-87</x:v>
      </x:c>
      <x:c r="G19" s="13" t="str">
        <x:v>Gold Model Last Refreshed</x:v>
      </x:c>
      <x:c r="H19" s="13" t="s">
        <x:v>320</x:v>
      </x:c>
    </x:row>
    <x:row r="20" ht="215" customHeight="1">
      <x:c r="A20" s="12" t="s">
        <x:v>321</x:v>
      </x:c>
      <x:c r="B20" s="13" t="s">
        <x:v>322</x:v>
      </x:c>
      <x:c r="C20" s="13" t="s">
        <x:v>323</x:v>
      </x:c>
      <x:c r="D20" s="13" t="s">
        <x:v>324</x:v>
      </x:c>
      <x:c r="E20" s="13" t="str">
        <x:v>`gold.fact_referral_offer` ⟕ `gold.dim_referral_provider_decline_reason` [v1 specification; current source is not asserted]</x:v>
      </x:c>
      <x:c r="F20" s="13" t="str">
        <x:v>Original specification: `COUNT(DISTINCT referral_id) GROUP BY decline_reason_code`
Current assessment: Source/business-definition gap remains
Current reason lookup logic exists, but an approved referral-level decline-history calculation is not verified.
DAX:
No executable DAX for this requested KPI verified. Do not substitute zero or a different KPI.
Python / Spark SQL:
No notebook-side business calculation asserted; see model/local/source-gap evidence.
Full logic: KPI_CALCULATION_TRACEABILITY.md#kpi-105</x:v>
      </x:c>
      <x:c r="G20" s="13" t="str">
        <x:v>Not implemented / retired; see Calculation</x:v>
      </x:c>
      <x:c r="H20" s="18" t="s">
        <x:v>291</x:v>
      </x:c>
    </x:row>
    <x:row r="21" ht="384" customHeight="1">
      <x:c r="A21" s="12" t="s">
        <x:v>325</x:v>
      </x:c>
      <x:c r="B21" s="13" t="s">
        <x:v>326</x:v>
      </x:c>
      <x:c r="C21" s="13" t="s">
        <x:v>327</x:v>
      </x:c>
      <x:c r="D21" s="13" t="s">
        <x:v>328</x:v>
      </x:c>
      <x:c r="E21" s="13" t="str">
        <x:v>Directory Summary Axis (local/calculated model object; no direct notebook producer asserted); gold.bridge_provider_framework; gold.dim_framework; gold.dim_provider; gold.dim_provider_home</x:v>
      </x:c>
      <x:c r="F21" s="13" t="str">
        <x:v>Original specification: Aggregated provider count
Current assessment: Legacy helper retired; original specification retained
Check the original population, grain and filter rules against the saved DAX. Definition differences and prior mappings are detailed in the calculation trace.
DAX:
[Directory Summary Count] = SWITCH ( SELECTEDVALUE ( 'Directory Summary Axis'[Display Type] ),
			    "Fostering Providers", [Providers - Fostering],
			    "Residential Homes", [Residential Homes],
			    "Supported Accommodation Homes", [Supported Accommodation Homes],
			    BLANK ()
			)
Python / Spark SQL:
project X/05_gold_dimensions.py:194
copy_bridge(
    "silver.provider_framework", "gold.bridge_provider_framework",
    ["provider_framework_id", "provider_id", "framework_code", "qa_flag", "export_date"],
... selected producer lines ...
copy_bridge(
    "silver.provider_framework", "gold.bridge_provider_framework",
    ["provider_framework_id", "provider_id", "framework_code", "qa_flag", "exp
[producer excerpt; full source and dependencies in traceability document]
Full logic: KPI_CALCULATION_TRACEABILITY.md#kpi-48</x:v>
      </x:c>
      <x:c r="G21" s="13" t="str">
        <x:v>Directory Summary Count</x:v>
      </x:c>
      <x:c r="H21" s="13" t="s">
        <x:v>329</x:v>
      </x:c>
    </x:row>
    <x:row r="22" ht="215" customHeight="1">
      <x:c r="A22" s="12" t="s">
        <x:v>330</x:v>
      </x:c>
      <x:c r="B22" s="13" t="s">
        <x:v>331</x:v>
      </x:c>
      <x:c r="C22" s="13" t="s">
        <x:v>332</x:v>
      </x:c>
      <x:c r="D22" s="13" t="s">
        <x:v>333</x:v>
      </x:c>
      <x:c r="E22" s="13" t="str">
        <x:v>`gold.dim_provider` ⟕ `gold.dim_s3_file_metadata` [v1 specification; current source is not asserted]</x:v>
      </x:c>
      <x:c r="F22" s="13" t="str">
        <x:v>Original specification: `(Total Providers - KPI-102) / Total Providers * 100`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KPI_CALCULATION_TRACEABILITY.md#kpi-103</x:v>
      </x:c>
      <x:c r="G22" s="13" t="str">
        <x:v>Not implemented / retired; see Calculation</x:v>
      </x:c>
      <x:c r="H22" s="18" t="s">
        <x:v>291</x:v>
      </x:c>
    </x:row>
    <x:row r="23" ht="409" customHeight="1">
      <x:c r="A23" s="12" t="s">
        <x:v>334</x:v>
      </x:c>
      <x:c r="B23" s="13" t="s">
        <x:v>335</x:v>
      </x:c>
      <x:c r="C23" s="13" t="s">
        <x:v>336</x:v>
      </x:c>
      <x:c r="D23" s="13" t="s">
        <x:v>337</x:v>
      </x:c>
      <x:c r="E23" s="13" t="str">
        <x:v>gold.dim_provider_submission_document</x:v>
      </x:c>
      <x:c r="F23" s="13" t="str">
        <x:v>Original specification: `COUNT(DISTINCT s3_file_metadata_id) WHERE expiry_date &lt; current_date()`
Current assessment: Defined in saved model; runtime/UAT pending
Check the original population, grain and filter rules against the saved DAX. Definition differences and prior mappings are detailed in the calculation trace.
DAX:
[Documents Expired] = CALCULATE (
			    [Provider Submission Documents],
			    FILTER (
			        'dim_provider_submission_document',
			        NOT ISBLANK ( 'dim_provider_submission_document'[expiry_date] )
			            &amp;&amp; 'dim_provider_submission_document'[expiry_date] &lt; TODAY ()
			    )
			)
Python / Spark SQL:
project X/05_gold_dimensions.py:239
latest_dimension(
    "silver.provider_submission_docs", "gold.dim_provider_submission_document", ["document_id"],
    [("document_id", "document_id"), ("submission_id", "submission_id"),
... selected producer lines ...
latest_dimension(
    "silver.provider_submission_docs", "gold.dim_provider_submission_document", ["document_id"],
    [("document_id", "doc
[producer excerpt; full source and dependencies in traceability document]
Full logic: KPI_CALCULATION_TRACEABILITY.md#kpi-101</x:v>
      </x:c>
      <x:c r="G23" s="13" t="str">
        <x:v>Documents Expired</x:v>
      </x:c>
      <x:c r="H23" s="18" t="s">
        <x:v>291</x:v>
      </x:c>
    </x:row>
    <x:row r="24" ht="409" customHeight="1">
      <x:c r="A24" s="12" t="s">
        <x:v>338</x:v>
      </x:c>
      <x:c r="B24" s="13" t="s">
        <x:v>339</x:v>
      </x:c>
      <x:c r="C24" s="13" t="s">
        <x:v>340</x:v>
      </x:c>
      <x:c r="D24" s="13" t="s">
        <x:v>341</x:v>
      </x:c>
      <x:c r="E24" s="13" t="str">
        <x:v>gold.dim_provider_submission_document</x:v>
      </x:c>
      <x:c r="F24" s="13" t="str">
        <x:v>Original specification: `COUNT(DISTINCT s3_file_metadata_id) WHERE expiry_date BETWEEN current_date() AND date_add(current_date(),30)`
Current assessment: Defined in saved model; runtime/UAT pending
Check the original population, grain and filter rules against the saved DAX. Definition differences and prior mappings are detailed in the calculation trace.
DAX:
[Documents Expiring Next 30 Days] = CALCULATE (
			    [Provider Submission Documents],
			    FILTER (
			        'dim_provider_submission_document',
			        NOT ISBLANK ( 'dim_provider_submission_document'[expiry_date] )
			            &amp;&amp; 'dim_provider_submission_document'[expiry_date] &gt;= TODAY ()
			            &amp;&amp; 'dim_provider_submission_document'[expiry_date] &lt;= TODAY () + 30
			    )
			)
Python / Spark SQL:
project X/05_gold_dimensions.py:239
latest_dimension(
    "silver.provider_submission_docs", "gold.dim_provider_submission_document", ["document_id"],
    [("document_id", "document_id"), ("submission_id", "submission_id"),
... selected producer lines ...
latest_dimension(
    "silver.provider_submission_docs", "gold.dim_provider_submission_document", ["document_id"],
    [("document_id", "doc
[producer excerpt; full source and dependencies in traceability document]
Full logic: KPI_CALCULATION_TRACEABILITY.md#kpi-100</x:v>
      </x:c>
      <x:c r="G24" s="13" t="str">
        <x:v>Documents Expiring Next 30 Days</x:v>
      </x:c>
      <x:c r="H24" s="18" t="s">
        <x:v>291</x:v>
      </x:c>
    </x:row>
    <x:row r="25" ht="215" customHeight="1">
      <x:c r="A25" s="12" t="s">
        <x:v>342</x:v>
      </x:c>
      <x:c r="B25" s="13" t="s">
        <x:v>293</x:v>
      </x:c>
      <x:c r="C25" s="13" t="s">
        <x:v>343</x:v>
      </x:c>
      <x:c r="D25" s="13" t="s">
        <x:v>295</x:v>
      </x:c>
      <x:c r="E25" s="13" t="str">
        <x:v>`gold.fact_offer` [v1 specification; current source is not asserted]</x:v>
      </x:c>
      <x:c r="F25" s="13" t="str">
        <x:v>Original specification: `COUNT(DISTINCT offer_id) WHERE offer_status = 'DRAFT' AND DATEDIFF(current_date(), offer_date) &gt;= 7`
Current assessment: No current standalone implementation verified
The available stalled-offer measure uses days since activity; the original uses offer age. These are different definitions.
DAX:
No executable DAX for this requested KPI verified. Do not substitute zero or a different KPI.
Python / Spark SQL:
No notebook-side business calculation asserted; see model/local/source-gap evidence.
Full logic: KPI_CALCULATION_TRACEABILITY.md#kpi-57</x:v>
      </x:c>
      <x:c r="G25" s="13" t="str">
        <x:v>Not implemented / retired; see Calculation</x:v>
      </x:c>
      <x:c r="H25" s="13" t="s">
        <x:v>296</x:v>
      </x:c>
    </x:row>
    <x:row r="26" ht="358" customHeight="1">
      <x:c r="A26" s="12" t="s">
        <x:v>344</x:v>
      </x:c>
      <x:c r="B26" s="13" t="s">
        <x:v>293</x:v>
      </x:c>
      <x:c r="C26" s="13" t="s">
        <x:v>345</x:v>
      </x:c>
      <x:c r="D26" s="13" t="s">
        <x:v>295</x:v>
      </x:c>
      <x:c r="E26" s="13" t="str">
        <x:v>gold.fact_offer</x:v>
      </x:c>
      <x:c r="F26" s="13" t="str">
        <x:v>Original specification: `COUNT(DISTINCT offer_id) WHERE offer_status = 'DRAFT' AND offer_date = last_modified_date`
Current assessment: Defined in saved model; runtime/UAT pending
Check the original population, grain and filter rules against the saved DAX. Definition differences and prior mappings are detailed in the calculation trace.
DAX:
[Draft Offers With No Activity Since Creation] = CALCULATE ( [Offers Submitted], 'fact_offer'[is_draft_no_activity] = TRUE ()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  AND o.offer_date IS NOT NULL AND o.last_mod
[producer excerpt; full source and dependencies in traceability document]
Full logic: KPI_CALCULATION_TRACEABILITY.md#kpi-53</x:v>
      </x:c>
      <x:c r="G26" s="13" t="str">
        <x:v>Draft Offers With No Activity Since Creation</x:v>
      </x:c>
      <x:c r="H26" s="13" t="s">
        <x:v>296</x:v>
      </x:c>
    </x:row>
    <x:row r="27" ht="358" customHeight="1">
      <x:c r="A27" s="12" t="s">
        <x:v>346</x:v>
      </x:c>
      <x:c r="B27" s="13" t="s">
        <x:v>293</x:v>
      </x:c>
      <x:c r="C27" s="13" t="s">
        <x:v>347</x:v>
      </x:c>
      <x:c r="D27" s="13" t="s">
        <x:v>295</x:v>
      </x:c>
      <x:c r="E27" s="13" t="str">
        <x:v>gold.fact_offer</x:v>
      </x:c>
      <x:c r="F27" s="13" t="str">
        <x:v>Original specification: `COUNT(DISTINCT offer_id) WHERE offer_status = 'DRAFT'`
Current assessment: Defined in saved model; runtime/UAT pending
Check the original population, grain and filter rules against the saved DAX. Definition differences and prior mappings are detailed in the calculation trace.
DAX:
[Offers in Draft] = CALCULATE ( [Offers Submitted], LOWER ( 'fact_offer'[offer_status] ) = "draft"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KPI_CALCULATION_TRACEABILITY.md#kpi-61</x:v>
      </x:c>
      <x:c r="G27" s="13" t="str">
        <x:v>Offers in Draft</x:v>
      </x:c>
      <x:c r="H27" s="13" t="s">
        <x:v>296</x:v>
      </x:c>
    </x:row>
    <x:row r="28" ht="358" customHeight="1">
      <x:c r="A28" s="12" t="s">
        <x:v>348</x:v>
      </x:c>
      <x:c r="B28" s="13" t="s">
        <x:v>293</x:v>
      </x:c>
      <x:c r="C28" s="13" t="s">
        <x:v>349</x:v>
      </x:c>
      <x:c r="D28" s="13" t="s">
        <x:v>295</x:v>
      </x:c>
      <x:c r="E28" s="13" t="str">
        <x:v>gold.fact_offer</x:v>
      </x:c>
      <x:c r="F28" s="13" t="str">
        <x:v>Original specification: `COUNT(DISTINCT offer_id) WHERE offer_status = 'DRAFT' AND (offer_date IS NULL OR last_modified_date IS NULL)`
Current assessment: Defined in saved model; runtime/UAT pending
Check the original population, grain and filter rules against the saved DAX. Definition differences and prior mappings are detailed in the calculation trace.
DAX:
[Draft Offers Missing Dates] = CALCULATE ( [Offers Submitted], 'fact_offer'[is_draft_missing_dates] = TRUE ()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LOWER(COALESCE(o.offer_status, '')) = 'draft'
[producer excerpt; full source and dependencies in traceability document]
Full logic: KPI_CALCULATION_TRACEABILITY.md#kpi-55</x:v>
      </x:c>
      <x:c r="G28" s="13" t="str">
        <x:v>Draft Offers Missing Dates</x:v>
      </x:c>
      <x:c r="H28" s="13" t="s">
        <x:v>296</x:v>
      </x:c>
    </x:row>
    <x:row r="29" ht="397" customHeight="1">
      <x:c r="A29" s="12" t="s">
        <x:v>350</x:v>
      </x:c>
      <x:c r="B29" s="13" t="s">
        <x:v>293</x:v>
      </x:c>
      <x:c r="C29" s="13" t="s">
        <x:v>351</x:v>
      </x:c>
      <x:c r="D29" s="13" t="s">
        <x:v>295</x:v>
      </x:c>
      <x:c r="E29" s="13" t="str">
        <x:v>gold.fact_offer</x:v>
      </x:c>
      <x:c r="F29" s="13" t="str">
        <x:v>Original specification: `COUNT(DISTINCT offer_id) WHERE offer_status = 'DRAFT' AND last_modified_date &gt; offer_date`
Current assessment: Defined in saved model; runtime/UAT pending
Check the original population, grain and filter rules against the saved DAX. Definition differences and prior mappings are detailed in the calculation trace.
DAX:
[Draft Offers With Activity Since Creation] = CALCULATE (
			    [Offers in Draft],
			    KEEPFILTERS ( 'fact_offer'[is_draft_no_activity] = FALSE () ),
			    KEEPFILTERS ( 'fact_offer'[is_draft_missing_dates] = FALSE ()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KPI_CALCULATION_TRACEABILITY.md#kpi-56</x:v>
      </x:c>
      <x:c r="G29" s="13" t="str">
        <x:v>Draft Offers With Activity Since Creation</x:v>
      </x:c>
      <x:c r="H29" s="13" t="s">
        <x:v>296</x:v>
      </x:c>
    </x:row>
    <x:row r="30" ht="397" customHeight="1">
      <x:c r="A30" s="12" t="s">
        <x:v>352</x:v>
      </x:c>
      <x:c r="B30" s="13" t="s">
        <x:v>293</x:v>
      </x:c>
      <x:c r="C30" s="13" t="s">
        <x:v>353</x:v>
      </x:c>
      <x:c r="D30" s="13" t="s">
        <x:v>295</x:v>
      </x:c>
      <x:c r="E30" s="13" t="str">
        <x:v>gold.fact_offer</x:v>
      </x:c>
      <x:c r="F30" s="13" t="str">
        <x:v>Original specification: `COUNT(DISTINCT offer_id) WHERE offer_status = 'DRAFT' AND offer_date != last_modified_date`
Current assessment: Defined in saved model; runtime/UAT pending
Check the original population, grain and filter rules against the saved DAX. Definition differences and prior mappings are detailed in the calculation trace.
DAX:
[Draft Offers With Activity Since Creation] = CALCULATE (
			    [Offers in Draft],
			    KEEPFILTERS ( 'fact_offer'[is_draft_no_activity] = FALSE () ),
			    KEEPFILTERS ( 'fact_offer'[is_draft_missing_dates] = FALSE ()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KPI_CALCULATION_TRACEABILITY.md#kpi-54</x:v>
      </x:c>
      <x:c r="G30" s="13" t="str">
        <x:v>Draft Offers With Activity Since Creation</x:v>
      </x:c>
      <x:c r="H30" s="13" t="s">
        <x:v>296</x:v>
      </x:c>
    </x:row>
    <x:row r="31" ht="345" customHeight="1">
      <x:c r="A31" s="12" t="s">
        <x:v>354</x:v>
      </x:c>
      <x:c r="B31" s="13" t="s">
        <x:v>293</x:v>
      </x:c>
      <x:c r="C31" s="13" t="s">
        <x:v>355</x:v>
      </x:c>
      <x:c r="D31" s="13" t="s">
        <x:v>295</x:v>
      </x:c>
      <x:c r="E31" s="13" t="str">
        <x:v>gold.fact_offer</x:v>
      </x:c>
      <x:c r="F31" s="13" t="str">
        <x:v>Original specification: `KPI-53 / KPI-61 * 100`
Current assessment: Defined in saved model; runtime/UAT pending
Check the original population, grain and filter rules against the saved DAX. Definition differences and prior mappings are detailed in the calculation trace.
DAX:
[Draft Offers With No Activity %] = DIVIDE ( [Draft Offers With No Activity Since Creation], [Offers in Draft]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KPI_CALCULATION_TRACEABILITY.md#kpi-62</x:v>
      </x:c>
      <x:c r="G31" s="13" t="str">
        <x:v>Draft Offers With No Activity %</x:v>
      </x:c>
      <x:c r="H31" s="13" t="s">
        <x:v>296</x:v>
      </x:c>
    </x:row>
    <x:row r="32" ht="358" customHeight="1">
      <x:c r="A32" s="12" t="s">
        <x:v>356</x:v>
      </x:c>
      <x:c r="B32" s="13" t="s">
        <x:v>293</x:v>
      </x:c>
      <x:c r="C32" s="13" t="s">
        <x:v>357</x:v>
      </x:c>
      <x:c r="D32" s="13" t="s">
        <x:v>295</x:v>
      </x:c>
      <x:c r="E32" s="13" t="str">
        <x:v>gold.fact_offer</x:v>
      </x:c>
      <x:c r="F32" s="13" t="str">
        <x:v>Original specification: `COUNT(DISTINCT offer_id) WHERE offer_status = 'DRAFT' AND DATEDIFF(current_date(), offer_date) &gt;= 14`
Current assessment: Defined in saved model; runtime/UAT pending
Check the original population, grain and filter rules against the saved DAX. Definition differences and prior mappings are detailed in the calculation trace.
DAX:
[Drafts No Activity 14+ Days] = CALCULATE ( [Offers in Draft], KEEPFILTERS ( 'fact_offer'[offer_age_days] &gt;= 14 )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KPI_CALCULATION_TRACEABILITY.md#kpi-58</x:v>
      </x:c>
      <x:c r="G32" s="13" t="str">
        <x:v>Drafts No Activity 14+ Days</x:v>
      </x:c>
      <x:c r="H32" s="13" t="s">
        <x:v>296</x:v>
      </x:c>
    </x:row>
    <x:row r="33" ht="345" customHeight="1">
      <x:c r="A33" s="12" t="s">
        <x:v>358</x:v>
      </x:c>
      <x:c r="B33" s="13" t="s">
        <x:v>293</x:v>
      </x:c>
      <x:c r="C33" s="13" t="s">
        <x:v>359</x:v>
      </x:c>
      <x:c r="D33" s="13" t="s">
        <x:v>295</x:v>
      </x:c>
      <x:c r="E33" s="13" t="str">
        <x:v>gold.fact_offer</x:v>
      </x:c>
      <x:c r="F33" s="13" t="str">
        <x:v>Original specification: Same as KPI-58 (duplicate measure in PBI)
Current assessment: Defined in saved model; runtime/UAT pending
Check the original population, grain and filter rules against the saved DAX. Definition differences and prior mappings are detailed in the calculation trace.
DAX:
[Drafts No Activity 14+ Days] = CALCULATE ( [Offers in Draft], KEEPFILTERS ( 'fact_offer'[offer_age_days] &gt;= 14 )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KPI_CALCULATION_TRACEABILITY.md#kpi-63</x:v>
      </x:c>
      <x:c r="G33" s="13" t="str">
        <x:v>Drafts No Activity 14+ Days</x:v>
      </x:c>
      <x:c r="H33" s="13" t="s">
        <x:v>296</x:v>
      </x:c>
    </x:row>
    <x:row r="34" ht="371" customHeight="1">
      <x:c r="A34" s="12" t="s">
        <x:v>360</x:v>
      </x:c>
      <x:c r="B34" s="13" t="s">
        <x:v>361</x:v>
      </x:c>
      <x:c r="C34" s="13" t="s">
        <x:v>362</x:v>
      </x:c>
      <x:c r="D34" s="13" t="s">
        <x:v>363</x:v>
      </x:c>
      <x:c r="E34" s="13" t="str">
        <x:v>gold.fact_referral</x:v>
      </x:c>
      <x:c r="F34" s="13" t="str">
        <x:v>Original specification: `KPI-91 / KPI-01 * 100`
Current assessment: Defined in saved model; runtime/UAT pending
Check the original population, grain and filter rules against the saved DAX. Definition differences and prior mappings are detailed in the calculation trace.
DAX:
[Emergency Placement Rate] = DIVIDE ( [Emergency Referrals], [Total Referrals]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KPI_CALCULATION_TRACEABILITY.md#kpi-92</x:v>
      </x:c>
      <x:c r="G34" s="13" t="str">
        <x:v>Emergency Placement Rate</x:v>
      </x:c>
      <x:c r="H34" s="18" t="s">
        <x:v>291</x:v>
      </x:c>
    </x:row>
    <x:row r="35" ht="397" customHeight="1">
      <x:c r="A35" s="12" t="s">
        <x:v>364</x:v>
      </x:c>
      <x:c r="B35" s="13" t="s">
        <x:v>361</x:v>
      </x:c>
      <x:c r="C35" s="13" t="s">
        <x:v>365</x:v>
      </x:c>
      <x:c r="D35" s="13" t="s">
        <x:v>366</x:v>
      </x:c>
      <x:c r="E35" s="13" t="str">
        <x:v>gold.fact_referral</x:v>
      </x:c>
      <x:c r="F35" s="13" t="str">
        <x:v>Original specification: `COUNT(DISTINCT referral_id) WHERE status IN ('OPEN','UNDER_OFFER') AND created_timestamp::date = required_start_date`
Current assessment: Defined in saved model; runtime/UAT pending
Check the original population, grain and filter rules against the saved DAX. Definition differences and prior mappings are detailed in the calculation trace.
DAX:
[Emergency Referrals] = CALCULATE ( [Total Referrals], KEEPFILTERS ( 'fact_referral'[current_status] IN { "OPEN", "UNDER_OFFER" } ), KEEPFILTERS ( 'fact_referral'[is_emergency_placement] = TRUE () 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KPI_CALCULATION_TRACEABILITY.md#kpi-91</x:v>
      </x:c>
      <x:c r="G35" s="13" t="str">
        <x:v>Emergency Referrals</x:v>
      </x:c>
      <x:c r="H35" s="18" t="s">
        <x:v>291</x:v>
      </x:c>
    </x:row>
    <x:row r="36" ht="409" customHeight="1">
      <x:c r="A36" s="12" t="s">
        <x:v>367</x:v>
      </x:c>
      <x:c r="B36" s="13" t="s">
        <x:v>361</x:v>
      </x:c>
      <x:c r="C36" s="13" t="s">
        <x:v>368</x:v>
      </x:c>
      <x:c r="D36" s="13" t="s">
        <x:v>369</x:v>
      </x:c>
      <x:c r="E36" s="13" t="str">
        <x:v>gold.fact_referral</x:v>
      </x:c>
      <x:c r="F36" s="13" t="str">
        <x:v>Original specification: `COUNT(DISTINCT referral_id) GROUP BY CASE WHEN created_timestamp::date = required_start_date THEN 'Emergency' ELSE 'Planned' END`
Current assessment: Defined in saved model; runtime/UAT pending
Check the original population, grain and filter rules against the saved DAX. Definition differences and prior mappings are detailed in the calculation trace.
DAX:
[Emergency Referrals] = CALCULATE ( [Total Referrals], KEEPFILTERS ( 'fact_referral'[current_status] IN { "OPEN", "UNDER_OFFER" } ), KEEPFILTERS ( 'fact_referral'[is_emergency_placement] = TRUE () ) )
[Planned Referrals] = CALCULATE (
			    [Total Referrals], KEEPFILTERS ( 'fact_referral'[current_status] IN { "OPEN", "UNDER_OFFER" } ),
			    KEEPFILTERS ( FILTER ( 'fact_referral', NOT ISBLANK ( 'fact_referral'[referral_created_date] ) &amp;&amp; NOT ISBLANK ( 'fact_referral'[required_placement_date] ) &amp;&amp; 'fact_referral'[is_emergency_placement] = FALSE () ) )
			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             export_date DESC
),
referral_created AS (
  SELECT 
[producer excerpt; full source and dependencies in traceability document]
Full logic: KPI_CALCULATION_TRACEABILITY.md#kpi-94</x:v>
      </x:c>
      <x:c r="G36" s="13" t="str">
        <x:v>Emergency Referrals; Planned Referrals</x:v>
      </x:c>
      <x:c r="H36" s="18" t="s">
        <x:v>291</x:v>
      </x:c>
    </x:row>
    <x:row r="37" ht="332" customHeight="1">
      <x:c r="A37" s="12" t="s">
        <x:v>370</x:v>
      </x:c>
      <x:c r="B37" s="13" t="s">
        <x:v>302</x:v>
      </x:c>
      <x:c r="C37" s="13" t="s">
        <x:v>371</x:v>
      </x:c>
      <x:c r="D37" s="13" t="s">
        <x:v>372</x:v>
      </x:c>
      <x:c r="E37" s="13" t="str">
        <x:v>gold.dim_person; gold.fact_referral</x:v>
      </x:c>
      <x:c r="F37" s="13" t="str">
        <x:v>Original specification: Gender='F'
Current assessment: Defined in saved model; runtime/UAT pending
Check the original population, grain and filter rules against the saved DAX. Definition differences and prior mappings are detailed in the calculation trace.
DAX:
[Female Referrals] = CALCULATE ( [Total Referrals], 'dim_person'[gender_clean] = "Female" )
Python / Spark SQL:
project X/05_gold_dimensions.py:194
copy_bridge(
    "silver.provider_framework", "gold.bridge_provider_framework",
    ["provider_framework_id", "provider_id", "framework_code", "qa_flag", "export_date"],
... selected producer lines ...
    .when(F.col("gender").isin("Another Gender", "Other"), "Other")
    .otherwise("Unknown")
    .alias("gender_clean"),
    F.col("ethnicity").alias("ethnic
[producer excerpt; full source and dependencies in traceability document]
Full logic: KPI_CALCULATION_TRACEABILITY.md#kpi-05</x:v>
      </x:c>
      <x:c r="G37" s="13" t="str">
        <x:v>Female Referrals</x:v>
      </x:c>
      <x:c r="H37" s="13" t="s">
        <x:v>373</x:v>
      </x:c>
    </x:row>
    <x:row r="38" ht="215" customHeight="1">
      <x:c r="A38" s="12" t="s">
        <x:v>374</x:v>
      </x:c>
      <x:c r="B38" s="13" t="s">
        <x:v>375</x:v>
      </x:c>
      <x:c r="C38" s="13" t="s">
        <x:v>376</x:v>
      </x:c>
      <x:c r="D38" s="13" t="s">
        <x:v>377</x:v>
      </x:c>
      <x:c r="E38" s="13" t="str">
        <x:v>provider_home [v1 specification; current source is not asserted]</x:v>
      </x:c>
      <x:c r="F38" s="13" t="str">
        <x:v>Original specification: Chart aggregation
Current assessment: Legacy helper retired; original specification retained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KPI_CALCULATION_TRACEABILITY.md#kpi-52</x:v>
      </x:c>
      <x:c r="G38" s="13" t="str">
        <x:v>Not implemented / retired; see Calculation</x:v>
      </x:c>
      <x:c r="H38" s="13" t="s">
        <x:v>329</x:v>
      </x:c>
    </x:row>
    <x:row r="39" ht="409" customHeight="1">
      <x:c r="A39" s="12" t="s">
        <x:v>378</x:v>
      </x:c>
      <x:c r="B39" s="13" t="s">
        <x:v>375</x:v>
      </x:c>
      <x:c r="C39" s="13" t="s">
        <x:v>379</x:v>
      </x:c>
      <x:c r="D39" s="13" t="s">
        <x:v>380</x:v>
      </x:c>
      <x:c r="E39" s="13" t="str">
        <x:v>gold.bridge_provider_framework; gold.dim_framework; gold.dim_provider; gold.dim_provider_home</x:v>
      </x:c>
      <x:c r="F39" s="13" t="str">
        <x:v>Original specification: Fostering providers
Current assessment: Defined in saved model; runtime/UAT pending
Check the original population, grain and filter rules against the saved DAX. Definition differences and prior mappings are detailed in the calculation trace.
DAX:
[Providers - Fostering] = VAR framework_providers = CALCULATETABLE ( VALUES ( 'bridge_provider_framework'[provider_id] ), FILTER ( 'dim_framework', LOWER ( 'dim_framework'[placement_type] ) IN { "fostering", "plcm-fost" } ) )
			VAR home_providers = CALCULATETABLE ( VALUES ( 'dim_provider_home'[provider_id] ), FILTER ( 'dim_provider_home', LOWER ( 'dim_provider_home'[service_type] ) IN { "fostering", "plcm-fost" } ) )
			RETURN CALCULATE ( [Providers Registered], KEEPFILTERS ( TREATAS ( DISTINCT ( UNION ( framework_providers, home_providers ) ), 'dim_provider'[provider_id] ) ) )
Python / Spark SQL:
project X/05_gold_dimensions.py:194
copy_bridge(
    "silver.provider_framework", "gold.bridge_provider_framework",
    ["provider_framework_id", "provider_id", "framework_code", "qa_flag", "export_date"],
... selected producer lines ...
copy_bridge(
    "silver.provider_framework", "gold.bridge_provider_framework",
    ["provider_framework_id", "provider_id", "framework_code", "qa_flag", "exp
[producer excerpt; full source and dependencies in traceability document]
Full logic: KPI_CALCULATION_TRACEABILITY.md#kpi-51</x:v>
      </x:c>
      <x:c r="G39" s="13" t="str">
        <x:v>Providers - Fostering</x:v>
      </x:c>
      <x:c r="H39" s="13" t="s">
        <x:v>329</x:v>
      </x:c>
    </x:row>
    <x:row r="40" ht="228" customHeight="1">
      <x:c r="A40" s="12" t="s">
        <x:v>151</x:v>
      </x:c>
      <x:c r="B40" s="13" t="s">
        <x:v>381</x:v>
      </x:c>
      <x:c r="C40" s="13" t="s">
        <x:v>382</x:v>
      </x:c>
      <x:c r="D40" s="13" t="s">
        <x:v>383</x:v>
      </x:c>
      <x:c r="E40" s="13" t="str">
        <x:v>`gold.fact_referral_category` ⟕ `gold.fact_referral_offer` ⟕ `gold.dim_referral` [v1 specification; current source is not asserted]</x:v>
      </x:c>
      <x:c r="F40" s="13" t="str">
        <x:v>Original specification: Active referrals where referral category changed during lifecycle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KPI_CALCULATION_TRACEABILITY.md#kpi-106</x:v>
      </x:c>
      <x:c r="G40" s="13" t="str">
        <x:v>Not implemented / retired; see Calculation</x:v>
      </x:c>
      <x:c r="H40" s="18" t="s">
        <x:v>291</x:v>
      </x:c>
    </x:row>
    <x:row r="41" ht="409" customHeight="1">
      <x:c r="A41" s="12" t="s">
        <x:v>384</x:v>
      </x:c>
      <x:c r="B41" s="13" t="s">
        <x:v>385</x:v>
      </x:c>
      <x:c r="C41" s="13" t="s">
        <x:v>386</x:v>
      </x:c>
      <x:c r="D41" s="13" t="s">
        <x:v>387</x:v>
      </x:c>
      <x:c r="E41" s="13" t="str">
        <x:v>gold.dim_provider_home; gold.fact_offer; gold.fact_referral</x:v>
      </x:c>
      <x:c r="F41" s="13" t="str">
        <x:v>Original specification: Non-spot offers
Current assessment: Defined in saved model; runtime/UAT pending
Check the original population, grain and filter rules against the saved DAX. Definition differences and prior mappings are detailed in the calculation trace.
DAX:
[Framework Offers (Under Offer Referrals)] = // Preserve the original non-Spot fallback for blank/unmatched home flags.
			// These offers are not evidence of affirmative framework membership.
			VAR qualifyingOffers = [Offers on Referrals Under Offer]
			VAR spotOffers = COALESCE ( [Spot Offers on Referrals Under Offer], 0 )
			RETURN
			    IF ( ISBLANK ( qualifyingOffers ), BLANK (), qualifyingOffers - spotOffers 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KPI_CALCULATION_TRACEABILITY.md#kpi-38</x:v>
      </x:c>
      <x:c r="G41" s="13" t="str">
        <x:v>Framework Offers (Under Offer Referrals)</x:v>
      </x:c>
      <x:c r="H41" s="13" t="s">
        <x:v>266</x:v>
      </x:c>
    </x:row>
    <x:row r="42" ht="306" customHeight="1">
      <x:c r="A42" s="12" t="s">
        <x:v>388</x:v>
      </x:c>
      <x:c r="B42" s="13" t="s">
        <x:v>389</x:v>
      </x:c>
      <x:c r="C42" s="13" t="s">
        <x:v>390</x:v>
      </x:c>
      <x:c r="D42" s="13" t="s">
        <x:v>391</x:v>
      </x:c>
      <x:c r="E42" s="13" t="str">
        <x:v>gold.bridge_provider_framework</x:v>
      </x:c>
      <x:c r="F42" s="13" t="str">
        <x:v>Original specification: Providers by framework
Current assessment: Defined in saved model; runtime/UAT pending
Check the original population, grain and filter rules against the saved DAX. Definition differences and prior mappings are detailed in the calculation trace.
DAX:
[Framework Providers] = DISTINCTCOUNT(bridge_provider_framework[provider_id])
Python / Spark SQL:
project X/05_gold_dimensions.py:194
copy_bridge(
    "silver.provider_framework", "gold.bridge_provider_framework",
    ["provider_framework_id", "provider_id", "framework_code", "qa_flag", "export_date"],
... selected producer lines ...
copy_bridge(
    "silver.provider_framework", "gold.bridge_provider_framework",
    ["provider_framework_id", "provider_id", "framework_code", "qa_flag", "exp
[producer excerpt; full source and dependencies in traceability document]
Full logic: KPI_CALCULATION_TRACEABILITY.md#kpi-45</x:v>
      </x:c>
      <x:c r="G42" s="13" t="str">
        <x:v>Framework Providers</x:v>
      </x:c>
      <x:c r="H42" s="13" t="s">
        <x:v>329</x:v>
      </x:c>
    </x:row>
    <x:row r="43" ht="345" customHeight="1">
      <x:c r="A43" s="12" t="s">
        <x:v>392</x:v>
      </x:c>
      <x:c r="B43" s="13" t="s">
        <x:v>258</x:v>
      </x:c>
      <x:c r="C43" s="13" t="s">
        <x:v>393</x:v>
      </x:c>
      <x:c r="D43" s="13" t="s">
        <x:v>260</x:v>
      </x:c>
      <x:c r="E43" s="13" t="str">
        <x:v>gold.fact_ipa</x:v>
      </x:c>
      <x:c r="F43" s="13" t="str">
        <x:v>Original specification: `COUNT(DISTINCT ipa_id) WHERE signed_by_local_authority = true AND signed_by_provider = true`
Current assessment: Defined in saved model; runtime/UAT pending
Check the original population, grain and filter rules against the saved DAX. Definition differences and prior mappings are detailed in the calculation trace.
DAX:
[IPA Completed] = CALCULATE ( [IPAs Created], KEEPFILTERS ( 'fact_ipa'[is_ipa_completed] = TRUE () )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COALESCE(CAST(i.signed_by_local_authority AS BOOLEAN), false) AS signed_by
[producer excerpt; full source and dependencies in traceability document]
Full logic: KPI_CALCULATION_TRACEABILITY.md#kpi-77</x:v>
      </x:c>
      <x:c r="G43" s="13" t="str">
        <x:v>IPA Completed</x:v>
      </x:c>
      <x:c r="H43" s="13" t="s">
        <x:v>261</x:v>
      </x:c>
    </x:row>
    <x:row r="44" ht="306" customHeight="1">
      <x:c r="A44" s="12" t="s">
        <x:v>394</x:v>
      </x:c>
      <x:c r="B44" s="13" t="s">
        <x:v>258</x:v>
      </x:c>
      <x:c r="C44" s="13" t="s">
        <x:v>395</x:v>
      </x:c>
      <x:c r="D44" s="13" t="s">
        <x:v>260</x:v>
      </x:c>
      <x:c r="E44" s="13" t="str">
        <x:v>gold.fact_ipa</x:v>
      </x:c>
      <x:c r="F44" s="13" t="str">
        <x:v>Original specification: `COUNT(DISTINCT ipa_id)`
Current assessment: Defined in saved model; runtime/UAT pending
Check the original population, grain and filter rules against the saved DAX. Definition differences and prior mappings are detailed in the calculation trace.
DAX:
[IPAs Created] = DISTINCTCOUNT ( 'fact_ipa'[ipa_id]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[producer excerpt; full source and dependencies in traceability document]
Full logic: KPI_CALCULATION_TRACEABILITY.md#kpi-76</x:v>
      </x:c>
      <x:c r="G44" s="13" t="str">
        <x:v>IPAs Created</x:v>
      </x:c>
      <x:c r="H44" s="13" t="s">
        <x:v>261</x:v>
      </x:c>
    </x:row>
    <x:row r="45" ht="332" customHeight="1">
      <x:c r="A45" s="12" t="s">
        <x:v>396</x:v>
      </x:c>
      <x:c r="B45" s="13" t="s">
        <x:v>258</x:v>
      </x:c>
      <x:c r="C45" s="13" t="s">
        <x:v>397</x:v>
      </x:c>
      <x:c r="D45" s="13" t="s">
        <x:v>260</x:v>
      </x:c>
      <x:c r="E45" s="13" t="str">
        <x:v>gold.fact_ipa</x:v>
      </x:c>
      <x:c r="F45" s="13" t="str">
        <x:v>Original specification: `COUNT(DISTINCT completed_ipa) / COUNT(DISTINCT all_ipa) * 100`
Current assessment: Defined in saved model; runtime/UAT pending
Check the original population, grain and filter rules against the saved DAX. Definition differences and prior mappings are detailed in the calculation trace.
DAX:
[IPA Created to Completion %] = DIVIDE ( [IPA Completed], [IPAs Created]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COALESCE(CAST(i.signed_by_local_authority AS BOOLEAN), false) AS signed_by
[producer excerpt; full source and dependencies in traceability document]
Full logic: KPI_CALCULATION_TRACEABILITY.md#kpi-85</x:v>
      </x:c>
      <x:c r="G45" s="13" t="str">
        <x:v>IPA Created to Completion %</x:v>
      </x:c>
      <x:c r="H45" s="13" t="s">
        <x:v>261</x:v>
      </x:c>
    </x:row>
    <x:row r="46" ht="409" customHeight="1">
      <x:c r="A46" s="12" t="s">
        <x:v>398</x:v>
      </x:c>
      <x:c r="B46" s="13" t="s">
        <x:v>258</x:v>
      </x:c>
      <x:c r="C46" s="13" t="s">
        <x:v>399</x:v>
      </x:c>
      <x:c r="D46" s="13" t="s">
        <x:v>260</x:v>
      </x:c>
      <x:c r="E46" s="13" t="str">
        <x:v>gold.fact_ipa; gold.fact_offer</x:v>
      </x:c>
      <x:c r="F46" s="13" t="str">
        <x:v>Original specification: `COUNT(DISTINCT ipa_id) &gt; 0` (boolean)
Current assessment: Defined in saved model; runtime/UAT pending
Check the original population, grain and filter rules against the saved DAX. Definition differences and prior mappings are detailed in the calculation trace.
DAX:
[IPA Exists] = IF (
			    ISINSCOPE ( 'fact_offer'[offer_id] ) || ( HASONEVALUE ( 'fact_offer'[offer_id] ) &amp;&amp; NOT ISINSCOPE ( 'fact_ipa'[ipa_id] ) ),
			    VAR offer_ids = VALUES ( 'fact_offer'[offer_id] )
			    RETURN IF ( CALCULATE ( [IPAs Created], KEEPFILTERS ( TREATAS ( offer_ids, 'fact_ipa'[accepted_offer_id] ) ) ) &gt; 0, "Yes", "No" ),
			    IF ( [IPAs Created] &gt; 0, "Yes", "No" )
			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COALESCE(CAST(i.signed_by_provider AS BOOLEAN), false) AS signed_by_provid
[producer excerpt; full source and dependencies in traceability document]
Full logic: KPI_CALCULATION_TRACEABILITY.md#kpi-73</x:v>
      </x:c>
      <x:c r="G46" s="13" t="str">
        <x:v>IPA Exists</x:v>
      </x:c>
      <x:c r="H46" s="13" t="s">
        <x:v>261</x:v>
      </x:c>
    </x:row>
    <x:row r="47" ht="228" customHeight="1">
      <x:c r="A47" s="12" t="s">
        <x:v>400</x:v>
      </x:c>
      <x:c r="B47" s="13" t="s">
        <x:v>401</x:v>
      </x:c>
      <x:c r="C47" s="13" t="s">
        <x:v>402</x:v>
      </x:c>
      <x:c r="D47" s="13" t="s">
        <x:v>403</x:v>
      </x:c>
      <x:c r="E47" s="13" t="str">
        <x:v>`gold.fact_ipa` [v1 specification; current source is not asserted]</x:v>
      </x:c>
      <x:c r="F47" s="16" t="str">
        <x:v>Original specification: `COUNT(DISTINCT ipa_id) GROUP BY payment lifecycle status`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KPI_CALCULATION_TRACEABILITY.md#kpi-109</x:v>
      </x:c>
      <x:c r="G47" s="13" t="str">
        <x:v>Not implemented / retired; see Calculation</x:v>
      </x:c>
      <x:c r="H47" s="18" t="s">
        <x:v>291</x:v>
      </x:c>
    </x:row>
    <x:row r="48" ht="332" customHeight="1">
      <x:c r="A48" s="12" t="s">
        <x:v>404</x:v>
      </x:c>
      <x:c r="B48" s="13" t="s">
        <x:v>405</x:v>
      </x:c>
      <x:c r="C48" s="13" t="s">
        <x:v>406</x:v>
      </x:c>
      <x:c r="D48" s="13" t="s">
        <x:v>407</x:v>
      </x:c>
      <x:c r="E48" s="13" t="str">
        <x:v>gold.fact_ipa</x:v>
      </x:c>
      <x:c r="F48" s="13" t="str">
        <x:v>Original specification: Counts and rates for LA signed, provider signed, both signed, total IPA
Current assessment: Defined in saved model; runtime/UAT pending
Check the original population, grain and filter rules against the saved DAX. Definition differences and prior mappings are detailed in the calculation trace.
DAX:
[IPA Signature Completion Rate] = DIVIDE ( [IPA Completed], [IPAs Created]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COALESCE(CAST(i.signed_by_local_authority AS BOOLEAN), false) AS signed_by
[producer excerpt; full source and dependencies in traceability document]
Full logic: KPI_CALCULATION_TRACEABILITY.md#kpi-114</x:v>
      </x:c>
      <x:c r="G48" s="13" t="str">
        <x:v>IPA Signature Completion Rate</x:v>
      </x:c>
      <x:c r="H48" s="18" t="s">
        <x:v>291</x:v>
      </x:c>
    </x:row>
    <x:row r="49" ht="358" customHeight="1">
      <x:c r="A49" s="12" t="s">
        <x:v>408</x:v>
      </x:c>
      <x:c r="B49" s="13" t="s">
        <x:v>258</x:v>
      </x:c>
      <x:c r="C49" s="13" t="s">
        <x:v>409</x:v>
      </x:c>
      <x:c r="D49" s="13" t="s">
        <x:v>260</x:v>
      </x:c>
      <x:c r="E49" s="13" t="str">
        <x:v>gold.fact_ipa</x:v>
      </x:c>
      <x:c r="F49" s="13" t="str">
        <x:v>Original specification: `COUNT(DISTINCT ipa_id) WHERE (signed_by_local_authority = false OR signed_by_provider = false) AND closed = false`
Current assessment: Defined in saved model; runtime/UAT pending
Check the original population, grain and filter rules against the saved DAX. Definition differences and prior mappings are detailed in the calculation trace.
DAX:
[IPAs Pending Completion] = CALCULATE ( [IPAs Created], KEEPFILTERS ( 'fact_ipa'[is_ipa_pending] = TRUE () )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NOT COALESCE(CAST(i.closed AS BOOLEAN), false)
    AND NOT (COALESCE(CAST(
[producer excerpt; full source and dependencies in traceability document]
Full logic: KPI_CALCULATION_TRACEABILITY.md#kpi-78</x:v>
      </x:c>
      <x:c r="G49" s="13" t="str">
        <x:v>IPAs Pending Completion</x:v>
      </x:c>
      <x:c r="H49" s="13" t="s">
        <x:v>261</x:v>
      </x:c>
    </x:row>
    <x:row r="50" ht="319" customHeight="1">
      <x:c r="A50" s="12" t="s">
        <x:v>410</x:v>
      </x:c>
      <x:c r="B50" s="13" t="s">
        <x:v>258</x:v>
      </x:c>
      <x:c r="C50" s="13" t="s">
        <x:v>411</x:v>
      </x:c>
      <x:c r="D50" s="13" t="s">
        <x:v>260</x:v>
      </x:c>
      <x:c r="E50" s="13" t="str">
        <x:v>gold.fact_offer</x:v>
      </x:c>
      <x:c r="F50" s="13" t="str">
        <x:v>Original specification: Boolean flag, accepted offer with no IPA
Current assessment: Defined in saved model; runtime/UAT pending
Check the original population, grain and filter rules against the saved DAX. Definition differences and prior mappings are detailed in the calculation trace.
DAX:
[Is Awaiting IPA Creation] = IF ( COALESCE ( SELECTEDVALUE ( 'fact_offer'[is_awaiting_ipa_creation] ), FALSE () ), 1, 0 )
Python / Spark SQL:
project X/04_gold_model.py:712
spark.sql(f"""
CREATE OR REPLACE TABLE gold.fact_offer AS
WITH home_framework_category AS (
... selected producer lines ...
  LOWER(COALESCE(o.offer_status, '')) IN
    ('accepted', 'approved', 'selected', 'offer_successful')
    AND COALESCE(ip.ipa_count, 0) = 0 AS is_awaiting_ipa_creation,
  COALESCE(ip.has_pending_ipa, 0) = 1 AS is_ipa_pending,
[producer excerpt; full source and dependencies in traceability document]
Full logic: KPI_CALCULATION_TRACEABILITY.md#kpi-81</x:v>
      </x:c>
      <x:c r="G50" s="13" t="str">
        <x:v>Is Awaiting IPA Creation</x:v>
      </x:c>
      <x:c r="H50" s="13" t="s">
        <x:v>261</x:v>
      </x:c>
    </x:row>
    <x:row r="51" ht="371" customHeight="1">
      <x:c r="A51" s="12" t="s">
        <x:v>412</x:v>
      </x:c>
      <x:c r="B51" s="13" t="s">
        <x:v>413</x:v>
      </x:c>
      <x:c r="C51" s="13" t="s">
        <x:v>414</x:v>
      </x:c>
      <x:c r="D51" s="13" t="s">
        <x:v>415</x:v>
      </x:c>
      <x:c r="E51" s="13" t="str">
        <x:v>gold.fact_offer</x:v>
      </x:c>
      <x:c r="F51" s="13" t="str">
        <x:v>Original specification: `offer_status = 'ACCEPTED'` flag, base for IPA funnel
Current assessment: Defined in saved model; runtime/UAT pending
Check the original population, grain and filter rules against the saved DAX. Definition differences and prior mappings are detailed in the calculation trace.
DAX:
[Is In Accepted KPI] = IF (
			    LOWER ( COALESCE ( SELECTEDVALUE ( 'fact_offer'[offer_status] ), "" ) ) IN { "accepted", "approved", "selected", "offer_successful" },
			    "Yes",
			    "No"
			)
Python / Spark SQL:
project X/04_gold_model.py:712
spark.sql(f"""
CREATE OR REPLACE TABLE gold.fact_offer AS
WITH home_framework_category AS (
... selected producer lines ...
  CAST(o.offer_date AS TIMESTAMP) AS offer_submitted_date,
  CAST(o.last_modified_date AS TIMESTAMP) AS offer_reviewed_date,
  CASE WHEN LOWER(COALESCE(o.offer_status, '')) IN
    ('offer_successful', 'offer_unsuccessful', 'offer_withdr
[producer excerpt; full source and dependencies in traceability document]
Full logic: KPI_CALCULATION_TRACEABILITY.md#kpi-74</x:v>
      </x:c>
      <x:c r="G51" s="13" t="str">
        <x:v>Is In Accepted KPI</x:v>
      </x:c>
      <x:c r="H51" s="13" t="s">
        <x:v>261</x:v>
      </x:c>
    </x:row>
    <x:row r="52" ht="409" customHeight="1">
      <x:c r="A52" s="12" t="s">
        <x:v>416</x:v>
      </x:c>
      <x:c r="B52" s="13" t="s">
        <x:v>258</x:v>
      </x:c>
      <x:c r="C52" s="13" t="s">
        <x:v>417</x:v>
      </x:c>
      <x:c r="D52" s="13" t="s">
        <x:v>260</x:v>
      </x:c>
      <x:c r="E52" s="13" t="str">
        <x:v>gold.fact_ipa; gold.fact_offer</x:v>
      </x:c>
      <x:c r="F52" s="13" t="str">
        <x:v>Original specification: Boolean flag, both signatures present
Current assessment: Defined in saved model; runtime/UAT pending
Check the original population, grain and filter rules against the saved DAX. Definition differences and prior mappings are detailed in the calculation trace.
DAX:
[Is IPA Completed] = IF (
			    ISINSCOPE ( 'fact_offer'[offer_id] ) || ( HASONEVALUE ( 'fact_offer'[offer_id] ) &amp;&amp; NOT ISINSCOPE ( 'fact_ipa'[ipa_id] ) ),
			    VAR offer_ids = VALUES ( 'fact_offer'[offer_id] )
			    RETURN IF ( CALCULATE ( [IPAs Created], KEEPFILTERS ( TREATAS ( offer_ids, 'fact_ipa'[accepted_offer_id] ) ), 'fact_ipa'[is_ipa_completed] = TRUE () ) &gt; 0, 1, 0 ),
			    IF ( SELECTEDVALUE ( 'fact_ipa'[is_ipa_completed], FALSE () ), 1, 0 )
			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COALESCE(CAST(i.signed_by_provider AS BOOLEAN), false) AS signed_by_provid
[producer excerpt; full source and dependencies in traceability document]
Full logic: KPI_CALCULATION_TRACEABILITY.md#kpi-82</x:v>
      </x:c>
      <x:c r="G52" s="13" t="str">
        <x:v>Is IPA Completed</x:v>
      </x:c>
      <x:c r="H52" s="13" t="s">
        <x:v>261</x:v>
      </x:c>
    </x:row>
    <x:row r="53" ht="409" customHeight="1">
      <x:c r="A53" s="12" t="s">
        <x:v>418</x:v>
      </x:c>
      <x:c r="B53" s="13" t="s">
        <x:v>258</x:v>
      </x:c>
      <x:c r="C53" s="13" t="s">
        <x:v>419</x:v>
      </x:c>
      <x:c r="D53" s="13" t="s">
        <x:v>260</x:v>
      </x:c>
      <x:c r="E53" s="13" t="str">
        <x:v>gold.fact_ipa; gold.fact_offer</x:v>
      </x:c>
      <x:c r="F53" s="13" t="str">
        <x:v>Original specification: Boolean flag, IPA exists but not signed
Current assessment: Defined in saved model; runtime/UAT pending
Check the original population, grain and filter rules against the saved DAX. Definition differences and prior mappings are detailed in the calculation trace.
DAX:
[Is IPA Pending] = IF (
			    ISINSCOPE ( 'fact_offer'[offer_id] ) || ( HASONEVALUE ( 'fact_offer'[offer_id] ) &amp;&amp; NOT ISINSCOPE ( 'fact_ipa'[ipa_id] ) ),
			    VAR offer_ids = VALUES ( 'fact_offer'[offer_id] )
			    RETURN IF ( CALCULATE ( [IPAs Created], KEEPFILTERS ( TREATAS ( offer_ids, 'fact_ipa'[accepted_offer_id] ) ), 'fact_ipa'[is_ipa_pending] = TRUE () ) &gt; 0, 1, 0 ),
			    IF ( SELECTEDVALUE ( 'fact_ipa'[is_ipa_pending], FALSE () ), 1, 0 )
			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COALESCE(CAST(i.signed_by_provider AS BOOLEAN), false) AS signed_by_provid
[producer excerpt; full source and dependencies in traceability document]
Full logic: KPI_CALCULATION_TRACEABILITY.md#kpi-80</x:v>
      </x:c>
      <x:c r="G53" s="13" t="str">
        <x:v>Is IPA Pending</x:v>
      </x:c>
      <x:c r="H53" s="13" t="s">
        <x:v>261</x:v>
      </x:c>
    </x:row>
    <x:row r="54" ht="319" customHeight="1">
      <x:c r="A54" s="12" t="s">
        <x:v>420</x:v>
      </x:c>
      <x:c r="B54" s="13" t="s">
        <x:v>421</x:v>
      </x:c>
      <x:c r="C54" s="13" t="s">
        <x:v>422</x:v>
      </x:c>
      <x:c r="D54" s="13" t="s">
        <x:v>423</x:v>
      </x:c>
      <x:c r="E54" s="13" t="str">
        <x:v>gold.bridge_provider_framework</x:v>
      </x:c>
      <x:c r="F54" s="13" t="str">
        <x:v>Original specification: Boolean flag
Current assessment: Defined in saved model; runtime/UAT pending
Check the original population, grain and filter rules against the saved DAX. Definition differences and prior mappings are detailed in the calculation trace.
DAX:
[Is Non Framework Provider] = IF ( CALCULATE ( COUNTROWS ( 'bridge_provider_framework' ) ) = 0, 1, 0 )
Python / Spark SQL:
project X/05_gold_dimensions.py:194
copy_bridge(
    "silver.provider_framework", "gold.bridge_provider_framework",
    ["provider_framework_id", "provider_id", "framework_code", "qa_flag", "export_date"],
    [("provider_framework_id", "provider_framework_id"), ("provider_id", "provider_id"),
     ("framework_code", "framework_code"), ("qa_flag", "qa_flag"),
     ("export_date", "source_expor
[producer excerpt; full source and dependencies in traceability document]
Full logic: KPI_CALCULATION_TRACEABILITY.md#kpi-47</x:v>
      </x:c>
      <x:c r="G54" s="13" t="str">
        <x:v>Is Non Framework Provider</x:v>
      </x:c>
      <x:c r="H54" s="13" t="s">
        <x:v>329</x:v>
      </x:c>
    </x:row>
    <x:row r="55" ht="306" customHeight="1">
      <x:c r="A55" s="12" t="s">
        <x:v>139</x:v>
      </x:c>
      <x:c r="B55" s="13" t="s">
        <x:v>424</x:v>
      </x:c>
      <x:c r="C55" s="13" t="s">
        <x:v>425</x:v>
      </x:c>
      <x:c r="D55" s="13" t="s">
        <x:v>426</x:v>
      </x:c>
      <x:c r="E55" s="13" t="str">
        <x:v>gold.fact_offer</x:v>
      </x:c>
      <x:c r="F55" s="13" t="str">
        <x:v>Original specification: `MAX(offer_date) GROUP BY offer_id`
Current assessment: Defined in saved model; runtime/UAT pending
Check the original population, grain and filter rules against the saved DAX. Definition differences and prior mappings are detailed in the calculation trace.
DAX:
[Latest Offer Source Export] = MAX ( 'fact_offer'[source_export_date] )
Python / Spark SQL:
project X/04_gold_model.py:712
spark.sql(f"""
CREATE OR REPLACE TABLE gold.fact_offer AS
WITH home_framework_category AS (
... selected producer lines ...
  COALESCE(ip.has_completed_ipa, 0) = 1 AS is_ipa_completed,
  CAST(o.export_date AS TIMESTAMP) AS export_date,
  CAST(o.export_date AS TIMESTAMP) AS source_export_date,
  '{GOLD_JOB_RUN_ID}' AS job_run_id, CURRENT_TIMESTAMP() AS gold_m
[producer excerpt; full source and dependencies in traceability document]
Full logic: KPI_CALCULATION_TRACEABILITY.md#kpi-88</x:v>
      </x:c>
      <x:c r="G55" s="13" t="str">
        <x:v>Latest Offer Source Export</x:v>
      </x:c>
      <x:c r="H55" s="13" t="s">
        <x:v>320</x:v>
      </x:c>
    </x:row>
    <x:row r="56" ht="228" customHeight="1">
      <x:c r="A56" s="12" t="s">
        <x:v>427</x:v>
      </x:c>
      <x:c r="B56" s="13" t="s">
        <x:v>293</x:v>
      </x:c>
      <x:c r="C56" s="13" t="s">
        <x:v>428</x:v>
      </x:c>
      <x:c r="D56" s="13" t="s">
        <x:v>429</x:v>
      </x:c>
      <x:c r="E56" s="13" t="str">
        <x:v>`gold.fact_offer` [v1 specification; current source is not asserted]</x:v>
      </x:c>
      <x:c r="F56" s="13" t="str">
        <x:v>Original specification: `COUNT(DISTINCT offer_id) GROUP BY offer_status ORDER BY count DESC`
Current assessment: Legacy helper retired; original specification retained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KPI_CALCULATION_TRACEABILITY.md#kpi-89</x:v>
      </x:c>
      <x:c r="G56" s="13" t="str">
        <x:v>Not implemented / retired; see Calculation</x:v>
      </x:c>
      <x:c r="H56" s="13" t="s">
        <x:v>320</x:v>
      </x:c>
    </x:row>
    <x:row r="57" ht="332" customHeight="1">
      <x:c r="A57" s="12" t="s">
        <x:v>430</x:v>
      </x:c>
      <x:c r="B57" s="13" t="s">
        <x:v>302</x:v>
      </x:c>
      <x:c r="C57" s="13" t="s">
        <x:v>431</x:v>
      </x:c>
      <x:c r="D57" s="13" t="s">
        <x:v>372</x:v>
      </x:c>
      <x:c r="E57" s="13" t="str">
        <x:v>gold.dim_person; gold.fact_referral</x:v>
      </x:c>
      <x:c r="F57" s="13" t="str">
        <x:v>Original specification: Gender='M'
Current assessment: Defined in saved model; runtime/UAT pending
Check the original population, grain and filter rules against the saved DAX. Definition differences and prior mappings are detailed in the calculation trace.
DAX:
[Male Referrals] = CALCULATE ( [Total Referrals], 'dim_person'[gender_clean] = "Male" )
Python / Spark SQL:
project X/05_gold_dimensions.py:194
copy_bridge(
    "silver.provider_framework", "gold.bridge_provider_framework",
    ["provider_framework_id", "provider_id", "framework_code", "qa_flag", "export_date"],
... selected producer lines ...
    .when(F.col("gender").isin("Another Gender", "Other"), "Other")
    .otherwise("Unknown")
    .alias("gender_clean"),
    F.col("ethnicity").alias("ethnic
[producer excerpt; full source and dependencies in traceability document]
Full logic: KPI_CALCULATION_TRACEABILITY.md#kpi-04</x:v>
      </x:c>
      <x:c r="G57" s="13" t="str">
        <x:v>Male Referrals</x:v>
      </x:c>
      <x:c r="H57" s="13" t="s">
        <x:v>373</x:v>
      </x:c>
    </x:row>
    <x:row r="58" ht="345" customHeight="1">
      <x:c r="A58" s="12" t="s">
        <x:v>432</x:v>
      </x:c>
      <x:c r="B58" s="13" t="s">
        <x:v>298</x:v>
      </x:c>
      <x:c r="C58" s="13" t="s">
        <x:v>433</x:v>
      </x:c>
      <x:c r="D58" s="13" t="s">
        <x:v>434</x:v>
      </x:c>
      <x:c r="E58" s="13" t="str">
        <x:v>gold.fact_referral_lifecycle_event</x:v>
      </x:c>
      <x:c r="F58" s="13" t="str">
        <x:v>Original specification: `COUNT(DISTINCT message_id)`
Current assessment: Defined in saved model; runtime/UAT pending
Check the original population, grain and filter rules against the saved DAX. Definition differences and prior mappings are detailed in the calculation trace.
DAX:
[Provider Messages Sent] = CALCULATE (
			    [Referral Lifecycle Events],
			    'fact_referral_lifecycle_event'[event_type] = "ProviderMessageSent"
			)
Python / Spark SQL:
project X/04_gold_model.py:698
spark.sql(f"""
CREATE OR REPLACE TABLE gold.fact_referral_lifecycle_event AS
SELECT e.event_id, e.referral_id, e.event_type, e.event_timestamp,
... selected producer lines ...
spark.sql(f"""
CREATE OR REPLACE TABLE gold.fact_referral_lifecycle_event AS
SELECT e.event_id, e.referral_id, e.event_type, e.event_timestamp,
  e.sequence_number, e.created_by, r.exp
[producer excerpt; full source and dependencies in traceability document]
Full logic: KPI_CALCULATION_TRACEABILITY.md#kpi-110</x:v>
      </x:c>
      <x:c r="G58" s="13" t="str">
        <x:v>Provider Messages Sent</x:v>
      </x:c>
      <x:c r="H58" s="18" t="s">
        <x:v>291</x:v>
      </x:c>
    </x:row>
    <x:row r="59" ht="409" customHeight="1">
      <x:c r="A59" s="12" t="s">
        <x:v>435</x:v>
      </x:c>
      <x:c r="B59" s="13" t="s">
        <x:v>436</x:v>
      </x:c>
      <x:c r="C59" s="13" t="s">
        <x:v>437</x:v>
      </x:c>
      <x:c r="D59" s="13" t="s">
        <x:v>438</x:v>
      </x:c>
      <x:c r="E59" s="13" t="str">
        <x:v>gold.fact_offer</x:v>
      </x:c>
      <x:c r="F59" s="13" t="str">
        <x:v>Original specification: Distinct providers with offers
Current assessment: Defined in saved model; runtime/UAT pending
Check the original population, grain and filter rules against the saved DAX. Definition differences and prior mappings are detailed in the calculation trace.
DAX:
[Providers Who Made Offers] = CALCULATE (
			    DISTINCTCOUNT ( 'fact_offer'[provider_id] ),
			    FILTER (
			        'fact_offer',
			        NOT (
			            LOWER ( COALESCE ( 'fact_offer'[offer_status], "" ) )
			                IN { "draft", "withdrawn", "offer_withdrawn" }
			        )
			    ))
Python / Spark SQL:
project X/04_gold_model.py:712
spark.sql(f"""
CREATE OR REPLACE TABLE gold.fact_offer AS
WITH home_framework_category AS (
... selected producer lines ...
SELECT {AS_OF_SQL} AS as_of_date,
  o.offer_id AS offer_id, rp.referral_id AS referral_id,o.referral_provider_id,
  rp.provider_id AS provider_id, o.provider_home_id AS provider_home_id,
  o.category AS framework_category_id,
  CAST(o.o
[producer excerpt; full source and dependencies in traceability document]
Full logic: KPI_CALCULATION_TRACEABILITY.md#kpi-11</x:v>
      </x:c>
      <x:c r="G59" s="13" t="str">
        <x:v>Providers Who Made Offers</x:v>
      </x:c>
      <x:c r="H59" s="13" t="s">
        <x:v>273</x:v>
      </x:c>
    </x:row>
    <x:row r="60" ht="371" customHeight="1">
      <x:c r="A60" s="12" t="s">
        <x:v>439</x:v>
      </x:c>
      <x:c r="B60" s="13" t="s">
        <x:v>421</x:v>
      </x:c>
      <x:c r="C60" s="13" t="s">
        <x:v>440</x:v>
      </x:c>
      <x:c r="D60" s="13" t="s">
        <x:v>423</x:v>
      </x:c>
      <x:c r="E60" s="13" t="str">
        <x:v>gold.bridge_provider_framework; gold.dim_provider</x:v>
      </x:c>
      <x:c r="F60" s="13" t="str">
        <x:v>Original specification: QA flag false
Current assessment: Defined in saved model; runtime/UAT pending
Check the original population, grain and filter rules against the saved DAX. Definition differences and prior mappings are detailed in the calculation trace.
DAX:
[Non-Framework Providers] = COUNTROWS (
			    EXCEPT (
			        VALUES ( 'dim_provider'[provider_id] ),
			        VALUES ( 'bridge_provider_framework'[provider_id] )
			    )
			)
Python / Spark SQL:
project X/05_gold_dimensions.py:194
copy_bridge(
    "silver.provider_framework", "gold.bridge_provider_framework",
    ["provider_framework_id", "provider_id", "framework_code", "qa_flag", "export_date"],
... selected producer lines ...
copy_bridge(
    "silver.provider_framework", "gold.bridge_provider_framework",
    ["provider_framework_id", "provider_id", "framework_code", "qa_flag", "exp
[producer excerpt; full source and dependencies in traceability document]
Full logic: KPI_CALCULATION_TRACEABILITY.md#kpi-46</x:v>
      </x:c>
      <x:c r="G60" s="13" t="str">
        <x:v>Non-Framework Providers</x:v>
      </x:c>
      <x:c r="H60" s="13" t="s">
        <x:v>329</x:v>
      </x:c>
    </x:row>
    <x:row r="61" ht="332" customHeight="1">
      <x:c r="A61" s="12" t="s">
        <x:v>441</x:v>
      </x:c>
      <x:c r="B61" s="13" t="s">
        <x:v>442</x:v>
      </x:c>
      <x:c r="C61" s="13" t="s">
        <x:v>443</x:v>
      </x:c>
      <x:c r="D61" s="13" t="s">
        <x:v>444</x:v>
      </x:c>
      <x:c r="E61" s="13" t="str">
        <x:v>gold.fact_offer</x:v>
      </x:c>
      <x:c r="F61" s="13" t="str">
        <x:v>Original specification: Distinct offers
Current assessment: Defined in saved model; runtime/UAT pending
Check the original population, grain and filter rules against the saved DAX. Definition differences and prior mappings are detailed in the calculation trace.
DAX:
[Offers Submitted] = DISTINCTCOUNT ( 'fact_offer'[offer_id]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LEFT JOIN silver.provider_home_location home ON
[producer excerpt; full source and dependencies in traceability document]
Full logic: KPI_CALCULATION_TRACEABILITY.md#kpi-28</x:v>
      </x:c>
      <x:c r="G61" s="13" t="str">
        <x:v>Offers Submitted</x:v>
      </x:c>
      <x:c r="H61" s="13" t="s">
        <x:v>266</x:v>
      </x:c>
    </x:row>
    <x:row r="62" ht="215" customHeight="1">
      <x:c r="A62" s="12" t="s">
        <x:v>445</x:v>
      </x:c>
      <x:c r="B62" s="13" t="s">
        <x:v>442</x:v>
      </x:c>
      <x:c r="C62" s="13" t="s">
        <x:v>446</x:v>
      </x:c>
      <x:c r="D62" s="13" t="s">
        <x:v>444</x:v>
      </x:c>
      <x:c r="E62" s="13" t="str">
        <x:v>offer + referral_offer [v1 specification; current source is not asserted]</x:v>
      </x:c>
      <x:c r="F62" s="13" t="str">
        <x:v>Original specification: Distinct offer IDs
Current assessment: Legacy helper retired; original specification retained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KPI_CALCULATION_TRACEABILITY.md#kpi-36</x:v>
      </x:c>
      <x:c r="G62" s="13" t="str">
        <x:v>Not implemented / retired; see Calculation</x:v>
      </x:c>
      <x:c r="H62" s="13" t="s">
        <x:v>266</x:v>
      </x:c>
    </x:row>
    <x:row r="63" ht="397" customHeight="1">
      <x:c r="A63" s="12" t="s">
        <x:v>447</x:v>
      </x:c>
      <x:c r="B63" s="13" t="s">
        <x:v>293</x:v>
      </x:c>
      <x:c r="C63" s="13" t="s">
        <x:v>448</x:v>
      </x:c>
      <x:c r="D63" s="13" t="s">
        <x:v>295</x:v>
      </x:c>
      <x:c r="E63" s="13" t="str">
        <x:v>gold.fact_offer</x:v>
      </x:c>
      <x:c r="F63" s="13" t="str">
        <x:v>Original specification: Same as KPI-68 (duplicate)
Current assessment: Defined in saved model; runtime/UAT pending
Check the original population, grain and filter rules against the saved DAX. Definition differences and prior mappings are detailed in the calculation trace.
DAX:
[Pending Offers 8-14 Days] = CALCULATE (
			    [Pending Offers],
			    KEEPFILTERS ( FILTER ( 'fact_offer', NOT ISBLANK ( 'fact_offer'[offer_age_days] ) &amp;&amp; 'fact_offer'[offer_age_days] &gt;= 8 &amp;&amp; 'fact_offer'[offer_age_days] &lt;= 14 )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KPI_CALCULATION_TRACEABILITY.md#kpi-70</x:v>
      </x:c>
      <x:c r="G63" s="13" t="str">
        <x:v>Pending Offers 8-14 Days</x:v>
      </x:c>
      <x:c r="H63" s="13" t="s">
        <x:v>296</x:v>
      </x:c>
    </x:row>
    <x:row r="64" ht="371" customHeight="1">
      <x:c r="A64" s="12" t="s">
        <x:v>449</x:v>
      </x:c>
      <x:c r="B64" s="13" t="s">
        <x:v>258</x:v>
      </x:c>
      <x:c r="C64" s="13" t="s">
        <x:v>450</x:v>
      </x:c>
      <x:c r="D64" s="13" t="s">
        <x:v>260</x:v>
      </x:c>
      <x:c r="E64" s="13" t="str">
        <x:v>gold.fact_offer</x:v>
      </x:c>
      <x:c r="F64" s="13" t="str">
        <x:v>Original specification: `COUNT(DISTINCT f.offer_id) LEFT JOIN fact_ipa i ON f.offer_id = i.offer_id WHERE f.offer_status = 'ACCEPTED' AND i.ipa_id IS NULL`
Current assessment: Defined in saved model; runtime/UAT pending
Check the original population, grain and filter rules against the saved DAX. Definition differences and prior mappings are detailed in the calculation trace.
DAX:
[Offers Awaiting IPA Creation] = CALCULATE ( [Offers Submitted], 'fact_offer'[is_awaiting_ipa_creation] = TRUE ())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LOWER(COALESCE(o.offer_status, '')) IN
    ('
[producer excerpt; full source and dependencies in traceability document]
Full logic: KPI_CALCULATION_TRACEABILITY.md#kpi-79</x:v>
      </x:c>
      <x:c r="G64" s="13" t="str">
        <x:v>Offers Awaiting IPA Creation</x:v>
      </x:c>
      <x:c r="H64" s="13" t="s">
        <x:v>261</x:v>
      </x:c>
    </x:row>
    <x:row r="65" ht="409" customHeight="1">
      <x:c r="A65" s="12" t="s">
        <x:v>451</x:v>
      </x:c>
      <x:c r="B65" s="13" t="s">
        <x:v>452</x:v>
      </x:c>
      <x:c r="C65" s="13" t="s">
        <x:v>453</x:v>
      </x:c>
      <x:c r="D65" s="13" t="s">
        <x:v>454</x:v>
      </x:c>
      <x:c r="E65" s="13" t="str">
        <x:v>gold.fact_offer; gold.fact_referral</x:v>
      </x:c>
      <x:c r="F65" s="13" t="str">
        <x:v>Original specification: Draft offers
Current assessment: Defined in saved model; runtime/UAT pending
Check the original population, grain and filter rules against the saved DAX. Definition differences and prior mappings are detailed in the calculation trace.
DAX:
[Draft Offers on Referrals Under Offer] = CALCULATE (
			    [Offers in Draft],
			    FILTER (
			        'fact_referral',
			        'fact_referral'[is_open] = TRUE () &amp;&amp; 'fact_referral'[current_status] = "UNDER_OFFER"
			    )
			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KPI_CALCULATION_TRACEABILITY.md#kpi-17</x:v>
      </x:c>
      <x:c r="G65" s="13" t="str">
        <x:v>Draft Offers on Referrals Under Offer</x:v>
      </x:c>
      <x:c r="H65" s="13" t="s">
        <x:v>273</x:v>
      </x:c>
    </x:row>
    <x:row r="66" ht="345" customHeight="1">
      <x:c r="A66" s="12" t="s">
        <x:v>455</x:v>
      </x:c>
      <x:c r="B66" s="13" t="s">
        <x:v>293</x:v>
      </x:c>
      <x:c r="C66" s="13" t="s">
        <x:v>456</x:v>
      </x:c>
      <x:c r="D66" s="13" t="s">
        <x:v>295</x:v>
      </x:c>
      <x:c r="E66" s="13" t="str">
        <x:v>gold.fact_offer</x:v>
      </x:c>
      <x:c r="F66" s="13" t="str">
        <x:v>Original specification: Same as KPI-65 (duplicate)
Current assessment: Defined in saved model; runtime/UAT pending
The v1 specification explicitly duplicates KPI-65; the saved inclusive 15–30-day calculation is shown.
DAX:
[Pending Offers 15–30 Days] = CALCULATE ( [Pending Offers], KEEPFILTERS ( FILTER ( 'fact_offer', 'fact_offer'[offer_age_days] &gt;= 15 &amp;&amp; 'fact_offer'[offer_age_days] &lt;= 30 ) )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KPI_CALCULATION_TRACEABILITY.md#kpi-71</x:v>
      </x:c>
      <x:c r="G66" s="13" t="str">
        <x:v>Pending Offers 15–30 Days</x:v>
      </x:c>
      <x:c r="H66" s="13" t="s">
        <x:v>296</x:v>
      </x:c>
    </x:row>
    <x:row r="67" ht="332" customHeight="1">
      <x:c r="A67" s="12" t="s">
        <x:v>457</x:v>
      </x:c>
      <x:c r="B67" s="13" t="s">
        <x:v>458</x:v>
      </x:c>
      <x:c r="C67" s="13" t="s">
        <x:v>459</x:v>
      </x:c>
      <x:c r="D67" s="13" t="s">
        <x:v>460</x:v>
      </x:c>
      <x:c r="E67" s="13" t="str">
        <x:v>gold.fact_offer; gold.fact_referral</x:v>
      </x:c>
      <x:c r="F67" s="13" t="str">
        <x:v>Original specification: Offers grouped by provider
Current assessment: Defined in saved model; runtime/UAT pending
Check the original population, grain and filter rules against the saved DAX. Definition differences and prior mappings are detailed in the calculation trace.
DAX:
[Offers per Provider (Under Offer Referrals)] = DIVIDE ( [Offers on Referrals Under Offer], [No. Providers Who Made Offers], 0 )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KPI_CALCULATION_TRACEABILITY.md#kpi-37</x:v>
      </x:c>
      <x:c r="G67" s="13" t="str">
        <x:v>Offers per Provider (Under Offer Referrals)</x:v>
      </x:c>
      <x:c r="H67" s="13" t="s">
        <x:v>266</x:v>
      </x:c>
    </x:row>
    <x:row r="68" ht="319" customHeight="1">
      <x:c r="A68" s="12" t="s">
        <x:v>461</x:v>
      </x:c>
      <x:c r="B68" s="13" t="s">
        <x:v>258</x:v>
      </x:c>
      <x:c r="C68" s="13" t="s">
        <x:v>462</x:v>
      </x:c>
      <x:c r="D68" s="13" t="s">
        <x:v>260</x:v>
      </x:c>
      <x:c r="E68" s="13" t="str">
        <x:v>gold.fact_ipa; gold.fact_offer</x:v>
      </x:c>
      <x:c r="F68" s="13" t="str">
        <x:v>Original specification: `100 - KPI-83`
Current assessment: Defined in saved model; runtime/UAT pending
Check the original population, grain and filter rules against the saved DAX. Definition differences and prior mappings are detailed in the calculation trace.
DAX:
[Offers Still to Progress to IPA %] = IF ( NOT ISBLANK ( [Accepted Offer to IPA Conversion %] ), 1 - [Accepted Offer to IPA Conversion %]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[producer excerpt; full source and dependencies in traceability document]
Full logic: KPI_CALCULATION_TRACEABILITY.md#kpi-84</x:v>
      </x:c>
      <x:c r="G68" s="13" t="str">
        <x:v>Offers Still to Progress to IPA %</x:v>
      </x:c>
      <x:c r="H68" s="13" t="s">
        <x:v>261</x:v>
      </x:c>
    </x:row>
    <x:row r="69" ht="409" customHeight="1">
      <x:c r="A69" s="12" t="s">
        <x:v>463</x:v>
      </x:c>
      <x:c r="B69" s="13" t="s">
        <x:v>293</x:v>
      </x:c>
      <x:c r="C69" s="13" t="s">
        <x:v>464</x:v>
      </x:c>
      <x:c r="D69" s="13" t="s">
        <x:v>295</x:v>
      </x:c>
      <x:c r="E69" s="13" t="str">
        <x:v>gold.fact_offer</x:v>
      </x:c>
      <x:c r="F69" s="13" t="str">
        <x:v>Original specification: `MAX(DATEDIFF(current_date(), offer_date)) WHERE offer_status = 'DRAFT'`
Current assessment: Defined in saved model; runtime/UAT pending
Check the original population, grain and filter rules against the saved DAX. Definition differences and prior mappings are detailed in the calculation trace.
DAX:
[Oldest Draft Age Days] = MAXX (
				FILTER (
					'fact_offer',
					LOWER ( COALESCE ( 'fact_offer'[offer_status], "" ) ) = "draft"
						&amp;&amp; NOT ISBLANK ( 'fact_offer'[offer_age_days] )
				),
				'fact_offer'[offer_age_days]
			)
Python / Spark SQL:
project X/04_gold_model.py:712
spark.sql(f"""
CREATE OR REPLACE TABLE gold.fact_offer AS
WITH home_framework_category AS (
... selected producer lines ...
  CAST(o.offer_date AS TIMESTAMP) AS offer_submitted_date,
  CAST(o.last_modified_date AS TIMESTAMP) AS offer_reviewed_date,
  CASE WHEN LOWER(COALESCE(o.offer_status, '')) IN
    ('offer_successful', 'offer_unsuccessful', 'offer_withdr
[producer excerpt; full source and dependencies in traceability document]
Full logic: KPI_CALCULATION_TRACEABILITY.md#kpi-60</x:v>
      </x:c>
      <x:c r="G69" s="13" t="str">
        <x:v>Oldest Draft Age Days</x:v>
      </x:c>
      <x:c r="H69" s="13" t="s">
        <x:v>296</x:v>
      </x:c>
    </x:row>
    <x:row r="70" ht="332" customHeight="1">
      <x:c r="A70" s="12" t="s">
        <x:v>465</x:v>
      </x:c>
      <x:c r="B70" s="13" t="s">
        <x:v>302</x:v>
      </x:c>
      <x:c r="C70" s="13" t="s">
        <x:v>466</x:v>
      </x:c>
      <x:c r="D70" s="13" t="s">
        <x:v>372</x:v>
      </x:c>
      <x:c r="E70" s="13" t="str">
        <x:v>gold.dim_person; gold.fact_referral</x:v>
      </x:c>
      <x:c r="F70" s="13" t="str">
        <x:v>Original specification: Gender not M/F
Current assessment: Defined in saved model; runtime/UAT pending
Check the original population, grain and filter rules against the saved DAX. Definition differences and prior mappings are detailed in the calculation trace.
DAX:
[Other Gender Referrals] = CALCULATE ( [Total Referrals], 'dim_person'[gender_clean] = "Other" )
Python / Spark SQL:
project X/05_gold_dimensions.py:194
copy_bridge(
    "silver.provider_framework", "gold.bridge_provider_framework",
    ["provider_framework_id", "provider_id", "framework_code", "qa_flag", "export_date"],
... selected producer lines ...
    .when(F.col("gender").isin("Another Gender", "Other"), "Other")
    .otherwise("Unknown")
    .alias("gender_clean"),
    F.col("ethnicity").alias("ethnic
[producer excerpt; full source and dependencies in traceability document]
Full logic: KPI_CALCULATION_TRACEABILITY.md#kpi-06</x:v>
      </x:c>
      <x:c r="G70" s="13" t="str">
        <x:v>Other Gender Referrals</x:v>
      </x:c>
      <x:c r="H70" s="13" t="s">
        <x:v>373</x:v>
      </x:c>
    </x:row>
    <x:row r="71" ht="215" customHeight="1">
      <x:c r="A71" s="12" t="s">
        <x:v>467</x:v>
      </x:c>
      <x:c r="B71" s="13" t="s">
        <x:v>468</x:v>
      </x:c>
      <x:c r="C71" s="13" t="s">
        <x:v>469</x:v>
      </x:c>
      <x:c r="D71" s="13" t="s">
        <x:v>470</x:v>
      </x:c>
      <x:c r="E71" s="13" t="str">
        <x:v>Same as KPI-95 [v1 specification; current source is not asserted]</x:v>
      </x:c>
      <x:c r="F71" s="13" t="str">
        <x:v>Original specification: `KPI-95 / KPI-01 * 100`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KPI_CALCULATION_TRACEABILITY.md#kpi-96</x:v>
      </x:c>
      <x:c r="G71" s="13" t="str">
        <x:v>Not implemented / retired; see Calculation</x:v>
      </x:c>
      <x:c r="H71" s="18" t="s">
        <x:v>291</x:v>
      </x:c>
    </x:row>
    <x:row r="72" ht="241" customHeight="1">
      <x:c r="A72" s="12" t="s">
        <x:v>471</x:v>
      </x:c>
      <x:c r="B72" s="13" t="s">
        <x:v>468</x:v>
      </x:c>
      <x:c r="C72" s="13" t="s">
        <x:v>472</x:v>
      </x:c>
      <x:c r="D72" s="13" t="s">
        <x:v>473</x:v>
      </x:c>
      <x:c r="E72" s="13" t="str">
        <x:v>`gold.dim_referral` ⟕ `gold.fact_referral_offer` ⟕ `gold.dim_provider` [v1 specification; current source is not asserted]</x:v>
      </x:c>
      <x:c r="F72" s="13" t="str">
        <x:v>Original specification: `COUNT(DISTINCT r.referral_id) JOIN fact_referral_offer rpo JOIN dim_provider p WHERE p.country != 'United Kingdom' OR p.county NOT LIKE '%West Midlands%'`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KPI_CALCULATION_TRACEABILITY.md#kpi-95</x:v>
      </x:c>
      <x:c r="G72" s="13" t="str">
        <x:v>Not implemented / retired; see Calculation</x:v>
      </x:c>
      <x:c r="H72" s="18" t="s">
        <x:v>291</x:v>
      </x:c>
    </x:row>
    <x:row r="73" ht="384" customHeight="1">
      <x:c r="A73" s="12" t="s">
        <x:v>474</x:v>
      </x:c>
      <x:c r="B73" s="13" t="s">
        <x:v>468</x:v>
      </x:c>
      <x:c r="C73" s="15" t="s">
        <x:v>475</x:v>
      </x:c>
      <x:c r="D73" s="13" t="s">
        <x:v>476</x:v>
      </x:c>
      <x:c r="E73" s="13" t="str">
        <x:v>gold.fact_referral</x:v>
      </x:c>
      <x:c r="F73" s="13" t="str">
        <x:v>Original specification: Referrals appearing in multiple provider referral-provider mappings
Current assessment: Defined in saved model; runtime/UAT pending
Check the original population, grain and filter rules against the saved DAX. Definition differences and prior mappings are detailed in the calculation trace.
DAX:
[Referrals With Multiple Provider Assignments] = CALCULATE ( [Total Referrals], 'fact_referral'[provider_assignment_count] &gt; 1 )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KPI_CALCULATION_TRACEABILITY.md#kpi-90</x:v>
      </x:c>
      <x:c r="G73" s="13" t="str">
        <x:v>Referrals With Multiple Provider Assignments</x:v>
      </x:c>
      <x:c r="H73" s="13" t="s">
        <x:v>320</x:v>
      </x:c>
    </x:row>
    <x:row r="74" ht="228" customHeight="1">
      <x:c r="A74" s="12" t="s">
        <x:v>477</x:v>
      </x:c>
      <x:c r="B74" s="13" t="s">
        <x:v>401</x:v>
      </x:c>
      <x:c r="C74" s="13" t="s">
        <x:v>478</x:v>
      </x:c>
      <x:c r="D74" s="13" t="s">
        <x:v>403</x:v>
      </x:c>
      <x:c r="E74" s="13" t="str">
        <x:v>`gold.fact_ipa` [v1 specification; current source is not asserted]</x:v>
      </x:c>
      <x:c r="F74" s="16" t="str">
        <x:v>Original specification: `COUNT(DISTINCT ipa_id) GROUP BY payment_method WHERE closed = false`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KPI_CALCULATION_TRACEABILITY.md#kpi-108</x:v>
      </x:c>
      <x:c r="G74" s="13" t="str">
        <x:v>Not implemented / retired; see Calculation</x:v>
      </x:c>
      <x:c r="H74" s="18" t="s">
        <x:v>291</x:v>
      </x:c>
    </x:row>
    <x:row r="75" ht="371" customHeight="1">
      <x:c r="A75" s="12" t="s">
        <x:v>479</x:v>
      </x:c>
      <x:c r="B75" s="13" t="s">
        <x:v>452</x:v>
      </x:c>
      <x:c r="C75" s="13" t="s">
        <x:v>480</x:v>
      </x:c>
      <x:c r="D75" s="13" t="s">
        <x:v>454</x:v>
      </x:c>
      <x:c r="E75" s="13" t="str">
        <x:v>gold.fact_offer; gold.fact_referral</x:v>
      </x:c>
      <x:c r="F75" s="13" t="str">
        <x:v>Original specification: Pending offers
Current assessment: Defined in saved model; runtime/UAT pending
Check the original population, grain and filter rules against the saved DAX. Definition differences and prior mappings are detailed in the calculation trace.
DAX:
[Pending Offers (Under Offer Referrals)] = CALCULATE (
			    [Pending Offers],
			    FILTER ( 'fact_referral', 'fact_referral'[is_open] = TRUE () &amp;&amp; 'fact_referral'[current_status] = "UNDER_OFFER" )
			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KPI_CALCULATION_TRACEABILITY.md#kpi-18</x:v>
      </x:c>
      <x:c r="G75" s="13" t="str">
        <x:v>Pending Offers (Under Offer Referrals)</x:v>
      </x:c>
      <x:c r="H75" s="13" t="s">
        <x:v>273</x:v>
      </x:c>
    </x:row>
    <x:row r="76" ht="409" customHeight="1">
      <x:c r="A76" s="12" t="s">
        <x:v>481</x:v>
      </x:c>
      <x:c r="B76" s="13" t="s">
        <x:v>293</x:v>
      </x:c>
      <x:c r="C76" s="13" t="s">
        <x:v>482</x:v>
      </x:c>
      <x:c r="D76" s="13" t="s">
        <x:v>295</x:v>
      </x:c>
      <x:c r="E76" s="13" t="str">
        <x:v>gold.fact_offer</x:v>
      </x:c>
      <x:c r="F76" s="13" t="str">
        <x:v>Original specification: `COUNT(DISTINCT offer_id) WHERE offer_status = 'PENDING' AND DATEDIFF(current_date(), offer_date) BETWEEN 0 AND 7`
Current assessment: Defined in saved model; runtime/UAT pending
Check the original population, grain and filter rules against the saved DAX. Definition differences and prior mappings are detailed in the calculation trace.
DAX:
[Pending Offers 0-7 Days] = CALCULATE (
			    [Pending Offers],
			    KEEPFILTERS ( FILTER ( 'fact_offer', NOT ISBLANK ( 'fact_offer'[offer_age_days] ) &amp;&amp; 'fact_offer'[offer_age_days] &gt;= 0 &amp;&amp; 'fact_offer'[offer_age_days] &lt;= 7 )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KPI_CALCULATION_TRACEABILITY.md#kpi-67</x:v>
      </x:c>
      <x:c r="G76" s="13" t="str">
        <x:v>Pending Offers 0-7 Days</x:v>
      </x:c>
      <x:c r="H76" s="13" t="s">
        <x:v>296</x:v>
      </x:c>
    </x:row>
    <x:row r="77" ht="371" customHeight="1">
      <x:c r="A77" s="12" t="s">
        <x:v>483</x:v>
      </x:c>
      <x:c r="B77" s="13" t="s">
        <x:v>293</x:v>
      </x:c>
      <x:c r="C77" s="13" t="s">
        <x:v>484</x:v>
      </x:c>
      <x:c r="D77" s="13" t="s">
        <x:v>295</x:v>
      </x:c>
      <x:c r="E77" s="13" t="str">
        <x:v>gold.fact_offer</x:v>
      </x:c>
      <x:c r="F77" s="13" t="str">
        <x:v>Original specification: `COUNT(DISTINCT offer_id) WHERE offer_status = 'PENDING' AND DATEDIFF(current_date(), offer_date) BETWEEN 15 AND 30`
Current assessment: Defined in saved model; runtime/UAT pending
Check the original population, grain and filter rules against the saved DAX. Definition differences and prior mappings are detailed in the calculation trace.
DAX:
[Pending Offers 15–30 Days] = CALCULATE ( [Pending Offers], KEEPFILTERS ( FILTER ( 'fact_offer', 'fact_offer'[offer_age_days] &gt;= 15 &amp;&amp; 'fact_offer'[offer_age_days] &lt;= 30 ) ) 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KPI_CALCULATION_TRACEABILITY.md#kpi-65</x:v>
      </x:c>
      <x:c r="G77" s="13" t="str">
        <x:v>Pending Offers 15–30 Days</x:v>
      </x:c>
      <x:c r="H77" s="13" t="s">
        <x:v>296</x:v>
      </x:c>
    </x:row>
    <x:row r="78" ht="397" customHeight="1">
      <x:c r="A78" s="12" t="s">
        <x:v>485</x:v>
      </x:c>
      <x:c r="B78" s="13" t="s">
        <x:v>293</x:v>
      </x:c>
      <x:c r="C78" s="13" t="s">
        <x:v>486</x:v>
      </x:c>
      <x:c r="D78" s="13" t="s">
        <x:v>295</x:v>
      </x:c>
      <x:c r="E78" s="13" t="str">
        <x:v>gold.fact_offer</x:v>
      </x:c>
      <x:c r="F78" s="13" t="str">
        <x:v>Original specification: `COUNT(DISTINCT offer_id) WHERE offer_status = 'PENDING' AND DATEDIFF(current_date(), offer_date) &gt;= 30`
Current assessment: Defined in saved model; runtime/UAT pending
Check the original population, grain and filter rules against the saved DAX. Definition differences and prior mappings are detailed in the calculation trace.
DAX:
[Pending Offers 30+ Days] = CALCULATE (
			    [Pending Offers],
			    KEEPFILTERS ( FILTER ( 'fact_offer', NOT ISBLANK ( 'fact_offer'[offer_age_days] ) &amp;&amp; 'fact_offer'[offer_age_days] &gt;= 30 )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KPI_CALCULATION_TRACEABILITY.md#kpi-66</x:v>
      </x:c>
      <x:c r="G78" s="13" t="str">
        <x:v>Pending Offers 30+ Days</x:v>
      </x:c>
      <x:c r="H78" s="13" t="s">
        <x:v>296</x:v>
      </x:c>
    </x:row>
    <x:row r="79" ht="409" customHeight="1">
      <x:c r="A79" s="12" t="s">
        <x:v>487</x:v>
      </x:c>
      <x:c r="B79" s="13" t="s">
        <x:v>293</x:v>
      </x:c>
      <x:c r="C79" s="13" t="s">
        <x:v>488</x:v>
      </x:c>
      <x:c r="D79" s="13" t="s">
        <x:v>295</x:v>
      </x:c>
      <x:c r="E79" s="13" t="str">
        <x:v>gold.fact_offer</x:v>
      </x:c>
      <x:c r="F79" s="13" t="str">
        <x:v>Original specification: `COUNT(DISTINCT offer_id) WHERE offer_status = 'PENDING' AND DATEDIFF(current_date(), offer_date) BETWEEN 8 AND 14`
Current assessment: Defined in saved model; runtime/UAT pending
Check the original population, grain and filter rules against the saved DAX. Definition differences and prior mappings are detailed in the calculation trace.
DAX:
[Pending Offers 8-14 Days] = CALCULATE (
			    [Pending Offers],
			    KEEPFILTERS ( FILTER ( 'fact_offer', NOT ISBLANK ( 'fact_offer'[offer_age_days] ) &amp;&amp; 'fact_offer'[offer_age_days] &gt;= 8 &amp;&amp; 'fact_offer'[offer_age_days] &lt;= 14 )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KPI_CALCULATION_TRACEABILITY.md#kpi-68</x:v>
      </x:c>
      <x:c r="G79" s="13" t="str">
        <x:v>Pending Offers 8-14 Days</x:v>
      </x:c>
      <x:c r="H79" s="13" t="s">
        <x:v>296</x:v>
      </x:c>
    </x:row>
    <x:row r="80" ht="241" customHeight="1">
      <x:c r="A80" s="12" t="s">
        <x:v>489</x:v>
      </x:c>
      <x:c r="B80" s="13" t="s">
        <x:v>293</x:v>
      </x:c>
      <x:c r="C80" s="13" t="s">
        <x:v>490</x:v>
      </x:c>
      <x:c r="D80" s="13" t="s">
        <x:v>295</x:v>
      </x:c>
      <x:c r="E80" s="13" t="str">
        <x:v>`gold.fact_offer` ⨝ `gold.pending_age_band` [v1 specification; current source is not asserted]</x:v>
      </x:c>
      <x:c r="F80" s="13" t="str">
        <x:v>Original specification: `COUNT(DISTINCT offer_id) WHERE offer_status = 'PENDING' AND DATEDIFF(current_date(), offer_date) BETWEEN min_days AND max_days GROUP BY band_label`
Current assessment: Legacy helper retired; original specification retained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KPI_CALCULATION_TRACEABILITY.md#kpi-64</x:v>
      </x:c>
      <x:c r="G80" s="13" t="str">
        <x:v>Not implemented / retired; see Calculation</x:v>
      </x:c>
      <x:c r="H80" s="13" t="s">
        <x:v>296</x:v>
      </x:c>
    </x:row>
    <x:row r="81" ht="358" customHeight="1">
      <x:c r="A81" s="12" t="s">
        <x:v>491</x:v>
      </x:c>
      <x:c r="B81" s="13" t="s">
        <x:v>492</x:v>
      </x:c>
      <x:c r="C81" s="13" t="s">
        <x:v>493</x:v>
      </x:c>
      <x:c r="D81" s="13" t="s">
        <x:v>494</x:v>
      </x:c>
      <x:c r="E81" s="13" t="str">
        <x:v>gold.fact_referral</x:v>
      </x:c>
      <x:c r="F81" s="13" t="str">
        <x:v>Original specification: Spot vs Framework split
Current assessment: Defined in saved model; runtime/UAT pending
Check the original population, grain and filter rules against the saved DAX. Definition differences and prior mappings are detailed in the calculation trace.
DAX:
[Total Referrals] = DISTINCTCOUNT ( 'fact_referral'[referral_id]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KPI_CALCULATION_TRACEABILITY.md#kpi-26</x:v>
      </x:c>
      <x:c r="G81" s="13" t="str">
        <x:v>Total Referrals</x:v>
      </x:c>
      <x:c r="H81" s="13" t="s">
        <x:v>495</x:v>
      </x:c>
    </x:row>
    <x:row r="82" ht="409" customHeight="1">
      <x:c r="A82" s="12" t="s">
        <x:v>496</x:v>
      </x:c>
      <x:c r="B82" s="13" t="s">
        <x:v>497</x:v>
      </x:c>
      <x:c r="C82" s="13" t="s">
        <x:v>498</x:v>
      </x:c>
      <x:c r="D82" s="13" t="s">
        <x:v>499</x:v>
      </x:c>
      <x:c r="E82" s="13" t="str">
        <x:v>gold.fact_referral</x:v>
      </x:c>
      <x:c r="F82" s="13" t="str">
        <x:v>Original specification: `COUNT(DISTINCT referral_id) WHERE status IN ('OPEN','UNDER_OFFER') AND created_timestamp::date != required_start_date`
Current assessment: Defined in saved model; runtime/UAT pending
Check the original population, grain and filter rules against the saved DAX. Definition differences and prior mappings are detailed in the calculation trace.
DAX:
[Planned Referrals] = CALCULATE (
			    [Total Referrals], KEEPFILTERS ( 'fact_referral'[current_status] IN { "OPEN", "UNDER_OFFER" } ),
			    KEEPFILTERS ( FILTER ( 'fact_referral', NOT ISBLANK ( 'fact_referral'[referral_created_date] ) &amp;&amp; NOT ISBLANK ( 'fact_referral'[required_placement_date] ) &amp;&amp; 'fact_referral'[is_emergency_placement] = FALSE () ) )
			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             export_date DESC
),
referral_created AS (
  SELECT 
[producer excerpt; full source and dependencies in traceability document]
Full logic: KPI_CALCULATION_TRACEABILITY.md#kpi-93</x:v>
      </x:c>
      <x:c r="G82" s="13" t="str">
        <x:v>Planned Referrals</x:v>
      </x:c>
      <x:c r="H82" s="18" t="s">
        <x:v>291</x:v>
      </x:c>
    </x:row>
    <x:row r="83" ht="228" customHeight="1">
      <x:c r="A83" s="12" t="s">
        <x:v>500</x:v>
      </x:c>
      <x:c r="B83" s="13" t="s">
        <x:v>298</x:v>
      </x:c>
      <x:c r="C83" s="13" t="s">
        <x:v>501</x:v>
      </x:c>
      <x:c r="D83" s="13" t="s">
        <x:v>502</x:v>
      </x:c>
      <x:c r="E83" s="13" t="str">
        <x:v>`gold.fact_provider_message` ⟕ `gold.fact_provider_message_status` [v1 specification; current source is not asserted]</x:v>
      </x:c>
      <x:c r="F83" s="13" t="str">
        <x:v>Original specification: `COUNT(DISTINCT message_id) WHERE no message status exists`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KPI_CALCULATION_TRACEABILITY.md#kpi-112</x:v>
      </x:c>
      <x:c r="G83" s="13" t="str">
        <x:v>Not implemented / retired; see Calculation</x:v>
      </x:c>
      <x:c r="H83" s="18" t="s">
        <x:v>291</x:v>
      </x:c>
    </x:row>
    <x:row r="84" ht="409" customHeight="1">
      <x:c r="A84" s="12" t="s">
        <x:v>130</x:v>
      </x:c>
      <x:c r="B84" s="13" t="s">
        <x:v>503</x:v>
      </x:c>
      <x:c r="C84" s="13" t="s">
        <x:v>504</x:v>
      </x:c>
      <x:c r="D84" s="13" t="s">
        <x:v>505</x:v>
      </x:c>
      <x:c r="E84" s="13" t="str">
        <x:v>gold.dim_provider</x:v>
      </x:c>
      <x:c r="F84" s="16" t="str">
        <x:v>Original specification: `COUNT(DISTINCT provider_id) GROUP BY provider_status`
Current assessment: Defined in saved model; runtime/UAT pending
Check the original population, grain and filter rules against the saved DAX. Definition differences and prior mappings are detailed in the calculation trace.
DAX:
[Providers Pending Onboarding] = CALCULATE (
			    [Providers Registered],
			    FILTER ( 'dim_provider', LOWER ( COALESCE ( 'dim_provider'[provider_status], "" ) ) = "pending" )
			)
[Providers Approved] = CALCULATE (
			    [Providers Registered],
			    FILTER ( 'dim_provider', LOWER ( COALESCE ( 'dim_provider'[provider_status], "" ) ) = "approved" )
			)
Python / Spark SQL:
project X/05_gold_dimensions.py:155
latest_dimension(
    "silver.provider", "gold.dim_provider", ["provider_id"],
    [("provider_id", "provider_id"), ("holding_company_id", "holding_company_id"),
... selected producer lines ...
latest_dimension(
    "silver.provider", "gold.dim_provider", ["provider_id"],
    [("provider_id", "provider_id"), ("holding_company_id", "holding_company_id"),
[producer excerpt; full source and dependencies in traceability document]
Full logic: KPI_CALCULATION_TRACEABILITY.md#kpi-104</x:v>
      </x:c>
      <x:c r="G84" s="13" t="str">
        <x:v>Providers Pending Onboarding; Providers Approved</x:v>
      </x:c>
      <x:c r="H84" s="18" t="s">
        <x:v>291</x:v>
      </x:c>
    </x:row>
    <x:row r="85" ht="397" customHeight="1">
      <x:c r="A85" s="12" t="s">
        <x:v>506</x:v>
      </x:c>
      <x:c r="B85" s="13" t="s">
        <x:v>507</x:v>
      </x:c>
      <x:c r="C85" s="13" t="s">
        <x:v>508</x:v>
      </x:c>
      <x:c r="D85" s="13" t="s">
        <x:v>509</x:v>
      </x:c>
      <x:c r="E85" s="13" t="str">
        <x:v>gold.dim_provider; gold.dim_provider_home</x:v>
      </x:c>
      <x:c r="F85" s="13" t="str">
        <x:v>Original specification: Count homes
Current assessment: Defined in saved model; runtime/UAT pending
Check the original population, grain and filter rules against the saved DAX. Definition differences and prior mappings are detailed in the calculation trace.
DAX:
[Provider Homes Registered] = IF ( ISFILTERED ( 'dim_provider' ),
			    CALCULATE ( DISTINCTCOUNT ( 'dim_provider_home'[provider_home_id] ), KEEPFILTERS ( TREATAS ( VALUES ( 'dim_provider'[provider_id] ), 'dim_provider_home'[provider_id] ) ) ),
			    DISTINCTCOUNT ( 'dim_provider_home'[provider_home_id] )
			)
Python / Spark SQL:
project X/05_gold_dimensions.py:155
latest_dimension(
    "silver.provider", "gold.dim_provider", ["provider_id"],
    [("provider_id", "provider_id"), ("holding_company_id", "holding_company_id"),
... selected producer lines ...
latest_dimension(
    "silver.provider", "gold.dim_provider", ["provider_id"],
    [("provider_id", "provider_id"), ("holding_company_id", "holding_company_id"),
[producer excerpt; full source and dependencies in traceability document]
Full logic: KPI_CALCULATION_TRACEABILITY.md#kpi-40</x:v>
      </x:c>
      <x:c r="G85" s="13" t="str">
        <x:v>Provider Homes Registered</x:v>
      </x:c>
      <x:c r="H85" s="13" t="s">
        <x:v>329</x:v>
      </x:c>
    </x:row>
    <x:row r="86" ht="397" customHeight="1">
      <x:c r="A86" s="12" t="s">
        <x:v>510</x:v>
      </x:c>
      <x:c r="B86" s="13" t="s">
        <x:v>308</x:v>
      </x:c>
      <x:c r="C86" s="13" t="s">
        <x:v>511</x:v>
      </x:c>
      <x:c r="D86" s="13" t="s">
        <x:v>310</x:v>
      </x:c>
      <x:c r="E86" s="13" t="str">
        <x:v>gold.dim_provider</x:v>
      </x:c>
      <x:c r="F86" s="13" t="str">
        <x:v>Original specification: `COUNT(DISTINCT provider_id) WHERE provider_status = 'Pending'`
Current assessment: Defined in saved model; runtime/UAT pending
Check the original population, grain and filter rules against the saved DAX. Definition differences and prior mappings are detailed in the calculation trace.
DAX:
[Providers Pending Onboarding] = CALCULATE (
			    [Providers Registered],
			    FILTER ( 'dim_provider', LOWER ( COALESCE ( 'dim_provider'[provider_status], "" ) ) = "pending" )
			)
Python / Spark SQL:
project X/05_gold_dimensions.py:155
latest_dimension(
    "silver.provider", "gold.dim_provider", ["provider_id"],
    [("provider_id", "provider_id"), ("holding_company_id", "holding_company_id"),
... selected producer lines ...
latest_dimension(
    "silver.provider", "gold.dim_provider", ["provider_id"],
    [("provider_id", "provider_id"), ("holding_company_id", "holding_company_id"),
[producer excerpt; full source and dependencies in traceability document]
Full logic: KPI_CALCULATION_TRACEABILITY.md#kpi-116</x:v>
      </x:c>
      <x:c r="G86" s="13" t="str">
        <x:v>Providers Pending Onboarding</x:v>
      </x:c>
      <x:c r="H86" s="18" t="s">
        <x:v>291</x:v>
      </x:c>
    </x:row>
    <x:row r="87" ht="409" customHeight="1">
      <x:c r="A87" s="12" t="s">
        <x:v>512</x:v>
      </x:c>
      <x:c r="B87" s="13" t="s">
        <x:v>270</x:v>
      </x:c>
      <x:c r="C87" s="13" t="s">
        <x:v>513</x:v>
      </x:c>
      <x:c r="D87" s="13" t="s">
        <x:v>514</x:v>
      </x:c>
      <x:c r="E87" s="13" t="str">
        <x:v>gold.fact_offer</x:v>
      </x:c>
      <x:c r="F87" s="13" t="str">
        <x:v>Original specification: `COUNT(DISTINCT provider_id) WHERE offer_status = 'PENDING' AND DATEDIFF(current_date(), offer_date) &gt;= 30`
Current assessment: Defined in saved model; runtime/UAT pending
Check the original population, grain and filter rules against the saved DAX. Definition differences and prior mappings are detailed in the calculation trace.
DAX:
[Providers With Pending Offers 30+ Days] = CALCULATE (
			    DISTINCTCOUNT ( 'fact_offer'[provider_id] ),
			    KEEPFILTERS ( FILTER ( 'fact_offer', LOWER ( COALESCE ( 'fact_offer'[offer_status], "" ) ) IN { "pending", "offer_made" } &amp;&amp; 'fact_offer'[offer_age_days] &gt;= 30 ) )
			)
Python / Spark SQL:
project X/04_gold_model.py:712
spark.sql(f"""
CREATE OR REPLACE TABLE gold.fact_offer AS
WITH home_framework_category AS (
... selected producer lines ...
SELECT {AS_OF_SQL} AS as_of_date,
  o.offer_id AS offer_id, rp.referral_id AS referral_id,o.referral_provider_id,
  rp.provider_id AS provider_id, o.provider_home_id AS provider_home_id,
  o.category AS framework_category_id,
  CAST(o.o
[producer excerpt; full source and dependencies in traceability document]
Full logic: KPI_CALCULATION_TRACEABILITY.md#kpi-69</x:v>
      </x:c>
      <x:c r="G87" s="13" t="str">
        <x:v>Providers With Pending Offers 30+ Days</x:v>
      </x:c>
      <x:c r="H87" s="13" t="s">
        <x:v>296</x:v>
      </x:c>
    </x:row>
    <x:row r="88" ht="409" customHeight="1">
      <x:c r="A88" s="12" t="s">
        <x:v>515</x:v>
      </x:c>
      <x:c r="B88" s="13" t="s">
        <x:v>375</x:v>
      </x:c>
      <x:c r="C88" s="13" t="s">
        <x:v>516</x:v>
      </x:c>
      <x:c r="D88" s="13" t="s">
        <x:v>380</x:v>
      </x:c>
      <x:c r="E88" s="13" t="str">
        <x:v>gold.bridge_provider_framework; gold.dim_framework; gold.dim_provider; gold.dim_provider_home</x:v>
      </x:c>
      <x:c r="F88" s="13" t="str">
        <x:v>Original specification: Fostering providers
Current assessment: Defined in saved model; runtime/UAT pending
Check the original population, grain and filter rules against the saved DAX. Definition differences and prior mappings are detailed in the calculation trace.
DAX:
[Providers - Fostering] = VAR framework_providers = CALCULATETABLE ( VALUES ( 'bridge_provider_framework'[provider_id] ), FILTER ( 'dim_framework', LOWER ( 'dim_framework'[placement_type] ) IN { "fostering", "plcm-fost" } ) )
			VAR home_providers = CALCULATETABLE ( VALUES ( 'dim_provider_home'[provider_id] ), FILTER ( 'dim_provider_home', LOWER ( 'dim_provider_home'[service_type] ) IN { "fostering", "plcm-fost" } ) )
			RETURN CALCULATE ( [Providers Registered], KEEPFILTERS ( TREATAS ( DISTINCT ( UNION ( framework_providers, home_providers ) ), 'dim_provider'[provider_id] ) ) )
Python / Spark SQL:
project X/05_gold_dimensions.py:194
copy_bridge(
    "silver.provider_framework", "gold.bridge_provider_framework",
    ["provider_framework_id", "provider_id", "framework_code", "qa_flag", "export_date"],
... selected producer lines ...
copy_bridge(
    "silver.provider_framework", "gold.bridge_provider_framework",
    ["provider_framework_id", "provider_id", "framework_code", "qa_flag", "exp
[producer excerpt; full source and dependencies in traceability document]
Full logic: KPI_CALCULATION_TRACEABILITY.md#kpi-42</x:v>
      </x:c>
      <x:c r="G88" s="13" t="str">
        <x:v>Providers - Fostering</x:v>
      </x:c>
      <x:c r="H88" s="13" t="s">
        <x:v>329</x:v>
      </x:c>
    </x:row>
    <x:row r="89" ht="332" customHeight="1">
      <x:c r="A89" s="12" t="s">
        <x:v>517</x:v>
      </x:c>
      <x:c r="B89" s="13" t="s">
        <x:v>518</x:v>
      </x:c>
      <x:c r="C89" s="13" t="s">
        <x:v>519</x:v>
      </x:c>
      <x:c r="D89" s="13" t="s">
        <x:v>520</x:v>
      </x:c>
      <x:c r="E89" s="13" t="str">
        <x:v>gold.dim_provider_home</x:v>
      </x:c>
      <x:c r="F89" s="13" t="str">
        <x:v>Original specification: Residential providers
Current assessment: Defined in saved model; runtime/UAT pending
Check the original population, grain and filter rules against the saved DAX. Definition differences and prior mappings are detailed in the calculation trace.
DAX:
[Providers - Residential] = CALCULATE (
			    DISTINCTCOUNT ( 'dim_provider_home'[provider_id] ),
			    'dim_provider_home'[service_type] = "Residential"
			)
Python / Spark SQL:
project X/05_gold_dimensions.py:163
latest_dimension(
    "silver.provider_home", "gold.dim_provider_home", ["provider_home_id"],
    [("provider_home_id", "provider_home_id"), ("provider_id", "provider_id"),
... selected producer lines ...
latest_dimension(
    "silver.provider_home", "gold.dim_provider_home", ["provider_home_id"],
    [("provider_home_id", "provider_home_id"), ("provider_id"
[producer excerpt; full source and dependencies in traceability document]
Full logic: KPI_CALCULATION_TRACEABILITY.md#kpi-43</x:v>
      </x:c>
      <x:c r="G89" s="13" t="str">
        <x:v>Providers - Residential</x:v>
      </x:c>
      <x:c r="H89" s="13" t="s">
        <x:v>329</x:v>
      </x:c>
    </x:row>
    <x:row r="90" ht="332" customHeight="1">
      <x:c r="A90" s="12" t="s">
        <x:v>521</x:v>
      </x:c>
      <x:c r="B90" s="13" t="s">
        <x:v>522</x:v>
      </x:c>
      <x:c r="C90" s="13" t="s">
        <x:v>523</x:v>
      </x:c>
      <x:c r="D90" s="13" t="s">
        <x:v>524</x:v>
      </x:c>
      <x:c r="E90" s="13" t="str">
        <x:v>gold.dim_provider_home</x:v>
      </x:c>
      <x:c r="F90" s="13" t="str">
        <x:v>Original specification: Supported Accommodation providers
Current assessment: Defined in saved model; runtime/UAT pending
Check the original population, grain and filter rules against the saved DAX. Definition differences and prior mappings are detailed in the calculation trace.
DAX:
[Providers - Supported Accommodation] = CALCULATE (
			    DISTINCTCOUNT ( 'dim_provider_home'[provider_id] ),
			    'dim_provider_home'[service_type] = "Supported Accommodation"
			)
Python / Spark SQL:
project X/05_gold_dimensions.py:163
latest_dimension(
    "silver.provider_home", "gold.dim_provider_home", ["provider_home_id"],
    [("provider_home_id", "provider_home_id"), ("provider_id", "provider_id"),
... selected producer lines ...
latest_dimension(
    "silver.provider_home", "gold.dim_provider_home", ["provider_home_id"],
    [("provider_home_id", "provider_home_id"), ("provider_id"
[producer excerpt; full source and dependencies in traceability document]
Full logic: KPI_CALCULATION_TRACEABILITY.md#kpi-44</x:v>
      </x:c>
      <x:c r="G90" s="13" t="str">
        <x:v>Providers - Supported Accommodation</x:v>
      </x:c>
      <x:c r="H90" s="13" t="s">
        <x:v>329</x:v>
      </x:c>
    </x:row>
    <x:row r="91" ht="228" customHeight="1">
      <x:c r="A91" s="12" t="s">
        <x:v>525</x:v>
      </x:c>
      <x:c r="B91" s="13" t="s">
        <x:v>331</x:v>
      </x:c>
      <x:c r="C91" s="13" t="s">
        <x:v>526</x:v>
      </x:c>
      <x:c r="D91" s="13" t="s">
        <x:v>527</x:v>
      </x:c>
      <x:c r="E91" s="13" t="str">
        <x:v>`gold.dim_provider` ⟕ `gold.dim_provider_document` ⟕ `gold.dim_s3_file_metadata` [v1 specification; current source is not asserted]</x:v>
      </x:c>
      <x:c r="F91" s="13" t="str">
        <x:v>Original specification: `COUNT(DISTINCT provider_id) WHERE expired documentation exists`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KPI_CALCULATION_TRACEABILITY.md#kpi-102</x:v>
      </x:c>
      <x:c r="G91" s="13" t="str">
        <x:v>Not implemented / retired; see Calculation</x:v>
      </x:c>
      <x:c r="H91" s="18" t="s">
        <x:v>291</x:v>
      </x:c>
    </x:row>
    <x:row r="92" ht="332" customHeight="1">
      <x:c r="A92" s="12" t="s">
        <x:v>528</x:v>
      </x:c>
      <x:c r="B92" s="13" t="s">
        <x:v>507</x:v>
      </x:c>
      <x:c r="C92" s="13" t="s">
        <x:v>529</x:v>
      </x:c>
      <x:c r="D92" s="13" t="s">
        <x:v>509</x:v>
      </x:c>
      <x:c r="E92" s="13" t="str">
        <x:v>gold.dim_provider</x:v>
      </x:c>
      <x:c r="F92" s="13" t="str">
        <x:v>Original specification: Count providers
Current assessment: Defined in saved model; runtime/UAT pending
Check the original population, grain and filter rules against the saved DAX. Definition differences and prior mappings are detailed in the calculation trace.
DAX:
[Providers Registered] = DISTINCTCOUNT(dim_provider[provider_id])
Python / Spark SQL:
project X/05_gold_dimensions.py:155
latest_dimension(
    "silver.provider", "gold.dim_provider", ["provider_id"],
    [("provider_id", "provider_id"), ("holding_company_id", "holding_company_id"),
... selected producer lines ...
latest_dimension(
    "silver.provider", "gold.dim_provider", ["provider_id"],
    [("provider_id", "provider_id"), ("holding_company_id", "holding_company_id"),
[producer excerpt; full source and dependencies in traceability document]
Full logic: KPI_CALCULATION_TRACEABILITY.md#kpi-41</x:v>
      </x:c>
      <x:c r="G92" s="13" t="str">
        <x:v>Providers Registered</x:v>
      </x:c>
      <x:c r="H92" s="13" t="s">
        <x:v>329</x:v>
      </x:c>
    </x:row>
    <x:row r="93" ht="358" customHeight="1">
      <x:c r="A93" s="12" t="s">
        <x:v>530</x:v>
      </x:c>
      <x:c r="B93" s="13" t="s">
        <x:v>531</x:v>
      </x:c>
      <x:c r="C93" s="13" t="s">
        <x:v>532</x:v>
      </x:c>
      <x:c r="D93" s="13" t="s">
        <x:v>533</x:v>
      </x:c>
      <x:c r="E93" s="13" t="str">
        <x:v>gold.dim_provider</x:v>
      </x:c>
      <x:c r="F93" s="13" t="str">
        <x:v>Original specification: `COUNT(DISTINCT provider_id) WHERE qa_flag = true OR qa_flag_fostering_spot = true OR qa_flag_sup_acc = true OR qa_flag_resi = true`
Current assessment: Defined in saved model; runtime/UAT pending
Check the original population, grain and filter rules against the saved DAX. Definition differences and prior mappings are detailed in the calculation trace.
DAX:
[Providers With QA Flags] = CALCULATE ( [Providers Registered], KEEPFILTERS ( 'dim_provider'[qa_flag] = TRUE () ) )
Python / Spark SQL:
project X/05_gold_dimensions.py:155
latest_dimension(
    "silver.provider", "gold.dim_provider", ["provider_id"],
    [("provider_id", "provider_id"), ("holding_company_id", "holding_company_id"),
... selected producer lines ...
latest_dimension(
    "silver.provider", "gold.dim_provider", ["provider_id"],
    [("provider_id", "provider_id"), ("holding_company_id", "holding_company_id"),
[producer excerpt; full source and dependencies in traceability document]
Full logic: KPI_CALCULATION_TRACEABILITY.md#kpi-97</x:v>
      </x:c>
      <x:c r="G93" s="13" t="str">
        <x:v>Providers With QA Flags</x:v>
      </x:c>
      <x:c r="H93" s="18" t="s">
        <x:v>291</x:v>
      </x:c>
    </x:row>
    <x:row r="94" ht="228" customHeight="1">
      <x:c r="A94" s="12" t="s">
        <x:v>534</x:v>
      </x:c>
      <x:c r="B94" s="13" t="s">
        <x:v>531</x:v>
      </x:c>
      <x:c r="C94" s="13" t="s">
        <x:v>535</x:v>
      </x:c>
      <x:c r="D94" s="13" t="s">
        <x:v>536</x:v>
      </x:c>
      <x:c r="E94" s="13" t="str">
        <x:v>`gold.dim_provider` [v1 specification; current source is not asserted]</x:v>
      </x:c>
      <x:c r="F94" s="13" t="str">
        <x:v>Original specification: `UNPIVOT qa_flag columns → COUNT(DISTINCT provider_id) GROUP BY flag_type`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KPI_CALCULATION_TRACEABILITY.md#kpi-98</x:v>
      </x:c>
      <x:c r="G94" s="13" t="str">
        <x:v>Not implemented / retired; see Calculation</x:v>
      </x:c>
      <x:c r="H94" s="18" t="s">
        <x:v>291</x:v>
      </x:c>
    </x:row>
    <x:row r="95" ht="409" customHeight="1">
      <x:c r="A95" s="12" t="s">
        <x:v>537</x:v>
      </x:c>
      <x:c r="B95" s="13" t="s">
        <x:v>531</x:v>
      </x:c>
      <x:c r="C95" s="13" t="s">
        <x:v>538</x:v>
      </x:c>
      <x:c r="D95" s="13" t="s">
        <x:v>533</x:v>
      </x:c>
      <x:c r="E95" s="13" t="str">
        <x:v>gold.dim_provider; gold.dim_provider_home</x:v>
      </x:c>
      <x:c r="F95" s="13" t="str">
        <x:v>Original specification: `COUNT(DISTINCT provider_home_id) WHERE provider/home QA flags exist`
Current assessment: Defined in saved model; runtime/UAT pending
Check the original population, grain and filter rules against the saved DAX. Definition differences and prior mappings are detailed in the calculation trace.
DAX:
[QA Flagged Homes] = VAR flagged_providers = CALCULATETABLE ( VALUES ( 'dim_provider'[provider_id] ), 'dim_provider'[qa_flag] = TRUE () )
			VAR selected_providers = VALUES ( 'dim_provider'[provider_id] )
			RETURN
			    CALCULATE (
			        [Provider Homes Registered],
			        KEEPFILTERS ( TREATAS ( selected_providers, 'dim_provider_home'[provider_id] ) ),
			        KEEPFILTERS ( FILTER ( 'dim_provider_home', 'dim_provider_home'[qa_flag] = TRUE () || 'dim_provider_home'[provider_id] IN flagged_providers ) )
			    )
Python / Spark SQL:
project X/05_gold_dimensions.py:155
latest_dimension(
    "silver.provider", "gold.dim_provider", ["provider_id"],
    [("provider_id", "provider_id"), ("holding_company_id", "holding_company_id"),
... selected producer lines ...
latest_dimension(
    "silver.provider", "gold.dim_provider", ["provider_id"],
    [("provider_id", "provider_id"), ("holding_company_id", "holding_company_id"),
[producer excerpt; full source and dependencies in traceability document]
Full logic: KPI_CALCULATION_TRACEABILITY.md#kpi-99</x:v>
      </x:c>
      <x:c r="G95" s="13" t="str">
        <x:v>QA Flagged Homes</x:v>
      </x:c>
      <x:c r="H95" s="18" t="s">
        <x:v>291</x:v>
      </x:c>
    </x:row>
    <x:row r="96" ht="228" customHeight="1">
      <x:c r="A96" s="12" t="s">
        <x:v>60</x:v>
      </x:c>
      <x:c r="B96" s="13" t="s">
        <x:v>539</x:v>
      </x:c>
      <x:c r="C96" s="13" t="s">
        <x:v>540</x:v>
      </x:c>
      <x:c r="D96" s="13" t="s">
        <x:v>541</x:v>
      </x:c>
      <x:c r="E96" s="13" t="str">
        <x:v>`gold.dim_referral` [v1 specification; current source is not asserted]</x:v>
      </x:c>
      <x:c r="F96" s="13" t="str">
        <x:v>Original specification: `COUNT(DISTINCT referral_id) / COUNT(DISTINCT DATE(modified_timestamp))`
Current assessment: Source/business-definition gap remains
Check the original population, grain and filter rules against the saved DAX. Definition differences and prior mappings are detailed in the calculation trace.
DAX:
No executable DAX for this requested KPI verified. Do not substitute zero or a different KPI.
Python / Spark SQL:
No notebook-side business calculation asserted; see model/local/source-gap evidence.
Full logic: KPI_CALCULATION_TRACEABILITY.md#kpi-115</x:v>
      </x:c>
      <x:c r="G96" s="13" t="str">
        <x:v>Not implemented / retired; see Calculation</x:v>
      </x:c>
      <x:c r="H96" s="18" t="s">
        <x:v>291</x:v>
      </x:c>
    </x:row>
    <x:row r="97" ht="371" customHeight="1">
      <x:c r="A97" s="12" t="s">
        <x:v>542</x:v>
      </x:c>
      <x:c r="B97" s="13" t="s">
        <x:v>279</x:v>
      </x:c>
      <x:c r="C97" s="13" t="s">
        <x:v>543</x:v>
      </x:c>
      <x:c r="D97" s="13" t="s">
        <x:v>544</x:v>
      </x:c>
      <x:c r="E97" s="13" t="str">
        <x:v>gold.fact_referral</x:v>
      </x:c>
      <x:c r="F97" s="13" t="str">
        <x:v>Original specification: Open/Under Offer referrals without valid offer
Current assessment: Defined in saved model; runtime/UAT pending
Check the original population, grain and filter rules against the saved DAX. Definition differences and prior mappings are detailed in the calculation trace.
DAX:
[Referrals Awaiting Offer] = CALCULATE ( [Total Referrals], 'fact_referral'[is_awaiting_offer] = TRUE ()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KPI_CALCULATION_TRACEABILITY.md#kpi-03</x:v>
      </x:c>
      <x:c r="G97" s="13" t="str">
        <x:v>Referrals Awaiting Offer</x:v>
      </x:c>
      <x:c r="H97" s="13" t="s">
        <x:v>373</x:v>
      </x:c>
    </x:row>
    <x:row r="98" ht="409" customHeight="1">
      <x:c r="A98" s="12" t="s">
        <x:v>545</x:v>
      </x:c>
      <x:c r="B98" s="13" t="s">
        <x:v>492</x:v>
      </x:c>
      <x:c r="C98" s="13" t="s">
        <x:v>546</x:v>
      </x:c>
      <x:c r="D98" s="13" t="s">
        <x:v>547</x:v>
      </x:c>
      <x:c r="E98" s="13" t="str">
        <x:v>gold.fact_referral</x:v>
      </x:c>
      <x:c r="F98" s="13" t="str">
        <x:v>Original specification: Closed or Cancelled
Current assessment: Defined in saved model; runtime/UAT pending
Check the original population, grain and filter rules against the saved DAX. Definition differences and prior mappings are detailed in the calculation trace.
DAX:
[Closed or Cancelled Referrals] = CALCULATE (
			    [Total Referrals],
			    FILTER (
			        'fact_referral',
			        LOWER ( COALESCE ( 'fact_referral'[current_status], "" ) )
			            IN { "closed", "cancelled", "withdrawn", "completed" }
			    )
			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KPI_CALCULATION_TRACEABILITY.md#kpi-31</x:v>
      </x:c>
      <x:c r="G98" s="13" t="str">
        <x:v>Closed or Cancelled Referrals</x:v>
      </x:c>
      <x:c r="H98" s="13" t="s">
        <x:v>266</x:v>
      </x:c>
    </x:row>
    <x:row r="99" ht="371" customHeight="1">
      <x:c r="A99" s="12" t="s">
        <x:v>548</x:v>
      </x:c>
      <x:c r="B99" s="13" t="s">
        <x:v>452</x:v>
      </x:c>
      <x:c r="C99" s="13" t="s">
        <x:v>549</x:v>
      </x:c>
      <x:c r="D99" s="13" t="s">
        <x:v>550</x:v>
      </x:c>
      <x:c r="E99" s="13" t="str">
        <x:v>gold.fact_referral</x:v>
      </x:c>
      <x:c r="F99" s="13" t="str">
        <x:v>Original specification: Open or Under Offer
Current assessment: Defined in saved model; runtime/UAT pending
Check the original population, grain and filter rules against the saved DAX. Definition differences and prior mappings are detailed in the calculation trace.
DAX:
[Referrals Currently Active] = CALCULATE ( [Total Referrals], 'fact_referral'[is_open] = TRUE ()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KPI_CALCULATION_TRACEABILITY.md#kpi-29</x:v>
      </x:c>
      <x:c r="G99" s="13" t="str">
        <x:v>Referrals Currently Active</x:v>
      </x:c>
      <x:c r="H99" s="13" t="s">
        <x:v>266</x:v>
      </x:c>
    </x:row>
    <x:row r="100" ht="371" customHeight="1">
      <x:c r="A100" s="12" t="s">
        <x:v>551</x:v>
      </x:c>
      <x:c r="B100" s="13" t="s">
        <x:v>452</x:v>
      </x:c>
      <x:c r="C100" s="13" t="s">
        <x:v>552</x:v>
      </x:c>
      <x:c r="D100" s="13" t="s">
        <x:v>553</x:v>
      </x:c>
      <x:c r="E100" s="13" t="str">
        <x:v>gold.fact_referral</x:v>
      </x:c>
      <x:c r="F100" s="13" t="str">
        <x:v>Original specification: Status not Closed/Cancelled
Current assessment: Defined in saved model; runtime/UAT pending
Check the original population, grain and filter rules against the saved DAX. Definition differences and prior mappings are detailed in the calculation trace.
DAX:
[Open Referrals] = CALCULATE ( [Total Referrals], 'fact_referral'[is_open] = TRUE ()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KPI_CALCULATION_TRACEABILITY.md#kpi-08</x:v>
      </x:c>
      <x:c r="G100" s="13" t="str">
        <x:v>Open Referrals</x:v>
      </x:c>
      <x:c r="H100" s="13" t="s">
        <x:v>373</x:v>
      </x:c>
    </x:row>
    <x:row r="101" ht="371" customHeight="1">
      <x:c r="A101" s="12" t="s">
        <x:v>554</x:v>
      </x:c>
      <x:c r="B101" s="13" t="s">
        <x:v>555</x:v>
      </x:c>
      <x:c r="C101" s="13" t="s">
        <x:v>556</x:v>
      </x:c>
      <x:c r="D101" s="13" t="s">
        <x:v>557</x:v>
      </x:c>
      <x:c r="E101" s="13" t="str">
        <x:v>gold.dim_date; gold.fact_referral</x:v>
      </x:c>
      <x:c r="F101" s="13" t="str">
        <x:v>Original specification: Created current FY
Current assessment: Defined in saved model; runtime/UAT pending
Check the original population, grain and filter rules against the saved DAX. Definition differences and prior mappings are detailed in the calculation trace.
DAX:
[Referrals Created This Financial Year] = VAR as_of = MAX ( 'fact_referral'[as_of_date] )
			VAR year_start = DATE ( YEAR ( as_of ) - IF ( MONTH ( as_of ) &lt; 4, 1, 0 ), 4, 1 )
			RETURN IF ( NOT ISBLANK ( as_of ), CALCULATE ( [Total Referrals], DATESBETWEEN ( 'dim_date'[date], year_start, as_of ) ) )
Python / Spark SQL:
project X/05_gold_dimensions.py:128
spark.sql(f"""
CREATE OR REPLACE TABLE {GOLD_SCHEMA}.dim_date AS
SELECT
... selected producer lines ...
CREATE OR REPLACE TABLE {GOLD_SCHEMA}.dim_date AS
SELECT
  date_value AS date,
  YEAR(date_value) AS calendar_year,
[producer excerpt; full source and dependencies in traceability document]
Full logic: KPI_CALCULATION_TRACEABILITY.md#kpi-24</x:v>
      </x:c>
      <x:c r="G101" s="13" t="str">
        <x:v>Referrals Created This Financial Year</x:v>
      </x:c>
      <x:c r="H101" s="13" t="s">
        <x:v>558</x:v>
      </x:c>
    </x:row>
    <x:row r="102" ht="358" customHeight="1">
      <x:c r="A102" s="12" t="s">
        <x:v>559</x:v>
      </x:c>
      <x:c r="B102" s="13" t="s">
        <x:v>560</x:v>
      </x:c>
      <x:c r="C102" s="13" t="s">
        <x:v>561</x:v>
      </x:c>
      <x:c r="D102" s="13" t="s">
        <x:v>562</x:v>
      </x:c>
      <x:c r="E102" s="13" t="str">
        <x:v>gold.dim_date; gold.fact_referral</x:v>
      </x:c>
      <x:c r="F102" s="13" t="str">
        <x:v>Original specification: Created current month
Current assessment: Defined in saved model; runtime/UAT pending
Check the original population, grain and filter rules against the saved DAX. Definition differences and prior mappings are detailed in the calculation trace.
DAX:
[Referrals Created This Month] = VAR as_of = MAX ( 'fact_referral'[as_of_date] )
			RETURN IF ( NOT ISBLANK ( as_of ), CALCULATE ( [Total Referrals], DATESBETWEEN ( 'dim_date'[date], DATE ( YEAR ( as_of ), MONTH ( as_of ), 1 ), as_of ) ) )
Python / Spark SQL:
project X/05_gold_dimensions.py:128
spark.sql(f"""
CREATE OR REPLACE TABLE {GOLD_SCHEMA}.dim_date AS
SELECT
... selected producer lines ...
CREATE OR REPLACE TABLE {GOLD_SCHEMA}.dim_date AS
SELECT
  date_value AS date,
  YEAR(date_value) AS calendar_year,
[producer excerpt; full source and dependencies in traceability document]
Full logic: KPI_CALCULATION_TRACEABILITY.md#kpi-23</x:v>
      </x:c>
      <x:c r="G102" s="13" t="str">
        <x:v>Referrals Created This Month</x:v>
      </x:c>
      <x:c r="H102" s="13" t="s">
        <x:v>558</x:v>
      </x:c>
    </x:row>
    <x:row r="103" ht="371" customHeight="1">
      <x:c r="A103" s="12" t="s">
        <x:v>563</x:v>
      </x:c>
      <x:c r="B103" s="13" t="s">
        <x:v>279</x:v>
      </x:c>
      <x:c r="C103" s="13" t="s">
        <x:v>564</x:v>
      </x:c>
      <x:c r="D103" s="13" t="s">
        <x:v>544</x:v>
      </x:c>
      <x:c r="E103" s="13" t="str">
        <x:v>gold.fact_referral</x:v>
      </x:c>
      <x:c r="F103" s="13" t="str">
        <x:v>Original specification: COUNT DISTINCT referrals with valid offers
Current assessment: Defined in saved model; runtime/UAT pending
Check the original population, grain and filter rules against the saved DAX. Definition differences and prior mappings are detailed in the calculation trace.
DAX:
[Referrals With an Offer] = CALCULATE ( [Total Referrals], 'fact_referral'[has_offer] = TRUE ()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KPI_CALCULATION_TRACEABILITY.md#kpi-02</x:v>
      </x:c>
      <x:c r="G103" s="13" t="str">
        <x:v>Referrals With an Offer</x:v>
      </x:c>
      <x:c r="H103" s="13" t="s">
        <x:v>373</x:v>
      </x:c>
    </x:row>
    <x:row r="104" ht="371" customHeight="1">
      <x:c r="A104" s="12" t="s">
        <x:v>565</x:v>
      </x:c>
      <x:c r="B104" s="13" t="s">
        <x:v>566</x:v>
      </x:c>
      <x:c r="C104" s="13" t="s">
        <x:v>567</x:v>
      </x:c>
      <x:c r="D104" s="13" t="s">
        <x:v>568</x:v>
      </x:c>
      <x:c r="E104" s="13" t="str">
        <x:v>gold.fact_referral</x:v>
      </x:c>
      <x:c r="F104" s="13" t="str">
        <x:v>Original specification: KPI-02 filtered by created period
Current assessment: Defined in saved model; runtime/UAT pending
Check the original population, grain and filter rules against the saved DAX. Definition differences and prior mappings are detailed in the calculation trace.
DAX:
[Referrals With an Offer] = CALCULATE ( [Total Referrals], 'fact_referral'[has_offer] = TRUE ()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KPI_CALCULATION_TRACEABILITY.md#kpi-09</x:v>
      </x:c>
      <x:c r="G104" s="13" t="str">
        <x:v>Referrals With an Offer</x:v>
      </x:c>
      <x:c r="H104" s="13" t="s">
        <x:v>373</x:v>
      </x:c>
    </x:row>
    <x:row r="105" ht="371" customHeight="1">
      <x:c r="A105" s="12" t="s">
        <x:v>569</x:v>
      </x:c>
      <x:c r="B105" s="13" t="s">
        <x:v>452</x:v>
      </x:c>
      <x:c r="C105" s="13" t="s">
        <x:v>570</x:v>
      </x:c>
      <x:c r="D105" s="13" t="s">
        <x:v>550</x:v>
      </x:c>
      <x:c r="E105" s="13" t="str">
        <x:v>gold.fact_referral</x:v>
      </x:c>
      <x:c r="F105" s="13" t="str">
        <x:v>Original specification: Referrals with valid offers
Current assessment: Defined in saved model; runtime/UAT pending
Check the original population, grain and filter rules against the saved DAX. Definition differences and prior mappings are detailed in the calculation trace.
DAX:
[Referrals With an Offer] = CALCULATE ( [Total Referrals], 'fact_referral'[has_offer] = TRUE ()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KPI_CALCULATION_TRACEABILITY.md#kpi-33</x:v>
      </x:c>
      <x:c r="G105" s="13" t="str">
        <x:v>Referrals With an Offer</x:v>
      </x:c>
      <x:c r="H105" s="13" t="s">
        <x:v>266</x:v>
      </x:c>
    </x:row>
    <x:row r="106" ht="306" customHeight="1">
      <x:c r="A106" s="12" t="s">
        <x:v>571</x:v>
      </x:c>
      <x:c r="B106" s="13" t="s">
        <x:v>518</x:v>
      </x:c>
      <x:c r="C106" s="13" t="s">
        <x:v>572</x:v>
      </x:c>
      <x:c r="D106" s="13" t="s">
        <x:v>573</x:v>
      </x:c>
      <x:c r="E106" s="13" t="str">
        <x:v>gold.dim_provider; gold.dim_provider_home</x:v>
      </x:c>
      <x:c r="F106" s="13" t="str">
        <x:v>Original specification: Residential homes
Current assessment: Defined in saved model; runtime/UAT pending
Check the original population, grain and filter rules against the saved DAX. Definition differences and prior mappings are detailed in the calculation trace.
DAX:
[Residential Homes] = CALCULATE ( [Provider Homes Registered], 'dim_provider_home'[service_type] = "Residential" )
Python / Spark SQL:
project X/05_gold_dimensions.py:163
latest_dimension(
    "silver.provider_home", "gold.dim_provider_home", ["provider_home_id"],
    [("provider_home_id", "provider_home_id"), ("provider_id", "provider_id"),
... selected producer lines ...
latest_dimension(
    "silver.provider_home", "gold.dim_provider_home", ["provider_home_id"],
    [("provider_home_id", "provider_home_id"), ("provider_id"
[producer excerpt; full source and dependencies in traceability document]
Full logic: KPI_CALCULATION_TRACEABILITY.md#kpi-49</x:v>
      </x:c>
      <x:c r="G106" s="13" t="str">
        <x:v>Residential Homes</x:v>
      </x:c>
      <x:c r="H106" s="13" t="s">
        <x:v>329</x:v>
      </x:c>
    </x:row>
    <x:row r="107" ht="409" customHeight="1">
      <x:c r="A107" s="12" t="s">
        <x:v>574</x:v>
      </x:c>
      <x:c r="B107" s="13" t="s">
        <x:v>575</x:v>
      </x:c>
      <x:c r="C107" s="13" t="s">
        <x:v>576</x:v>
      </x:c>
      <x:c r="D107" s="13" t="s">
        <x:v>577</x:v>
      </x:c>
      <x:c r="E107" s="13" t="str">
        <x:v>gold.dim_provider_home; gold.fact_offer; gold.fact_referral</x:v>
      </x:c>
      <x:c r="F107" s="13" t="str">
        <x:v>Original specification: Spot offers only
Current assessment: Defined in saved model; runtime/UAT pending
Check the original population, grain and filter rules against the saved DAX. Definition differences and prior mappings are detailed in the calculation trace.
DAX:
[Spot Offers on Referrals Under Offer] = VAR homes =
			    CALCULATETABLE (
			        VALUES ( 'dim_provider_home'[provider_home_id] ),
			        KEEPFILTERS ( 'dim_provider_home'[is_spot] == TRUE () )
			    )
			RETURN
			    CALCULATE (
			        [Offers on Referrals Under Offer],
			        KEEPFILTERS ( TREATAS ( homes, 'fact_offer'[provider_home_id] ) )
			    )
Python / Spark SQL:
project X/05_gold_dimensions.py:163
latest_dimension(
    "silver.provider_home", "gold.dim_provider_home", ["provider_home_id"],
    [("provider_home_id", "provider_home_id"), ("provider_id", "provider_id"),
... selected producer lines ...
latest_dimension(
    "silver.provider_home", "gold.dim_provider_home", ["provider_home_id"],
    [("provider_home_id", "provider_home_id"), ("provider_id"
[producer excerpt; full source and dependencies in traceability document]
Full logic: KPI_CALCULATION_TRACEABILITY.md#kpi-27</x:v>
      </x:c>
      <x:c r="G107" s="13" t="str">
        <x:v>Spot Offers on Referrals Under Offer</x:v>
      </x:c>
      <x:c r="H107" s="13" t="s">
        <x:v>495</x:v>
      </x:c>
    </x:row>
    <x:row r="108" ht="409" customHeight="1">
      <x:c r="A108" s="12" t="s">
        <x:v>578</x:v>
      </x:c>
      <x:c r="B108" s="13" t="s">
        <x:v>579</x:v>
      </x:c>
      <x:c r="C108" s="13" t="s">
        <x:v>580</x:v>
      </x:c>
      <x:c r="D108" s="13" t="s">
        <x:v>581</x:v>
      </x:c>
      <x:c r="E108" s="13" t="str">
        <x:v>gold.fact_offer; gold.fact_referral</x:v>
      </x:c>
      <x:c r="F108" s="13" t="str">
        <x:v>Original specification: Accepted offers
Current assessment: Defined in saved model; runtime/UAT pending
Check the original population, grain and filter rules against the saved DAX. Definition differences and prior mappings are detailed in the calculation trace.
DAX:
[Successful Offers on Referrals Under Offer] = CALCULATE (
			    [Accepted Offers],
			    FILTER (
			        'fact_referral',
			        'fact_referral'[is_open] = TRUE () &amp;&amp; 'fact_referral'[current_status] = "UNDER_OFFER"
			    )
			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KPI_CALCULATION_TRACEABILITY.md#kpi-15</x:v>
      </x:c>
      <x:c r="G108" s="13" t="str">
        <x:v>Successful Offers on Referrals Under Offer</x:v>
      </x:c>
      <x:c r="H108" s="13" t="s">
        <x:v>273</x:v>
      </x:c>
    </x:row>
    <x:row r="109" ht="345" customHeight="1">
      <x:c r="A109" s="12" t="s">
        <x:v>582</x:v>
      </x:c>
      <x:c r="B109" s="13" t="s">
        <x:v>258</x:v>
      </x:c>
      <x:c r="C109" s="13" t="s">
        <x:v>583</x:v>
      </x:c>
      <x:c r="D109" s="13" t="s">
        <x:v>260</x:v>
      </x:c>
      <x:c r="E109" s="13" t="str">
        <x:v>gold.fact_ipa; gold.fact_offer</x:v>
      </x:c>
      <x:c r="F109" s="13" t="str">
        <x:v>Original specification: `COUNT(DISTINCT completed_ipa) / COUNT(DISTINCT accepted_offers) * 100`
Current assessment: Defined in saved model; runtime/UAT pending
Check the original population, grain and filter rules against the saved DAX. Definition differences and prior mappings are detailed in the calculation trace.
DAX:
[Successful Offers to IPA Completed %] = DIVIDE ( [IPA Completed], [Accepted Offers] )
Python / Spark SQL:
project X/04_gold_model.py:817
spark.sql(f"""
CREATE OR REPLACE TABLE gold.fact_ipa AS
SELECT {AS_OF_SQL} AS as_of_date,
... selected producer lines ...
CREATE OR REPLACE TABLE gold.fact_ipa AS
SELECT {AS_OF_SQL} AS as_of_date,
  i.ipa_id AS ipa_id, i.referral_id AS referral_id,
  i.offer_id AS accepted_offer_id,
  COALESCE(CAST(i.signed_by_local_authority AS BOOLEAN), false) AS signed_by
[producer excerpt; full source and dependencies in traceability document]
Full logic: KPI_CALCULATION_TRACEABILITY.md#kpi-86</x:v>
      </x:c>
      <x:c r="G109" s="13" t="str">
        <x:v>Successful Offers to IPA Completed %</x:v>
      </x:c>
      <x:c r="H109" s="13" t="s">
        <x:v>261</x:v>
      </x:c>
    </x:row>
    <x:row r="110" ht="332" customHeight="1">
      <x:c r="A110" s="12" t="s">
        <x:v>584</x:v>
      </x:c>
      <x:c r="B110" s="13" t="s">
        <x:v>522</x:v>
      </x:c>
      <x:c r="C110" s="13" t="s">
        <x:v>585</x:v>
      </x:c>
      <x:c r="D110" s="13" t="s">
        <x:v>524</x:v>
      </x:c>
      <x:c r="E110" s="13" t="str">
        <x:v>gold.dim_provider; gold.dim_provider_home</x:v>
      </x:c>
      <x:c r="F110" s="13" t="str">
        <x:v>Original specification: Supported homes
Current assessment: Defined in saved model; runtime/UAT pending
Check the original population, grain and filter rules against the saved DAX. Definition differences and prior mappings are detailed in the calculation trace.
DAX:
[Supported Accommodation Homes] = CALCULATE (
			    [Provider Homes Registered],
			    'dim_provider_home'[service_type] = "Supported Accommodation"
			)
Python / Spark SQL:
project X/05_gold_dimensions.py:163
latest_dimension(
    "silver.provider_home", "gold.dim_provider_home", ["provider_home_id"],
    [("provider_home_id", "provider_home_id"), ("provider_id", "provider_id"),
... selected producer lines ...
latest_dimension(
    "silver.provider_home", "gold.dim_provider_home", ["provider_home_id"],
    [("provider_home_id", "provider_home_id"), ("provider_id"
[producer excerpt; full source and dependencies in traceability document]
Full logic: KPI_CALCULATION_TRACEABILITY.md#kpi-50</x:v>
      </x:c>
      <x:c r="G110" s="13" t="str">
        <x:v>Supported Accommodation Homes</x:v>
      </x:c>
      <x:c r="H110" s="13" t="s">
        <x:v>329</x:v>
      </x:c>
    </x:row>
    <x:row r="111" ht="345" customHeight="1">
      <x:c r="A111" s="12" t="s">
        <x:v>586</x:v>
      </x:c>
      <x:c r="B111" s="13" t="s">
        <x:v>302</x:v>
      </x:c>
      <x:c r="C111" s="13" t="s">
        <x:v>587</x:v>
      </x:c>
      <x:c r="D111" s="13" t="s">
        <x:v>372</x:v>
      </x:c>
      <x:c r="E111" s="13" t="str">
        <x:v>gold.dim_person; gold.fact_referral</x:v>
      </x:c>
      <x:c r="F111" s="13" t="str">
        <x:v>Original specification: Sum of gender counts
Current assessment: Defined in saved model; runtime/UAT pending
Check the original population, grain and filter rules against the saved DAX. Definition differences and prior mappings are detailed in the calculation trace.
DAX:
[Total Gendered Referrals] = CALCULATE ( [Total Referrals], KEEPFILTERS ( FILTER ( 'dim_person', NOT ISBLANK ( 'dim_person'[gender_clean] ) &amp;&amp; 'dim_person'[gender_clean] &lt;&gt; "Unknown" ) ) )
Python / Spark SQL:
project X/05_gold_dimensions.py:194
copy_bridge(
    "silver.provider_framework", "gold.bridge_provider_framework",
    ["provider_framework_id", "provider_id", "framework_code", "qa_flag", "export_date"],
... selected producer lines ...
    .when(F.col("gender").isin("Another Gender", "Other"), "Other")
    .otherwise("Unknown")
    .alias("gender_clean"),
    F.col("ethnicity").alias("ethnic
[producer excerpt; full source and dependencies in traceability document]
Full logic: KPI_CALCULATION_TRACEABILITY.md#kpi-07</x:v>
      </x:c>
      <x:c r="G111" s="13" t="str">
        <x:v>Total Gendered Referrals</x:v>
      </x:c>
      <x:c r="H111" s="13" t="s">
        <x:v>373</x:v>
      </x:c>
    </x:row>
    <x:row r="112" ht="384" customHeight="1">
      <x:c r="A112" s="12" t="s">
        <x:v>588</x:v>
      </x:c>
      <x:c r="B112" s="13" t="s">
        <x:v>385</x:v>
      </x:c>
      <x:c r="C112" s="13" t="s">
        <x:v>589</x:v>
      </x:c>
      <x:c r="D112" s="13" t="s">
        <x:v>387</x:v>
      </x:c>
      <x:c r="E112" s="13" t="str">
        <x:v>gold.fact_offer</x:v>
      </x:c>
      <x:c r="F112" s="13" t="str">
        <x:v>Original specification: Non-draft offers
Current assessment: Defined in saved model; runtime/UAT pending
Check the original population, grain and filter rules against the saved DAX. Definition differences and prior mappings are detailed in the calculation trace.
DAX:
[Non-Draft Offers] = CALCULATE (
			    [Offers Submitted],
			    KEEPFILTERS ( FILTER ( 'fact_offer', NOT ISBLANK ( 'fact_offer'[offer_status] ) &amp;&amp; LOWER ( 'fact_offer'[offer_status] ) &lt;&gt; "draft" 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KPI_CALCULATION_TRACEABILITY.md#kpi-25</x:v>
      </x:c>
      <x:c r="G112" s="13" t="str">
        <x:v>Non-Draft Offers</x:v>
      </x:c>
      <x:c r="H112" s="13" t="s">
        <x:v>495</x:v>
      </x:c>
    </x:row>
    <x:row r="113" ht="409" customHeight="1">
      <x:c r="A113" s="12" t="s">
        <x:v>590</x:v>
      </x:c>
      <x:c r="B113" s="13" t="s">
        <x:v>442</x:v>
      </x:c>
      <x:c r="C113" s="13" t="s">
        <x:v>591</x:v>
      </x:c>
      <x:c r="D113" s="13" t="s">
        <x:v>444</x:v>
      </x:c>
      <x:c r="E113" s="13" t="str">
        <x:v>gold.fact_offer; gold.fact_referral</x:v>
      </x:c>
      <x:c r="F113" s="13" t="str">
        <x:v>Original specification: Non-draft offers
Current assessment: Defined in saved model; runtime/UAT pending
Check the original population, grain and filter rules against the saved DAX. Definition differences and prior mappings are detailed in the calculation trace.
DAX:
[Offers on Referrals Under Offer] = CALCULATE (
			    [Non-Draft Offers],
			    FILTER (
			        'fact_referral',
			        'fact_referral'[is_open] = TRUE () &amp;&amp; 'fact_referral'[current_status] = "UNDER_OFFER"
			    )
			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KPI_CALCULATION_TRACEABILITY.md#kpi-35</x:v>
      </x:c>
      <x:c r="G113" s="13" t="str">
        <x:v>Offers on Referrals Under Offer</x:v>
      </x:c>
      <x:c r="H113" s="13" t="s">
        <x:v>266</x:v>
      </x:c>
    </x:row>
    <x:row r="114" ht="384" customHeight="1">
      <x:c r="A114" s="12" t="s">
        <x:v>592</x:v>
      </x:c>
      <x:c r="B114" s="13" t="s">
        <x:v>442</x:v>
      </x:c>
      <x:c r="C114" s="13" t="s">
        <x:v>593</x:v>
      </x:c>
      <x:c r="D114" s="13" t="s">
        <x:v>444</x:v>
      </x:c>
      <x:c r="E114" s="13" t="str">
        <x:v>gold.fact_offer</x:v>
      </x:c>
      <x:c r="F114" s="13" t="str">
        <x:v>Original specification: Distinct offers excluding Draft
Current assessment: Defined in saved model; runtime/UAT pending
Check the original population, grain and filter rules against the saved DAX. Definition differences and prior mappings are detailed in the calculation trace.
DAX:
[Non-Draft Offers] = CALCULATE (
			    [Offers Submitted],
			    KEEPFILTERS ( FILTER ( 'fact_offer', NOT ISBLANK ( 'fact_offer'[offer_status] ) &amp;&amp; LOWER ( 'fact_offer'[offer_status] ) &lt;&gt; "draft" ) )
			)
Python / Spark SQL:
project X/04_gold_model.py:712
spark.sql(f"""
CREATE OR REPLACE TABLE gold.fact_offer AS
WITH home_framework_category AS (
... selected producer lines ...
)
SELECT {AS_OF_SQL} AS as_of_date,
  o.offer_id AS offer_id, rp.referral_id AS referral_id,o.referral_provider_id,
  rp.provider_id AS provider_id, o.provider_home_id AS provider_home_id,
  CAST(o.offer_date AS TIMESTAMP) AS offer_subm
[producer excerpt; full source and dependencies in traceability document]
Full logic: KPI_CALCULATION_TRACEABILITY.md#kpi-12</x:v>
      </x:c>
      <x:c r="G114" s="13" t="str">
        <x:v>Non-Draft Offers</x:v>
      </x:c>
      <x:c r="H114" s="13" t="s">
        <x:v>273</x:v>
      </x:c>
    </x:row>
    <x:row r="115" ht="358" customHeight="1">
      <x:c r="A115" s="12" t="s">
        <x:v>594</x:v>
      </x:c>
      <x:c r="B115" s="13" t="s">
        <x:v>566</x:v>
      </x:c>
      <x:c r="C115" s="13" t="s">
        <x:v>595</x:v>
      </x:c>
      <x:c r="D115" s="13" t="s">
        <x:v>596</x:v>
      </x:c>
      <x:c r="E115" s="13" t="str">
        <x:v>gold.fact_referral</x:v>
      </x:c>
      <x:c r="F115" s="13" t="str">
        <x:v>Original specification: COUNT(DISTINCT referral_id) WHERE status IS NOT NULL
Current assessment: Defined in saved model; runtime/UAT pending
Check the original population, grain and filter rules against the saved DAX. Definition differences and prior mappings are detailed in the calculation trace.
DAX:
[Total Referrals] = DISTINCTCOUNT ( 'fact_referral'[referral_id] )
Python / Spark SQL:
project X/04_gold_model.py:232
spark.sql(f"""
CREATE OR REPLACE TABLE gold.fact_referral AS
WITH referral_history AS (
... selected producer lines ...
WITH referral_history AS (
  SELECT *, ROW_NUMBER() OVER (
    PARTITION BY referral_id
    ORDER BY COALESCE(referral_modified_date, referral_created_date, export_date) DESC,
),
referral_created AS (
  SELECT referral_id, MIN(referral_crea
[producer excerpt; full source and dependencies in traceability document]
Full logic: KPI_CALCULATION_TRACEABILITY.md#kpi-01</x:v>
      </x:c>
      <x:c r="G115" s="13" t="str">
        <x:v>Total Referrals</x:v>
      </x:c>
      <x:c r="H115" s="13" t="s">
        <x:v>373</x:v>
      </x:c>
    </x:row>
    <x:row r="116" ht="202" customHeight="1">
      <x:c r="A116" s="12" t="s">
        <x:v>597</x:v>
      </x:c>
      <x:c r="B116" s="13" t="s">
        <x:v>302</x:v>
      </x:c>
      <x:c r="C116" s="13" t="s">
        <x:v>598</x:v>
      </x:c>
      <x:c r="D116" s="13" t="s">
        <x:v>599</x:v>
      </x:c>
      <x:c r="E116" s="13" t="str">
        <x:v>gold.dim_referral + gold.fact_referral_offer [v1 specification; current source is not asserted]</x:v>
      </x:c>
      <x:c r="F116" s="13" t="str">
        <x:v>Original specification: Referrals having valid offer
Current assessment: No current standalone implementation verified
The current suffixed Ratio measure returns a proportion, not the original count; it is not substituted.
DAX:
No executable DAX for this requested KPI verified. Do not substitute zero or a different KPI.
Python / Spark SQL:
No notebook-side business calculation asserted; see model/local/source-gap evidence.
Full logic: KPI_CALCULATION_TRACEABILITY.md#kpi-10</x:v>
      </x:c>
      <x:c r="G116" s="13" t="str">
        <x:v>Not implemented / retired; see Calculation</x:v>
      </x:c>
      <x:c r="H116" s="13" t="s">
        <x:v>373</x:v>
      </x:c>
    </x:row>
    <x:row r="117" ht="358" customHeight="1">
      <x:c r="A117" s="12" t="s">
        <x:v>600</x:v>
      </x:c>
      <x:c r="B117" s="13" t="s">
        <x:v>401</x:v>
      </x:c>
      <x:c r="C117" s="13" t="s">
        <x:v>601</x:v>
      </x:c>
      <x:c r="D117" s="13" t="s">
        <x:v>403</x:v>
      </x:c>
      <x:c r="E117" s="13" t="str">
        <x:v>gold.fact_ipa</x:v>
      </x:c>
      <x:c r="F117" s="16" t="str">
        <x:v>Original specification: `SUM(costs_total_weekly_fee) WHERE signed_by_local_authority = true AND signed_by_provider = true AND closed = false`
Current assessment: Defined in saved model; runtime/UAT pending
Check the original population, grain and filter rules against the saved DAX. Definition differences and prior mappings are detailed in the calculation trace.
DAX:
[Estimated Active Weekly Cost] = CALCULATE (
			    SUM ( 'fact_ipa'[estimated_weekly_cost] ),
			    'fact_ipa'[is_placement_closed] = FALSE ()
			)
Python / Spark SQL:
project X/04_gold_model.py:817
spark.sql(f"""
CREATE OR REPLACE TABLE gold.fact_ipa AS
SELECT {AS_OF_SQL} AS as_of_date,
... selected producer lines ...
  CAST(NULL AS TIMESTAMP) AS actual_placement_end_date,
  CAST(i.placement_admission_date AS TIMESTAMP) AS placement_admission_date,
  CAST(i.costs_total_weekly_fee AS DECIMAL(19, 2)) AS estimated_weekly_cost,
  CAST(NULL AS DECIMAL(19, 2
[producer excerpt; full source and dependencies in traceability document]
Full logic: KPI_CALCULATION_TRACEABILITY.md#kpi-107</x:v>
      </x:c>
      <x:c r="G117" s="13" t="str">
        <x:v>Estimated Active Weekly Cost</x:v>
      </x:c>
      <x:c r="H117" s="18" t="s">
        <x:v>291</x:v>
      </x:c>
    </x:row>
    <x:row r="118" ht="409" customHeight="1">
      <x:c r="A118" s="12" t="s">
        <x:v>602</x:v>
      </x:c>
      <x:c r="B118" s="13" t="s">
        <x:v>579</x:v>
      </x:c>
      <x:c r="C118" s="13" t="s">
        <x:v>603</x:v>
      </x:c>
      <x:c r="D118" s="13" t="s">
        <x:v>604</x:v>
      </x:c>
      <x:c r="E118" s="13" t="str">
        <x:v>gold.fact_offer; gold.fact_referral</x:v>
      </x:c>
      <x:c r="F118" s="13" t="str">
        <x:v>Original specification: Declined/Rejected/Withdrawn offers
Current assessment: Defined in saved model; runtime/UAT pending
Check the original population, grain and filter rules against the saved DAX. Definition differences and prior mappings are detailed in the calculation trace.
DAX:
[Unsuccessful Offers on Referrals Under Offer] = CALCULATE (
			    [Unsuccessful Offers],
			    FILTER (
			        'fact_referral',
			        'fact_referral'[is_open] = TRUE () &amp;&amp; 'fact_referral'[current_status] = "UNDER_OFFER"
			    )
			)
Python / Spark SQL:
project X/04_gold_model.py:232
spark.sql(f"""
CREATE OR REPLACE TABLE gold.fact_referral AS
WITH referral_history AS (
... selected producer lines ...
    r.response_required_by_date AS response_required_date,
    r.referral_modified_date AS referral_modified_timestamp,
    r.referral_status AS current_status, r.placement_type AS placement_type_required,
    r.is_sibling_placement, r.sibl
[producer excerpt; full source and dependencies in traceability document]
Full logic: KPI_CALCULATION_TRACEABILITY.md#kpi-16</x:v>
      </x:c>
      <x:c r="G118" s="13" t="str">
        <x:v>Unsuccessful Offers on Referrals Under Offer</x:v>
      </x:c>
      <x:c r="H118" s="13" t="s">
        <x:v>273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40" hidden="0" customWidth="1"/>
    <x:col min="4" max="4" width="34" hidden="0" customWidth="1"/>
    <x:col min="5" max="5" width="32" hidden="0" customWidth="1"/>
    <x:col min="6" max="6" width="34" hidden="0" customWidth="1"/>
    <x:col min="7" max="7" width="40" hidden="0" customWidth="1"/>
    <x:col min="8" max="8" width="44" hidden="0" customWidth="1"/>
    <x:col min="9" max="9" width="62" hidden="0" customWidth="1"/>
  </x:cols>
  <x:sheetData>
    <x:row r="1" ht="27" customHeight="1">
      <x:c r="A1" s="21" t="str">
        <x:v>Gold Source Coverage</x:v>
      </x:c>
      <x:c r="B1" s="21"/>
      <x:c r="C1" s="21"/>
      <x:c r="D1" s="21"/>
      <x:c r="E1" s="21"/>
      <x:c r="F1" s="21"/>
      <x:c r="G1" s="21"/>
      <x:c r="H1" s="21"/>
      <x:c r="I1" s="21"/>
    </x:row>
    <x:row r="2" ht="28" customHeight="1">
      <x:c r="A2" s="7" t="str">
        <x:v>Reviewed 17 October 2026; source master 0a65e962ff3a. Saved implementation evidence; refresh, UAT and owner acceptance remain pending.</x:v>
      </x:c>
      <x:c r="B2" s="7"/>
      <x:c r="C2" s="7"/>
      <x:c r="D2" s="7"/>
      <x:c r="E2" s="7"/>
      <x:c r="F2" s="7"/>
      <x:c r="G2" s="7"/>
      <x:c r="H2" s="7"/>
      <x:c r="I2" s="7"/>
    </x:row>
    <x:row r="4" ht="25" customHeight="1">
      <x:c r="A4" s="22" t="str">
        <x:v>Source-file coverage retained from the September assessment</x:v>
      </x:c>
      <x:c r="B4" s="22"/>
      <x:c r="C4" s="22"/>
      <x:c r="D4" s="22"/>
      <x:c r="E4" s="22"/>
      <x:c r="F4" s="22"/>
      <x:c r="G4" s="22"/>
      <x:c r="H4" s="22"/>
      <x:c r="I4" s="22"/>
    </x:row>
    <x:row r="5" ht="35" customHeight="1">
      <x:c r="A5" s="27" t="str">
        <x:v>Requirement / capability</x:v>
      </x:c>
      <x:c r="B5" s="27" t="str">
        <x:v>Required source entity / extract</x:v>
      </x:c>
      <x:c r="C5" s="27" t="str">
        <x:v>Expected Bronze → Silver table</x:v>
      </x:c>
      <x:c r="D5" s="27" t="str">
        <x:v>Fields needed</x:v>
      </x:c>
      <x:c r="E5" s="27" t="str">
        <x:v>Source / Silver evidence</x:v>
      </x:c>
      <x:c r="F5" s="27" t="str">
        <x:v>Current Gold publication</x:v>
      </x:c>
      <x:c r="G5" s="27" t="str">
        <x:v>Gold coverage</x:v>
      </x:c>
      <x:c r="H5" s="27" t="str">
        <x:v>Action / conclusion</x:v>
      </x:c>
      <x:c r="I5" s="27" t="str">
        <x:v>KPI DAX eligibility</x:v>
      </x:c>
    </x:row>
    <x:row r="6" ht="59" customHeight="1">
      <x:c r="A6" s="25" t="str">
        <x:v>Referral core</x:v>
      </x:c>
      <x:c r="B6" s="25" t="str">
        <x:v>referral</x:v>
      </x:c>
      <x:c r="C6" s="25" t="str">
        <x:v>bronze.referral → silver.referral</x:v>
      </x:c>
      <x:c r="D6" s="25" t="str">
        <x:v>referral_id, referral_created_date, required_start_date, referral_status, referral_modified_date</x:v>
      </x:c>
      <x:c r="E6" s="25" t="str">
        <x:v>Contracted and used</x:v>
      </x:c>
      <x:c r="F6" s="25" t="str">
        <x:v>gold.fact_referral; gold.fact_referral_snapshot; dim_referral_status; dim_placement_type</x:v>
      </x:c>
      <x:c r="G6" s="25" t="str">
        <x:v>Published in Gold</x:v>
      </x:c>
      <x:c r="H6" s="25" t="str">
        <x:v>Core referral KPIs and snapshots are supported.</x:v>
      </x:c>
      <x:c r="I6" s="25" t="str">
        <x:v>Yes — Gold field</x:v>
      </x:c>
    </x:row>
    <x:row r="7" ht="59" customHeight="1">
      <x:c r="A7" s="25" t="str">
        <x:v>Referral-provider engagement</x:v>
      </x:c>
      <x:c r="B7" s="25" t="str">
        <x:v>referral_provider</x:v>
      </x:c>
      <x:c r="C7" s="25" t="str">
        <x:v>bronze.referral_provider → silver.referral_provider</x:v>
      </x:c>
      <x:c r="D7" s="25" t="str">
        <x:v>referral_provider_id, referral_id, provider_id, is_excluded, is_declined, is_cancelled, is_closed</x:v>
      </x:c>
      <x:c r="E7" s="25" t="str">
        <x:v>Contracted and used</x:v>
      </x:c>
      <x:c r="F7" s="25" t="str">
        <x:v>gold.fact_referral_provider</x:v>
      </x:c>
      <x:c r="G7" s="25" t="str">
        <x:v>Published in Gold</x:v>
      </x:c>
      <x:c r="H7" s="25" t="str">
        <x:v>Provider assignment and decline-rate measures are supported.</x:v>
      </x:c>
      <x:c r="I7" s="25" t="str">
        <x:v>Yes — Gold field</x:v>
      </x:c>
    </x:row>
    <x:row r="8" ht="59" customHeight="1">
      <x:c r="A8" s="25" t="str">
        <x:v>Provider offers</x:v>
      </x:c>
      <x:c r="B8" s="25" t="str">
        <x:v>offer</x:v>
      </x:c>
      <x:c r="C8" s="25" t="str">
        <x:v>bronze.offer → silver.offer</x:v>
      </x:c>
      <x:c r="D8" s="25" t="str">
        <x:v>offer_id, referral_provider_id, offer_status, offer_date, last_modified_date, fees, decline reasons</x:v>
      </x:c>
      <x:c r="E8" s="25" t="str">
        <x:v>Contracted and used</x:v>
      </x:c>
      <x:c r="F8" s="25" t="str">
        <x:v>gold.fact_offer</x:v>
      </x:c>
      <x:c r="G8" s="25" t="str">
        <x:v>Published in Gold</x:v>
      </x:c>
      <x:c r="H8" s="25" t="str">
        <x:v>Offer, decision, age, cost and rejection-reason measures are supported.</x:v>
      </x:c>
      <x:c r="I8" s="25" t="str">
        <x:v>Yes — Gold field</x:v>
      </x:c>
    </x:row>
    <x:row r="9" ht="33" customHeight="1">
      <x:c r="A9" s="25" t="str">
        <x:v>IPA core</x:v>
      </x:c>
      <x:c r="B9" s="25" t="str">
        <x:v>ipa</x:v>
      </x:c>
      <x:c r="C9" s="25" t="str">
        <x:v>bronze.ipa → silver.ipa</x:v>
      </x:c>
      <x:c r="D9" s="25" t="str">
        <x:v>IPA IDs, dates, signature flags and costs</x:v>
      </x:c>
      <x:c r="E9" s="25" t="str">
        <x:v>Selected in active Gold code</x:v>
      </x:c>
      <x:c r="F9" s="25" t="str">
        <x:v>gold.fact_ipa</x:v>
      </x:c>
      <x:c r="G9" s="25" t="str">
        <x:v>Built in repository</x:v>
      </x:c>
      <x:c r="H9" s="25" t="str">
        <x:v>Use fact_ipa, not retired fct_ipa/fact_placement. Refresh and reconcile.</x:v>
      </x:c>
      <x:c r="I9" s="25" t="str">
        <x:v>Yes; validate runtime</x:v>
      </x:c>
    </x:row>
    <x:row r="10" ht="46" customHeight="1">
      <x:c r="A10" s="25" t="str">
        <x:v>IPA signatures</x:v>
      </x:c>
      <x:c r="B10" s="25" t="str">
        <x:v>ipa</x:v>
      </x:c>
      <x:c r="C10" s="25" t="str">
        <x:v>bronze.ipa → silver.ipa</x:v>
      </x:c>
      <x:c r="D10" s="25" t="str">
        <x:v>signed_by_provider; signed_by_local_authority; is_ipa_completed; is_ipa_pending</x:v>
      </x:c>
      <x:c r="E10" s="25" t="str">
        <x:v>Gold fact_ipa SQL selects both flags</x:v>
      </x:c>
      <x:c r="F10" s="25" t="str">
        <x:v>gold.fact_ipa</x:v>
      </x:c>
      <x:c r="G10" s="25" t="str">
        <x:v>Built in repository</x:v>
      </x:c>
      <x:c r="H10" s="25" t="str">
        <x:v>IPA-level signature reporting is implemented; exact signature event history is not supplied.</x:v>
      </x:c>
      <x:c r="I10" s="25" t="str">
        <x:v>Yes; validate runtime</x:v>
      </x:c>
    </x:row>
    <x:row r="11" ht="33" customHeight="1">
      <x:c r="A11" s="25" t="str">
        <x:v>IPA payment and invoice</x:v>
      </x:c>
      <x:c r="B11" s="25" t="str">
        <x:v>ipa / finance source</x:v>
      </x:c>
      <x:c r="C11" s="25" t="str">
        <x:v>Source contract requires finance confirmation</x:v>
      </x:c>
      <x:c r="D11" s="25" t="str">
        <x:v>payment method, invoice, payment status, actual cost</x:v>
      </x:c>
      <x:c r="E11" s="25" t="str">
        <x:v>Estimated weekly cost only in WIP</x:v>
      </x:c>
      <x:c r="F11" s="25" t="str">
        <x:v>gold.fact_ipa estimated_weekly_cost</x:v>
      </x:c>
      <x:c r="G11" s="25" t="str">
        <x:v>Partial</x:v>
      </x:c>
      <x:c r="H11" s="25" t="str">
        <x:v>Approved finance facts still required; lifetime cost is an estimate.</x:v>
      </x:c>
      <x:c r="I11" s="25" t="str">
        <x:v>No payment KPI</x:v>
      </x:c>
    </x:row>
    <x:row r="12" ht="33" customHeight="1">
      <x:c r="A12" s="25" t="str">
        <x:v>Child demographics</x:v>
      </x:c>
      <x:c r="B12" s="25" t="str">
        <x:v>referral_person</x:v>
      </x:c>
      <x:c r="C12" s="25" t="str">
        <x:v>bronze.referral_person → silver.referral_person</x:v>
      </x:c>
      <x:c r="D12" s="25" t="str">
        <x:v>person_id; gender_clean; age; ethnicity</x:v>
      </x:c>
      <x:c r="E12" s="25" t="str">
        <x:v>Selected by Gold dimensions</x:v>
      </x:c>
      <x:c r="F12" s="25" t="str">
        <x:v>gold.dim_person; fact_referral.person_id</x:v>
      </x:c>
      <x:c r="G12" s="25" t="str">
        <x:v>Built in repository</x:v>
      </x:c>
      <x:c r="H12" s="25" t="str">
        <x:v>Validate linkage, nulls and safeguarding/RLS. Full name is not available.</x:v>
      </x:c>
      <x:c r="I12" s="25" t="str">
        <x:v>Yes; validate runtime</x:v>
      </x:c>
    </x:row>
    <x:row r="13" ht="33" customHeight="1">
      <x:c r="A13" s="25" t="str">
        <x:v>Child support needs</x:v>
      </x:c>
      <x:c r="B13" s="25" t="str">
        <x:v>referral_person_support_needs</x:v>
      </x:c>
      <x:c r="C13" s="25" t="str">
        <x:v>bronze → silver.referral_person_support_needs</x:v>
      </x:c>
      <x:c r="D13" s="25" t="str">
        <x:v>person_id; support_need</x:v>
      </x:c>
      <x:c r="E13" s="25" t="str">
        <x:v>Source contract contains bridge</x:v>
      </x:c>
      <x:c r="F13" s="25" t="str">
        <x:v>No WIP support-needs table</x:v>
      </x:c>
      <x:c r="G13" s="25" t="str">
        <x:v>Not in WIP model</x:v>
      </x:c>
      <x:c r="H13" s="25" t="str">
        <x:v>Promote and govern a support-needs bridge; category is not an equivalent.</x:v>
      </x:c>
      <x:c r="I13" s="25" t="str">
        <x:v>No support-needs KPI</x:v>
      </x:c>
    </x:row>
    <x:row r="14" ht="46" customHeight="1">
      <x:c r="A14" s="25" t="str">
        <x:v>Referral categories</x:v>
      </x:c>
      <x:c r="B14" s="25" t="str">
        <x:v>referral_category + framework_category</x:v>
      </x:c>
      <x:c r="C14" s="25" t="str">
        <x:v>silver.referral_category; framework_category</x:v>
      </x:c>
      <x:c r="D14" s="25" t="str">
        <x:v>referral_id; framework_category_id</x:v>
      </x:c>
      <x:c r="E14" s="25" t="str">
        <x:v>Gold bridge and model import exist</x:v>
      </x:c>
      <x:c r="F14" s="25" t="str">
        <x:v>gold.bridge_referral_framework_category; dim_framework_category</x:v>
      </x:c>
      <x:c r="G14" s="25" t="str">
        <x:v>Built current state</x:v>
      </x:c>
      <x:c r="H14" s="25" t="str">
        <x:v>Use category-aware distinct counts. Current bridges do not prove historical membership.</x:v>
      </x:c>
      <x:c r="I14" s="25" t="str">
        <x:v>Yes; current state</x:v>
      </x:c>
    </x:row>
    <x:row r="15" ht="46" customHeight="1">
      <x:c r="A15" s="25" t="str">
        <x:v>Provider messages</x:v>
      </x:c>
      <x:c r="B15" s="25" t="str">
        <x:v>referral_provider_message</x:v>
      </x:c>
      <x:c r="C15" s="25" t="str">
        <x:v>silver.referral_provider_message</x:v>
      </x:c>
      <x:c r="D15" s="25" t="str">
        <x:v>message_id; assignment key; text; created/read timestamps; creator</x:v>
      </x:c>
      <x:c r="E15" s="25" t="str">
        <x:v>Selected by Gold dimensions</x:v>
      </x:c>
      <x:c r="F15" s="25" t="str">
        <x:v>gold.dim_referral_provider_message; fact_referral_lifecycle_event</x:v>
      </x:c>
      <x:c r="G15" s="25" t="str">
        <x:v>Built current records</x:v>
      </x:c>
      <x:c r="H15" s="25" t="str">
        <x:v>Message detail exists; Provider Messages Sent remains lifecycle-based. Authorship/SLA not approved.</x:v>
      </x:c>
      <x:c r="I15" s="25" t="str">
        <x:v>Yes; limited semantics</x:v>
      </x:c>
    </x:row>
    <x:row r="16" ht="46" customHeight="1">
      <x:c r="A16" s="25" t="str">
        <x:v>Message read status</x:v>
      </x:c>
      <x:c r="B16" s="25" t="str">
        <x:v>Message source and status capture</x:v>
      </x:c>
      <x:c r="C16" s="25" t="str">
        <x:v>Current message dimension; separate status contract needs review</x:v>
      </x:c>
      <x:c r="D16" s="25" t="str">
        <x:v>reader; read timestamp; priority; author role; response pairing</x:v>
      </x:c>
      <x:c r="E16" s="25" t="str">
        <x:v>Current read fields exist, not a complete unread-priority model</x:v>
      </x:c>
      <x:c r="F16" s="25" t="str">
        <x:v>dim_referral_provider_message read fields</x:v>
      </x:c>
      <x:c r="G16" s="25" t="str">
        <x:v>Partial</x:v>
      </x:c>
      <x:c r="H16" s="25" t="str">
        <x:v>Do not infer unread from null without an approved rule or invent priority.</x:v>
      </x:c>
      <x:c r="I16" s="25" t="str">
        <x:v>No unread-priority KPI</x:v>
      </x:c>
    </x:row>
    <x:row r="17" ht="46" customHeight="1">
      <x:c r="A17" s="25" t="str">
        <x:v>Decline and cancellation reasons</x:v>
      </x:c>
      <x:c r="B17" s="25" t="str">
        <x:v>referral_provider_decline_reason / cancel_reason</x:v>
      </x:c>
      <x:c r="C17" s="25" t="str">
        <x:v>Conformed Silver reason tables</x:v>
      </x:c>
      <x:c r="D17" s="25" t="str">
        <x:v>assignment ID; reason; reason type; created date</x:v>
      </x:c>
      <x:c r="E17" s="25" t="str">
        <x:v>Gold combines current reasons with prefixed keys</x:v>
      </x:c>
      <x:c r="F17" s="25" t="str">
        <x:v>gold.dim_referral_provider_reject_reason</x:v>
      </x:c>
      <x:c r="G17" s="25" t="str">
        <x:v>Built current records</x:v>
      </x:c>
      <x:c r="H17" s="25" t="str">
        <x:v>Validate joins and completeness. Full immutable history and attribution remain unproven.</x:v>
      </x:c>
      <x:c r="I17" s="25" t="str">
        <x:v>Yes; current reasons</x:v>
      </x:c>
    </x:row>
    <x:row r="18" ht="46" customHeight="1">
      <x:c r="A18" s="25" t="str">
        <x:v>Provider documents</x:v>
      </x:c>
      <x:c r="B18" s="25" t="str">
        <x:v>provider_submission_docs</x:v>
      </x:c>
      <x:c r="C18" s="25" t="str">
        <x:v>bronze.provider_submission_docs → silver.provider_submission_docs</x:v>
      </x:c>
      <x:c r="D18" s="25" t="str">
        <x:v>document_id, home_id, document_type, expiry_date, next_review_date</x:v>
      </x:c>
      <x:c r="E18" s="25" t="str">
        <x:v>Contracted and used</x:v>
      </x:c>
      <x:c r="F18" s="25" t="str">
        <x:v>gold.dim_provider_submission_document</x:v>
      </x:c>
      <x:c r="G18" s="25" t="str">
        <x:v>Published in Gold</x:v>
      </x:c>
      <x:c r="H18" s="25" t="str">
        <x:v>Expiry and expired-document measures are supported.</x:v>
      </x:c>
      <x:c r="I18" s="25" t="str">
        <x:v>Yes — Gold field</x:v>
      </x:c>
    </x:row>
    <x:row r="19" ht="46" customHeight="1">
      <x:c r="A19" s="25" t="str">
        <x:v>Document compliance / blocking</x:v>
      </x:c>
      <x:c r="B19" s="25" t="str">
        <x:v>Required-document policy and provider exclusion outcome</x:v>
      </x:c>
      <x:c r="C19" s="25" t="str">
        <x:v>No confirmed source entity in the active contract</x:v>
      </x:c>
      <x:c r="D19" s="25" t="str">
        <x:v>Expected document set, compliance result, blocked/excluded decision</x:v>
      </x:c>
      <x:c r="E19" s="25" t="str">
        <x:v>Not supplied</x:v>
      </x:c>
      <x:c r="F19" s="25" t="str">
        <x:v>—</x:v>
      </x:c>
      <x:c r="G19" s="25" t="str">
        <x:v>New source required</x:v>
      </x:c>
      <x:c r="H19" s="25" t="str">
        <x:v>Document dates alone cannot prove compliance or provider blocking; obtain the policy/decision data first.</x:v>
      </x:c>
      <x:c r="I19" s="25" t="str">
        <x:v>No — new policy/outcome source</x:v>
      </x:c>
    </x:row>
    <x:row r="20" ht="33" customHeight="1">
      <x:c r="A20" s="25" t="str">
        <x:v>Out-of-region</x:v>
      </x:c>
      <x:c r="B20" s="25" t="str">
        <x:v>Governed referral origin and destination</x:v>
      </x:c>
      <x:c r="C20" s="25" t="str">
        <x:v>No approved region mapping in WIP</x:v>
      </x:c>
      <x:c r="D20" s="25" t="str">
        <x:v>origin region; placement region; out-of-region rule</x:v>
      </x:c>
      <x:c r="E20" s="25" t="str">
        <x:v>Postcodes/preferred city are not equivalent</x:v>
      </x:c>
      <x:c r="F20" s="25" t="str">
        <x:v>No supported out-of-region KPI</x:v>
      </x:c>
      <x:c r="G20" s="25" t="str">
        <x:v>New evidence required</x:v>
      </x:c>
      <x:c r="H20" s="25" t="str">
        <x:v>Obtain regions and business rule; do not use multiple assignments as proxy.</x:v>
      </x:c>
      <x:c r="I20" s="25" t="str">
        <x:v>No out-of-region KPI</x:v>
      </x:c>
    </x:row>
    <x:row r="21" ht="46" customHeight="1">
      <x:c r="A21" s="25" t="str">
        <x:v>Framework change history</x:v>
      </x:c>
      <x:c r="B21" s="25" t="str">
        <x:v>referral_category_aud (candidate)</x:v>
      </x:c>
      <x:c r="C21" s="25" t="str">
        <x:v>bronze.referral_category_aud → silver.referral_category_aud</x:v>
      </x:c>
      <x:c r="D21" s="25" t="str">
        <x:v>referral_id, framework_category_id, audit/change timestamp</x:v>
      </x:c>
      <x:c r="E21" s="25" t="str">
        <x:v>Capture mapping exists; validate current extract and contract</x:v>
      </x:c>
      <x:c r="F21" s="25" t="str">
        <x:v>—</x:v>
      </x:c>
      <x:c r="G21" s="25" t="str">
        <x:v>Needs contract validation</x:v>
      </x:c>
      <x:c r="H21" s="25" t="str">
        <x:v>Promote a category-history fact only after the audit table and change timestamp are confirmed.</x:v>
      </x:c>
      <x:c r="I21" s="25" t="str">
        <x:v>No — validate then promote audit fact</x:v>
      </x:c>
    </x:row>
    <x:row r="24" ht="25" customHeight="1">
      <x:c r="A24" s="22" t="str">
        <x:v>Current requirement assessment and proposed operational contribution</x:v>
      </x:c>
      <x:c r="B24" s="22"/>
      <x:c r="C24" s="22"/>
      <x:c r="D24" s="22"/>
      <x:c r="E24" s="22"/>
      <x:c r="F24" s="22"/>
      <x:c r="G24" s="22"/>
      <x:c r="H24" s="22"/>
      <x:c r="I24" s="22"/>
    </x:row>
    <x:row r="25" ht="35" customHeight="1">
      <x:c r="A25" s="27" t="str">
        <x:v>Req ID</x:v>
      </x:c>
      <x:c r="B25" s="27" t="str">
        <x:v>Requirement</x:v>
      </x:c>
      <x:c r="C25" s="27" t="str">
        <x:v>Business dashboard evidence</x:v>
      </x:c>
      <x:c r="D25" s="27" t="str">
        <x:v>Mission Control contribution</x:v>
      </x:c>
      <x:c r="E25" s="27" t="str">
        <x:v>Status</x:v>
      </x:c>
      <x:c r="F25" s="27" t="str">
        <x:v>Gap / Notes</x:v>
      </x:c>
      <x:c r="G25" s="27" t="str">
        <x:v>Suggested Action</x:v>
      </x:c>
      <x:c r="H25" s="27" t="str">
        <x:v>Previous assessment</x:v>
      </x:c>
      <x:c r="I25" s="27" t="str">
        <x:v>Evidence / assessment date</x:v>
      </x:c>
    </x:row>
    <x:row r="26" ht="85" customHeight="1">
      <x:c r="A26" s="25" t="str">
        <x:v>R1</x:v>
      </x:c>
      <x:c r="B26" s="25" t="str">
        <x:v>Place children with complex care needs</x:v>
      </x:c>
      <x:c r="C26" s="25" t="str">
        <x:v>Referral Explorer; Referral Detail; Matching referrals</x:v>
      </x:c>
      <x:c r="D26" s="25" t="str">
        <x:v>No requirement-specific Mission Control delivery asserted.</x:v>
      </x:c>
      <x:c r="E26" s="25" t="str">
        <x:v>Partial reporting</x:v>
      </x:c>
      <x:c r="F26" s="25" t="str">
        <x:v>The report exposes demand and assignments; it does not publish referrals or place children. Support-needs analysis is not in the WIP model. Historical v1 status: ✅ Implemented.</x:v>
      </x:c>
      <x:c r="G26" s="25" t="str">
        <x:v>Validate explorer results and obtain portal-workflow evidence.</x:v>
      </x:c>
      <x:c r="H26" s="25" t="str">
        <x:v>✅ Implemented</x:v>
      </x:c>
      <x:c r="I26" s="25" t="str">
        <x:v>17 October 2026; 0a65e962ff3a; KPI_CALCULATION_TRACEABILITY.md</x:v>
      </x:c>
    </x:row>
    <x:row r="27" ht="72" customHeight="1">
      <x:c r="A27" s="25" t="str">
        <x:v>R2</x:v>
      </x:c>
      <x:c r="B27" s="25" t="str">
        <x:v>Consider current incumbent solution</x:v>
      </x:c>
      <x:c r="C27" s="25" t="str">
        <x:v>Functional Specification; HLD; Statement of Work</x:v>
      </x:c>
      <x:c r="D27" s="25" t="str">
        <x:v>No requirement-specific Mission Control delivery asserted.</x:v>
      </x:c>
      <x:c r="E27" s="25" t="str">
        <x:v>Outside report assessment</x:v>
      </x:c>
      <x:c r="F27" s="25" t="str">
        <x:v>Architecture, procurement, API or data-entry requirement; a KPI cannot establish compliance. Historical v1 status: ℹ️ Non-functional.</x:v>
      </x:c>
      <x:c r="G27" s="25" t="str">
        <x:v>Retain source-system or project acceptance evidence.</x:v>
      </x:c>
      <x:c r="H27" s="25" t="str">
        <x:v>ℹ️ Non-functional</x:v>
      </x:c>
      <x:c r="I27" s="25" t="str">
        <x:v>17 October 2026; 0a65e962ff3a; KPI_CALCULATION_TRACEABILITY.md</x:v>
      </x:c>
    </x:row>
    <x:row r="28" ht="72" customHeight="1">
      <x:c r="A28" s="25" t="str">
        <x:v>R3</x:v>
      </x:c>
      <x:c r="B28" s="25" t="str">
        <x:v>Single regional platform (cross-boundary)</x:v>
      </x:c>
      <x:c r="C28" s="25" t="str">
        <x:v>Functional Specification; HLD; Statement of Work</x:v>
      </x:c>
      <x:c r="D28" s="25" t="str">
        <x:v>No requirement-specific Mission Control delivery asserted.</x:v>
      </x:c>
      <x:c r="E28" s="25" t="str">
        <x:v>Outside report assessment</x:v>
      </x:c>
      <x:c r="F28" s="25" t="str">
        <x:v>Architecture, procurement, API or data-entry requirement; a KPI cannot establish compliance. Historical v1 status: ℹ️ Non-functional.</x:v>
      </x:c>
      <x:c r="G28" s="25" t="str">
        <x:v>Retain source-system or project acceptance evidence.</x:v>
      </x:c>
      <x:c r="H28" s="25" t="str">
        <x:v>ℹ️ Non-functional</x:v>
      </x:c>
      <x:c r="I28" s="25" t="str">
        <x:v>17 October 2026; 0a65e962ff3a; KPI_CALCULATION_TRACEABILITY.md</x:v>
      </x:c>
    </x:row>
    <x:row r="29" ht="72" customHeight="1">
      <x:c r="A29" s="25" t="str">
        <x:v>R4</x:v>
      </x:c>
      <x:c r="B29" s="25" t="str">
        <x:v>Open source suitability</x:v>
      </x:c>
      <x:c r="C29" s="25" t="str">
        <x:v>Functional Specification; HLD; Statement of Work</x:v>
      </x:c>
      <x:c r="D29" s="25" t="str">
        <x:v>No requirement-specific Mission Control delivery asserted.</x:v>
      </x:c>
      <x:c r="E29" s="25" t="str">
        <x:v>Outside report assessment</x:v>
      </x:c>
      <x:c r="F29" s="25" t="str">
        <x:v>Architecture, procurement, API or data-entry requirement; a KPI cannot establish compliance. Historical v1 status: ℹ️ Non-functional.</x:v>
      </x:c>
      <x:c r="G29" s="25" t="str">
        <x:v>Retain source-system or project acceptance evidence.</x:v>
      </x:c>
      <x:c r="H29" s="25" t="str">
        <x:v>ℹ️ Non-functional</x:v>
      </x:c>
      <x:c r="I29" s="25" t="str">
        <x:v>17 October 2026; 0a65e962ff3a; KPI_CALCULATION_TRACEABILITY.md</x:v>
      </x:c>
    </x:row>
    <x:row r="30" ht="72" customHeight="1">
      <x:c r="A30" s="25" t="str">
        <x:v>R5</x:v>
      </x:c>
      <x:c r="B30" s="25" t="str">
        <x:v>Agile / MVP / backlog</x:v>
      </x:c>
      <x:c r="C30" s="25" t="str">
        <x:v>Functional Specification; HLD; Statement of Work</x:v>
      </x:c>
      <x:c r="D30" s="25" t="str">
        <x:v>No requirement-specific Mission Control delivery asserted.</x:v>
      </x:c>
      <x:c r="E30" s="25" t="str">
        <x:v>Outside report assessment</x:v>
      </x:c>
      <x:c r="F30" s="25" t="str">
        <x:v>Architecture, procurement, API or data-entry requirement; a KPI cannot establish compliance. Historical v1 status: ℹ️ Non-functional.</x:v>
      </x:c>
      <x:c r="G30" s="25" t="str">
        <x:v>Retain source-system or project acceptance evidence.</x:v>
      </x:c>
      <x:c r="H30" s="25" t="str">
        <x:v>ℹ️ Non-functional</x:v>
      </x:c>
      <x:c r="I30" s="25" t="str">
        <x:v>17 October 2026; 0a65e962ff3a; KPI_CALCULATION_TRACEABILITY.md</x:v>
      </x:c>
    </x:row>
    <x:row r="31" ht="72" customHeight="1">
      <x:c r="A31" s="25" t="str">
        <x:v>R6</x:v>
      </x:c>
      <x:c r="B31" s="25" t="str">
        <x:v>COTS preferred over bespoke</x:v>
      </x:c>
      <x:c r="C31" s="25" t="str">
        <x:v>Functional Specification; HLD; Statement of Work</x:v>
      </x:c>
      <x:c r="D31" s="25" t="str">
        <x:v>No requirement-specific Mission Control delivery asserted.</x:v>
      </x:c>
      <x:c r="E31" s="25" t="str">
        <x:v>Outside report assessment</x:v>
      </x:c>
      <x:c r="F31" s="25" t="str">
        <x:v>Architecture, procurement, API or data-entry requirement; a KPI cannot establish compliance. Historical v1 status: ℹ️ Non-functional.</x:v>
      </x:c>
      <x:c r="G31" s="25" t="str">
        <x:v>Retain source-system or project acceptance evidence.</x:v>
      </x:c>
      <x:c r="H31" s="25" t="str">
        <x:v>ℹ️ Non-functional</x:v>
      </x:c>
      <x:c r="I31" s="25" t="str">
        <x:v>17 October 2026; 0a65e962ff3a; KPI_CALCULATION_TRACEABILITY.md</x:v>
      </x:c>
    </x:row>
    <x:row r="32" ht="72" customHeight="1">
      <x:c r="A32" s="25" t="str">
        <x:v>R7</x:v>
      </x:c>
      <x:c r="B32" s="25" t="str">
        <x:v>APIs across WM IT ecosystem</x:v>
      </x:c>
      <x:c r="C32" s="25" t="str">
        <x:v>Functional Specification; HLD; Statement of Work</x:v>
      </x:c>
      <x:c r="D32" s="25" t="str">
        <x:v>No requirement-specific Mission Control delivery asserted.</x:v>
      </x:c>
      <x:c r="E32" s="25" t="str">
        <x:v>Outside report assessment</x:v>
      </x:c>
      <x:c r="F32" s="25" t="str">
        <x:v>Architecture, procurement, API or data-entry requirement; a KPI cannot establish compliance. Historical v1 status: ℹ️ Non-functional.</x:v>
      </x:c>
      <x:c r="G32" s="25" t="str">
        <x:v>Retain source-system or project acceptance evidence.</x:v>
      </x:c>
      <x:c r="H32" s="25" t="str">
        <x:v>ℹ️ Non-functional</x:v>
      </x:c>
      <x:c r="I32" s="25" t="str">
        <x:v>17 October 2026; 0a65e962ff3a; KPI_CALCULATION_TRACEABILITY.md</x:v>
      </x:c>
    </x:row>
    <x:row r="33" ht="72" customHeight="1">
      <x:c r="A33" s="25" t="str">
        <x:v>R8</x:v>
      </x:c>
      <x:c r="B33" s="25" t="str">
        <x:v>Open-source API compliance</x:v>
      </x:c>
      <x:c r="C33" s="25" t="str">
        <x:v>Functional Specification; HLD; Statement of Work</x:v>
      </x:c>
      <x:c r="D33" s="25" t="str">
        <x:v>No requirement-specific Mission Control delivery asserted.</x:v>
      </x:c>
      <x:c r="E33" s="25" t="str">
        <x:v>Outside report assessment</x:v>
      </x:c>
      <x:c r="F33" s="25" t="str">
        <x:v>Architecture, procurement, API or data-entry requirement; a KPI cannot establish compliance. Historical v1 status: ℹ️ Non-functional.</x:v>
      </x:c>
      <x:c r="G33" s="25" t="str">
        <x:v>Retain source-system or project acceptance evidence.</x:v>
      </x:c>
      <x:c r="H33" s="25" t="str">
        <x:v>ℹ️ Non-functional</x:v>
      </x:c>
      <x:c r="I33" s="25" t="str">
        <x:v>17 October 2026; 0a65e962ff3a; KPI_CALCULATION_TRACEABILITY.md</x:v>
      </x:c>
    </x:row>
    <x:row r="34" ht="72" customHeight="1">
      <x:c r="A34" s="25" t="str">
        <x:v>R9</x:v>
      </x:c>
      <x:c r="B34" s="25" t="str">
        <x:v>Form pre-population (referral, OFSTED, auth)</x:v>
      </x:c>
      <x:c r="C34" s="25" t="str">
        <x:v>Functional Specification; HLD; Statement of Work</x:v>
      </x:c>
      <x:c r="D34" s="25" t="str">
        <x:v>No requirement-specific Mission Control delivery asserted.</x:v>
      </x:c>
      <x:c r="E34" s="25" t="str">
        <x:v>Outside report assessment</x:v>
      </x:c>
      <x:c r="F34" s="25" t="str">
        <x:v>Architecture, procurement, API or data-entry requirement; a KPI cannot establish compliance. Historical v1 status: ℹ️ Feature.</x:v>
      </x:c>
      <x:c r="G34" s="25" t="str">
        <x:v>Retain source-system or project acceptance evidence.</x:v>
      </x:c>
      <x:c r="H34" s="25" t="str">
        <x:v>ℹ️ Feature</x:v>
      </x:c>
      <x:c r="I34" s="25" t="str">
        <x:v>17 October 2026; 0a65e962ff3a; KPI_CALCULATION_TRACEABILITY.md</x:v>
      </x:c>
    </x:row>
    <x:row r="35" ht="85" customHeight="1">
      <x:c r="A35" s="25" t="str">
        <x:v>R11</x:v>
      </x:c>
      <x:c r="B35" s="25" t="str">
        <x:v>Publish placement requirements to providers</x:v>
      </x:c>
      <x:c r="C35" s="25" t="str">
        <x:v>Referral Explorer; Referral Detail; Matching referrals</x:v>
      </x:c>
      <x:c r="D35" s="25" t="str">
        <x:v>No requirement-specific Mission Control delivery asserted.</x:v>
      </x:c>
      <x:c r="E35" s="25" t="str">
        <x:v>Partial reporting</x:v>
      </x:c>
      <x:c r="F35" s="25" t="str">
        <x:v>The report exposes demand and assignments; it does not publish referrals or place children. Support-needs analysis is not in the WIP model. Historical v1 status: ✅ Implemented.</x:v>
      </x:c>
      <x:c r="G35" s="25" t="str">
        <x:v>Validate explorer results and obtain portal-workflow evidence.</x:v>
      </x:c>
      <x:c r="H35" s="25" t="str">
        <x:v>✅ Implemented</x:v>
      </x:c>
      <x:c r="I35" s="25" t="str">
        <x:v>17 October 2026; 0a65e962ff3a; KPI_CALCULATION_TRACEABILITY.md</x:v>
      </x:c>
    </x:row>
    <x:row r="36" ht="85" customHeight="1">
      <x:c r="A36" s="25" t="str">
        <x:v>R12</x:v>
      </x:c>
      <x:c r="B36" s="25" t="str">
        <x:v>GDPR / DPA 2018 compliance for vulnerable-child data</x:v>
      </x:c>
      <x:c r="C36" s="25" t="str">
        <x:v>WMPP Dynamic Detail RLS; security mappings; global summary</x:v>
      </x:c>
      <x:c r="D36" s="25" t="str">
        <x:v>No requirement-specific Mission Control delivery asserted.</x:v>
      </x:c>
      <x:c r="E36" s="25" t="str">
        <x:v>Security acceptance pending</x:v>
      </x:c>
      <x:c r="F36" s="25" t="str">
        <x:v>Role definitions exist, but authorised identity tests, access provisioning, small-cell disclosure and break-glass controls are not signed off. Historical v1 status: ℹ️ Security.</x:v>
      </x:c>
      <x:c r="G36" s="25" t="str">
        <x:v>Approve mappings and disclosure policy; execute role and Service-access tests.</x:v>
      </x:c>
      <x:c r="H36" s="25" t="str">
        <x:v>ℹ️ Security</x:v>
      </x:c>
      <x:c r="I36" s="25" t="str">
        <x:v>17 October 2026; 0a65e962ff3a; KPI_CALCULATION_TRACEABILITY.md</x:v>
      </x:c>
    </x:row>
    <x:row r="37" ht="59" customHeight="1">
      <x:c r="A37" s="25" t="str">
        <x:v>R13</x:v>
      </x:c>
      <x:c r="B37" s="25" t="str">
        <x:v>Filter by specialisms, placement type, placement status</x:v>
      </x:c>
      <x:c r="C37" s="25" t="str">
        <x:v>Referral Explorer; priority; placement urgency; category and status slicers</x:v>
      </x:c>
      <x:c r="D37" s="25" t="str">
        <x:v>No requirement-specific Mission Control delivery asserted.</x:v>
      </x:c>
      <x:c r="E37" s="25" t="str">
        <x:v>Built; UAT pending</x:v>
      </x:c>
      <x:c r="F37" s="25" t="str">
        <x:v>Priority and placement urgency band both remain. Category counts are not additive. Historical v1 status: ✅ Implemented.</x:v>
      </x:c>
      <x:c r="G37" s="25" t="str">
        <x:v>Confirm retained priority field and test combined slicers.</x:v>
      </x:c>
      <x:c r="H37" s="25" t="str">
        <x:v>✅ Implemented</x:v>
      </x:c>
      <x:c r="I37" s="25" t="str">
        <x:v>17 October 2026; 0a65e962ff3a; KPI_CALCULATION_TRACEABILITY.md</x:v>
      </x:c>
    </x:row>
    <x:row r="38" ht="85" customHeight="1">
      <x:c r="A38" s="25" t="str">
        <x:v>R14</x:v>
      </x:c>
      <x:c r="B38" s="25" t="str">
        <x:v>In-system messaging (auditable, prioritised, urgent)</x:v>
      </x:c>
      <x:c r="C38" s="25" t="str">
        <x:v>dim_referral_provider_message; lifecycle activity; detail message tables</x:v>
      </x:c>
      <x:c r="D38" s="25" t="str">
        <x:v>No requirement-specific Mission Control delivery asserted.</x:v>
      </x:c>
      <x:c r="E38" s="25" t="str">
        <x:v>Partial reporting</x:v>
      </x:c>
      <x:c r="F38" s="25" t="str">
        <x:v>Message text and read timestamps are available. Provider authorship, paired response time and unread-priority semantics remain unapproved. Historical v1 status: ❌ Missing.</x:v>
      </x:c>
      <x:c r="G38" s="25" t="str">
        <x:v>Approve author and unread rules before message SLA KPIs.</x:v>
      </x:c>
      <x:c r="H38" s="25" t="str">
        <x:v>❌ Missing</x:v>
      </x:c>
      <x:c r="I38" s="25" t="str">
        <x:v>17 October 2026; 0a65e962ff3a; KPI_CALCULATION_TRACEABILITY.md</x:v>
      </x:c>
    </x:row>
    <x:row r="39" ht="72" customHeight="1">
      <x:c r="A39" s="25" t="str">
        <x:v>R15</x:v>
      </x:c>
      <x:c r="B39" s="25" t="str">
        <x:v>Digital info &amp; signatures for IPA</x:v>
      </x:c>
      <x:c r="C39" s="25" t="str">
        <x:v>fact_ipa; IPA Completed; IPAs Pending Completion; signature flags</x:v>
      </x:c>
      <x:c r="D39" s="25" t="str">
        <x:v>No requirement-specific Mission Control delivery asserted.</x:v>
      </x:c>
      <x:c r="E39" s="25" t="str">
        <x:v>Partial reporting</x:v>
      </x:c>
      <x:c r="F39" s="25" t="str">
        <x:v>IPA-grain signing is implemented; the report does not perform signing, approval or certify a full audit trail. Historical v1 status: ✅ Implemented.</x:v>
      </x:c>
      <x:c r="G39" s="25" t="str">
        <x:v>Reconcile both signatures on the same IPA, closed unsigned IPAs and multiple IPAs per offer.</x:v>
      </x:c>
      <x:c r="H39" s="25" t="str">
        <x:v>✅ Implemented</x:v>
      </x:c>
      <x:c r="I39" s="25" t="str">
        <x:v>17 October 2026; 0a65e962ff3a; KPI_CALCULATION_TRACEABILITY.md</x:v>
      </x:c>
    </x:row>
    <x:row r="40" ht="59" customHeight="1">
      <x:c r="A40" s="25" t="str">
        <x:v>R16</x:v>
      </x:c>
      <x:c r="B40" s="25" t="str">
        <x:v>Priority information flagged in placement requests</x:v>
      </x:c>
      <x:c r="C40" s="25" t="str">
        <x:v>Referral Explorer; priority; placement urgency; category and status slicers</x:v>
      </x:c>
      <x:c r="D40" s="25" t="str">
        <x:v>No requirement-specific Mission Control delivery asserted.</x:v>
      </x:c>
      <x:c r="E40" s="25" t="str">
        <x:v>Built; UAT pending</x:v>
      </x:c>
      <x:c r="F40" s="25" t="str">
        <x:v>Priority and placement urgency band both remain. Category counts are not additive. Historical v1 status: ℹ️ Feature.</x:v>
      </x:c>
      <x:c r="G40" s="25" t="str">
        <x:v>Confirm retained priority field and test combined slicers.</x:v>
      </x:c>
      <x:c r="H40" s="25" t="str">
        <x:v>ℹ️ Feature</x:v>
      </x:c>
      <x:c r="I40" s="25" t="str">
        <x:v>17 October 2026; 0a65e962ff3a; KPI_CALCULATION_TRACEABILITY.md</x:v>
      </x:c>
    </x:row>
    <x:row r="41" ht="72" customHeight="1">
      <x:c r="A41" s="25" t="str">
        <x:v>R17</x:v>
      </x:c>
      <x:c r="B41" s="25" t="str">
        <x:v>Placement info immediately available on accept</x:v>
      </x:c>
      <x:c r="C41" s="25" t="str">
        <x:v>Referral Explorer; Referral Detail (Drillthrough)</x:v>
      </x:c>
      <x:c r="D41" s="25" t="str">
        <x:v>No requirement-specific Mission Control delivery asserted.</x:v>
      </x:c>
      <x:c r="E41" s="25" t="str">
        <x:v>Partial reporting</x:v>
      </x:c>
      <x:c r="F41" s="25" t="str">
        <x:v>Read-only detail and journey evidence exist. Immediate portal availability or write workflows are not proven. Historical v1 status: ✅ Implemented.</x:v>
      </x:c>
      <x:c r="G41" s="25" t="str">
        <x:v>Test referral drillthrough with known records and confirm portal workflow.</x:v>
      </x:c>
      <x:c r="H41" s="25" t="str">
        <x:v>✅ Implemented</x:v>
      </x:c>
      <x:c r="I41" s="25" t="str">
        <x:v>17 October 2026; 0a65e962ff3a; KPI_CALCULATION_TRACEABILITY.md</x:v>
      </x:c>
    </x:row>
    <x:row r="42" ht="85" customHeight="1">
      <x:c r="A42" s="25" t="str">
        <x:v>R18</x:v>
      </x:c>
      <x:c r="B42" s="25" t="str">
        <x:v>Emergency placements: same-day, distinct ID, separate reporting &amp; finance</x:v>
      </x:c>
      <x:c r="C42" s="25" t="str">
        <x:v>Emergency Referrals; Planned Referrals; Emergency Placement Rate</x:v>
      </x:c>
      <x:c r="D42" s="25" t="str">
        <x:v>No requirement-specific Mission Control delivery asserted.</x:v>
      </x:c>
      <x:c r="E42" s="25" t="str">
        <x:v>Partial reporting</x:v>
      </x:c>
      <x:c r="F42" s="25" t="str">
        <x:v>Emergency uses the Gold same-day-date rule on OPEN/UNDER_OFFER referrals, not a statutory emergency source classification or spot status. Historical v1 status: ❌ Missing.</x:v>
      </x:c>
      <x:c r="G42" s="25" t="str">
        <x:v>Approve emergency definition and finance categorisation; test missing and reversed dates.</x:v>
      </x:c>
      <x:c r="H42" s="25" t="str">
        <x:v>❌ Missing</x:v>
      </x:c>
      <x:c r="I42" s="25" t="str">
        <x:v>17 October 2026; 0a65e962ff3a; KPI_CALCULATION_TRACEABILITY.md</x:v>
      </x:c>
    </x:row>
    <x:row r="43" ht="72" customHeight="1">
      <x:c r="A43" s="25" t="str">
        <x:v>R19</x:v>
      </x:c>
      <x:c r="B43" s="25" t="str">
        <x:v>Update referrals; auto-notify providers</x:v>
      </x:c>
      <x:c r="C43" s="25" t="str">
        <x:v>fact_referral_lifecycle_event; Referral Lifecycle Events; Referral Detail journey</x:v>
      </x:c>
      <x:c r="D43" s="25" t="str">
        <x:v>No requirement-specific Mission Control delivery asserted.</x:v>
      </x:c>
      <x:c r="E43" s="25" t="str">
        <x:v>Partial reporting</x:v>
      </x:c>
      <x:c r="F43" s="25" t="str">
        <x:v>Derived lifecycle events do not provide durable full audit history, exact signature events or notification delivery. Historical v1 status: ❌ Missing.</x:v>
      </x:c>
      <x:c r="G43" s="25" t="str">
        <x:v>Confirm event coverage; source durable changes and notification outcomes.</x:v>
      </x:c>
      <x:c r="H43" s="25" t="str">
        <x:v>❌ Missing</x:v>
      </x:c>
      <x:c r="I43" s="25" t="str">
        <x:v>17 October 2026; 0a65e962ff3a; KPI_CALCULATION_TRACEABILITY.md</x:v>
      </x:c>
    </x:row>
    <x:row r="44" ht="137" customHeight="1">
      <x:c r="A44" s="25" t="str">
        <x:v>R20</x:v>
      </x:c>
      <x:c r="B44" s="25" t="str">
        <x:v>Full audit tracking (placements, IPA, signatures, approvals, negotiations)</x:v>
      </x:c>
      <x:c r="C44" s="25" t="str">
        <x:v>fact_referral_lifecycle_event; Referral Lifecycle Events; Referral Detail journey</x:v>
      </x:c>
      <x:c r="D44" s="25" t="str">
        <x:v>Operational context only: Pipeline/job execution is not the business placement, signature or notification audit trail.</x:v>
      </x:c>
      <x:c r="E44" s="25" t="str">
        <x:v>Partial reporting</x:v>
      </x:c>
      <x:c r="F44" s="25" t="str">
        <x:v>Derived lifecycle events do not provide durable full audit history, exact signature events or notification delivery. Mission Control: Operational context only. Pipeline/job execution is not the business placement, signature or notification audit trail. Historical v1 status: ❌ Missing.</x:v>
      </x:c>
      <x:c r="G44" s="25" t="str">
        <x:v>Confirm event coverage; source durable changes and notification outcomes. Validate the Mission Control measures and page filters against known runs; proposed R-to-operational-measure association requires owner approval.</x:v>
      </x:c>
      <x:c r="H44" s="25" t="str">
        <x:v>❌ Missing</x:v>
      </x:c>
      <x:c r="I44" s="25" t="str">
        <x:v>17 October 2026; 0a65e962ff3a; KPI_CALCULATION_TRACEABILITY.md</x:v>
      </x:c>
    </x:row>
    <x:row r="45" ht="72" customHeight="1">
      <x:c r="A45" s="25" t="str">
        <x:v>R21</x:v>
      </x:c>
      <x:c r="B45" s="25" t="str">
        <x:v>Auto-notify unsuccessful providers; optional rejection feedback</x:v>
      </x:c>
      <x:c r="C45" s="25" t="str">
        <x:v>Functional Specification; source portal workflow</x:v>
      </x:c>
      <x:c r="D45" s="25" t="str">
        <x:v>No requirement-specific Mission Control delivery asserted.</x:v>
      </x:c>
      <x:c r="E45" s="25" t="str">
        <x:v>Outside report assessment</x:v>
      </x:c>
      <x:c r="F45" s="25" t="str">
        <x:v>Read-only reporting cannot implement notifications, matching, upload, record editing or operational visibility rules. Historical v1 status: ℹ️ Feature.</x:v>
      </x:c>
      <x:c r="G45" s="25" t="str">
        <x:v>Obtain source-system workflow acceptance separately.</x:v>
      </x:c>
      <x:c r="H45" s="25" t="str">
        <x:v>ℹ️ Feature</x:v>
      </x:c>
      <x:c r="I45" s="25" t="str">
        <x:v>17 October 2026; 0a65e962ff3a; KPI_CALCULATION_TRACEABILITY.md</x:v>
      </x:c>
    </x:row>
    <x:row r="46" ht="98" customHeight="1">
      <x:c r="A46" s="25" t="str">
        <x:v>R22</x:v>
      </x:c>
      <x:c r="B46" s="25" t="str">
        <x:v>Out-of-region placements tagged; finance informed</x:v>
      </x:c>
      <x:c r="C46" s="25" t="str">
        <x:v>Referral map; Offer Locations</x:v>
      </x:c>
      <x:c r="D46" s="25" t="str">
        <x:v>No requirement-specific Mission Control delivery asserted.</x:v>
      </x:c>
      <x:c r="E46" s="25" t="str">
        <x:v>Open data gap</x:v>
      </x:c>
      <x:c r="F46" s="25" t="str">
        <x:v>Provider/home postcode and preferred-city distance are not referral-origin or placement-region evidence. Multiple provider assignments is not out-of-region placement. Historical v1 status: ❌ Missing.</x:v>
      </x:c>
      <x:c r="G46" s="25" t="str">
        <x:v>Obtain governed origin/destination region and an approved out-of-region rule.</x:v>
      </x:c>
      <x:c r="H46" s="25" t="str">
        <x:v>❌ Missing</x:v>
      </x:c>
      <x:c r="I46" s="25" t="str">
        <x:v>17 October 2026; 0a65e962ff3a; KPI_CALCULATION_TRACEABILITY.md</x:v>
      </x:c>
    </x:row>
    <x:row r="47" ht="98" customHeight="1">
      <x:c r="A47" s="25" t="str">
        <x:v>R24</x:v>
      </x:c>
      <x:c r="B47" s="25" t="str">
        <x:v>Dashboard: status overview, provider updates, task mgmt, quick updates</x:v>
      </x:c>
      <x:c r="C47" s="25" t="str">
        <x:v>Referrals; Referral Explorer; stage filters; Referral Detail</x:v>
      </x:c>
      <x:c r="D47" s="25" t="str">
        <x:v>No requirement-specific Mission Control delivery asserted.</x:v>
      </x:c>
      <x:c r="E47" s="25" t="str">
        <x:v>Partial reporting</x:v>
      </x:c>
      <x:c r="F47" s="25" t="str">
        <x:v>Status, engagement and journey reporting are built. Task management and quick updates are portal functions; newest journey rendering/clicks remain unverified. Historical v1 status: ✅ Implemented.</x:v>
      </x:c>
      <x:c r="G47" s="25" t="str">
        <x:v>Refresh WIP; test stage selectors, filters and drillthrough; review portal tasks separately.</x:v>
      </x:c>
      <x:c r="H47" s="25" t="str">
        <x:v>✅ Implemented</x:v>
      </x:c>
      <x:c r="I47" s="25" t="str">
        <x:v>17 October 2026; 0a65e962ff3a; KPI_CALCULATION_TRACEABILITY.md</x:v>
      </x:c>
    </x:row>
    <x:row r="48" ht="72" customHeight="1">
      <x:c r="A48" s="25" t="str">
        <x:v>R25</x:v>
      </x:c>
      <x:c r="B48" s="25" t="str">
        <x:v>Quickly review detailed placement requests</x:v>
      </x:c>
      <x:c r="C48" s="25" t="str">
        <x:v>Referral Explorer; Referral Detail (Drillthrough)</x:v>
      </x:c>
      <x:c r="D48" s="25" t="str">
        <x:v>No requirement-specific Mission Control delivery asserted.</x:v>
      </x:c>
      <x:c r="E48" s="25" t="str">
        <x:v>Partial reporting</x:v>
      </x:c>
      <x:c r="F48" s="25" t="str">
        <x:v>Read-only detail and journey evidence exist. Immediate portal availability or write workflows are not proven. Historical v1 status: ✅ Implemented.</x:v>
      </x:c>
      <x:c r="G48" s="25" t="str">
        <x:v>Test referral drillthrough with known records and confirm portal workflow.</x:v>
      </x:c>
      <x:c r="H48" s="25" t="str">
        <x:v>✅ Implemented</x:v>
      </x:c>
      <x:c r="I48" s="25" t="str">
        <x:v>17 October 2026; 0a65e962ff3a; KPI_CALCULATION_TRACEABILITY.md</x:v>
      </x:c>
    </x:row>
    <x:row r="49" ht="72" customHeight="1">
      <x:c r="A49" s="25" t="str">
        <x:v>R26</x:v>
      </x:c>
      <x:c r="B49" s="25" t="str">
        <x:v>Prioritise by match suitability, SOP, existing placements</x:v>
      </x:c>
      <x:c r="C49" s="25" t="str">
        <x:v>Provider Explorer; provider journey; home/category bridge</x:v>
      </x:c>
      <x:c r="D49" s="25" t="str">
        <x:v>No requirement-specific Mission Control delivery asserted.</x:v>
      </x:c>
      <x:c r="E49" s="25" t="str">
        <x:v>Partial reporting</x:v>
      </x:c>
      <x:c r="F49" s="25" t="str">
        <x:v>Provider and offer analysis exists; no approved suitability score or automatic matching algorithm is implemented. Historical v1 status: ✅ Implemented.</x:v>
      </x:c>
      <x:c r="G49" s="25" t="str">
        <x:v>Validate provider cohort attribution and agree any scoring policy.</x:v>
      </x:c>
      <x:c r="H49" s="25" t="str">
        <x:v>✅ Implemented</x:v>
      </x:c>
      <x:c r="I49" s="25" t="str">
        <x:v>17 October 2026; 0a65e962ff3a; KPI_CALCULATION_TRACEABILITY.md</x:v>
      </x:c>
    </x:row>
    <x:row r="50" ht="85" customHeight="1">
      <x:c r="A50" s="25" t="str">
        <x:v>R27</x:v>
      </x:c>
      <x:c r="B50" s="25" t="str">
        <x:v>Request additional info, raise queries, see responses</x:v>
      </x:c>
      <x:c r="C50" s="25" t="str">
        <x:v>dim_referral_provider_message; lifecycle activity; detail message tables</x:v>
      </x:c>
      <x:c r="D50" s="25" t="str">
        <x:v>No requirement-specific Mission Control delivery asserted.</x:v>
      </x:c>
      <x:c r="E50" s="25" t="str">
        <x:v>Partial reporting</x:v>
      </x:c>
      <x:c r="F50" s="25" t="str">
        <x:v>Message text and read timestamps are available. Provider authorship, paired response time and unread-priority semantics remain unapproved. Historical v1 status: ℹ️ Feature.</x:v>
      </x:c>
      <x:c r="G50" s="25" t="str">
        <x:v>Approve author and unread rules before message SLA KPIs.</x:v>
      </x:c>
      <x:c r="H50" s="25" t="str">
        <x:v>ℹ️ Feature</x:v>
      </x:c>
      <x:c r="I50" s="25" t="str">
        <x:v>17 October 2026; 0a65e962ff3a; KPI_CALCULATION_TRACEABILITY.md</x:v>
      </x:c>
    </x:row>
    <x:row r="51" ht="72" customHeight="1">
      <x:c r="A51" s="25" t="str">
        <x:v>R28</x:v>
      </x:c>
      <x:c r="B51" s="25" t="str">
        <x:v>Accept / reject / request further info</x:v>
      </x:c>
      <x:c r="C51" s="25" t="str">
        <x:v>Offers Overview; Accepted Offers; Provider Detail</x:v>
      </x:c>
      <x:c r="D51" s="25" t="str">
        <x:v>No requirement-specific Mission Control delivery asserted.</x:v>
      </x:c>
      <x:c r="E51" s="25" t="str">
        <x:v>Partial reporting</x:v>
      </x:c>
      <x:c r="F51" s="25" t="str">
        <x:v>Offer decisions are reportable. Accept/reject/request-information actions are not performed by Power BI. Historical v1 status: ✅ Implemented.</x:v>
      </x:c>
      <x:c r="G51" s="25" t="str">
        <x:v>Reconcile offer statuses and test the source workflow.</x:v>
      </x:c>
      <x:c r="H51" s="25" t="str">
        <x:v>✅ Implemented</x:v>
      </x:c>
      <x:c r="I51" s="25" t="str">
        <x:v>17 October 2026; 0a65e962ff3a; KPI_CALCULATION_TRACEABILITY.md</x:v>
      </x:c>
    </x:row>
    <x:row r="52" ht="72" customHeight="1">
      <x:c r="A52" s="25" t="str">
        <x:v>R29</x:v>
      </x:c>
      <x:c r="B52" s="25" t="str">
        <x:v>Streamlined offer process</x:v>
      </x:c>
      <x:c r="C52" s="25" t="str">
        <x:v>Functional Specification; source portal workflow</x:v>
      </x:c>
      <x:c r="D52" s="25" t="str">
        <x:v>No requirement-specific Mission Control delivery asserted.</x:v>
      </x:c>
      <x:c r="E52" s="25" t="str">
        <x:v>Outside report assessment</x:v>
      </x:c>
      <x:c r="F52" s="25" t="str">
        <x:v>Read-only reporting cannot implement notifications, matching, upload, record editing or operational visibility rules. Historical v1 status: ℹ️ Feature.</x:v>
      </x:c>
      <x:c r="G52" s="25" t="str">
        <x:v>Obtain source-system workflow acceptance separately.</x:v>
      </x:c>
      <x:c r="H52" s="25" t="str">
        <x:v>ℹ️ Feature</x:v>
      </x:c>
      <x:c r="I52" s="25" t="str">
        <x:v>17 October 2026; 0a65e962ff3a; KPI_CALCULATION_TRACEABILITY.md</x:v>
      </x:c>
    </x:row>
    <x:row r="53" ht="72" customHeight="1">
      <x:c r="A53" s="25" t="str">
        <x:v>R31</x:v>
      </x:c>
      <x:c r="B53" s="25" t="str">
        <x:v>Resolved requests auto-removed from provider views</x:v>
      </x:c>
      <x:c r="C53" s="25" t="str">
        <x:v>Functional Specification; source portal workflow</x:v>
      </x:c>
      <x:c r="D53" s="25" t="str">
        <x:v>No requirement-specific Mission Control delivery asserted.</x:v>
      </x:c>
      <x:c r="E53" s="25" t="str">
        <x:v>Outside report assessment</x:v>
      </x:c>
      <x:c r="F53" s="25" t="str">
        <x:v>Read-only reporting cannot implement notifications, matching, upload, record editing or operational visibility rules. Historical v1 status: ❌ Missing.</x:v>
      </x:c>
      <x:c r="G53" s="25" t="str">
        <x:v>Obtain source-system workflow acceptance separately.</x:v>
      </x:c>
      <x:c r="H53" s="25" t="str">
        <x:v>❌ Missing</x:v>
      </x:c>
      <x:c r="I53" s="25" t="str">
        <x:v>17 October 2026; 0a65e962ff3a; KPI_CALCULATION_TRACEABILITY.md</x:v>
      </x:c>
    </x:row>
    <x:row r="54" ht="72" customHeight="1">
      <x:c r="A54" s="25" t="str">
        <x:v>R32</x:v>
      </x:c>
      <x:c r="B54" s="25" t="str">
        <x:v>Matching by SOP and care specialisms</x:v>
      </x:c>
      <x:c r="C54" s="25" t="str">
        <x:v>Functional Specification; source portal workflow</x:v>
      </x:c>
      <x:c r="D54" s="25" t="str">
        <x:v>No requirement-specific Mission Control delivery asserted.</x:v>
      </x:c>
      <x:c r="E54" s="25" t="str">
        <x:v>Outside report assessment</x:v>
      </x:c>
      <x:c r="F54" s="25" t="str">
        <x:v>Read-only reporting cannot implement notifications, matching, upload, record editing or operational visibility rules. Historical v1 status: ℹ️ Feature.</x:v>
      </x:c>
      <x:c r="G54" s="25" t="str">
        <x:v>Obtain source-system workflow acceptance separately.</x:v>
      </x:c>
      <x:c r="H54" s="25" t="str">
        <x:v>ℹ️ Feature</x:v>
      </x:c>
      <x:c r="I54" s="25" t="str">
        <x:v>17 October 2026; 0a65e962ff3a; KPI_CALCULATION_TRACEABILITY.md</x:v>
      </x:c>
    </x:row>
    <x:row r="55" ht="72" customHeight="1">
      <x:c r="A55" s="25" t="str">
        <x:v>R33</x:v>
      </x:c>
      <x:c r="B55" s="25" t="str">
        <x:v>Upload and manage placement documentation</x:v>
      </x:c>
      <x:c r="C55" s="25" t="str">
        <x:v>Functional Specification; source portal workflow</x:v>
      </x:c>
      <x:c r="D55" s="25" t="str">
        <x:v>No requirement-specific Mission Control delivery asserted.</x:v>
      </x:c>
      <x:c r="E55" s="25" t="str">
        <x:v>Outside report assessment</x:v>
      </x:c>
      <x:c r="F55" s="25" t="str">
        <x:v>Read-only reporting cannot implement notifications, matching, upload, record editing or operational visibility rules. Historical v1 status: ℹ️ Feature.</x:v>
      </x:c>
      <x:c r="G55" s="25" t="str">
        <x:v>Obtain source-system workflow acceptance separately.</x:v>
      </x:c>
      <x:c r="H55" s="25" t="str">
        <x:v>ℹ️ Feature</x:v>
      </x:c>
      <x:c r="I55" s="25" t="str">
        <x:v>17 October 2026; 0a65e962ff3a; KPI_CALCULATION_TRACEABILITY.md</x:v>
      </x:c>
    </x:row>
    <x:row r="56" ht="85" customHeight="1">
      <x:c r="A56" s="25" t="str">
        <x:v>R34</x:v>
      </x:c>
      <x:c r="B56" s="25" t="str">
        <x:v>Emergency referrals identifiable and prioritised</x:v>
      </x:c>
      <x:c r="C56" s="25" t="str">
        <x:v>Emergency Referrals; Planned Referrals; Emergency Placement Rate</x:v>
      </x:c>
      <x:c r="D56" s="25" t="str">
        <x:v>No requirement-specific Mission Control delivery asserted.</x:v>
      </x:c>
      <x:c r="E56" s="25" t="str">
        <x:v>Partial reporting</x:v>
      </x:c>
      <x:c r="F56" s="25" t="str">
        <x:v>Emergency uses the Gold same-day-date rule on OPEN/UNDER_OFFER referrals, not a statutory emergency source classification or spot status. Historical v1 status: ❌ Missing.</x:v>
      </x:c>
      <x:c r="G56" s="25" t="str">
        <x:v>Approve emergency definition and finance categorisation; test missing and reversed dates.</x:v>
      </x:c>
      <x:c r="H56" s="25" t="str">
        <x:v>❌ Missing</x:v>
      </x:c>
      <x:c r="I56" s="25" t="str">
        <x:v>17 October 2026; 0a65e962ff3a; KPI_CALCULATION_TRACEABILITY.md</x:v>
      </x:c>
    </x:row>
    <x:row r="57" ht="72" customHeight="1">
      <x:c r="A57" s="25" t="str">
        <x:v>R35</x:v>
      </x:c>
      <x:c r="B57" s="25" t="str">
        <x:v>Digitised IPA (review, approvals, signing, audit)</x:v>
      </x:c>
      <x:c r="C57" s="25" t="str">
        <x:v>fact_ipa; IPA Completed; IPAs Pending Completion; signature flags</x:v>
      </x:c>
      <x:c r="D57" s="25" t="str">
        <x:v>No requirement-specific Mission Control delivery asserted.</x:v>
      </x:c>
      <x:c r="E57" s="25" t="str">
        <x:v>Partial reporting</x:v>
      </x:c>
      <x:c r="F57" s="25" t="str">
        <x:v>IPA-grain signing is implemented; the report does not perform signing, approval or certify a full audit trail. Historical v1 status: ✅ Implemented.</x:v>
      </x:c>
      <x:c r="G57" s="25" t="str">
        <x:v>Reconcile both signatures on the same IPA, closed unsigned IPAs and multiple IPAs per offer.</x:v>
      </x:c>
      <x:c r="H57" s="25" t="str">
        <x:v>✅ Implemented</x:v>
      </x:c>
      <x:c r="I57" s="25" t="str">
        <x:v>17 October 2026; 0a65e962ff3a; KPI_CALCULATION_TRACEABILITY.md</x:v>
      </x:c>
    </x:row>
    <x:row r="58" ht="72" customHeight="1">
      <x:c r="A58" s="25" t="str">
        <x:v>R36</x:v>
      </x:c>
      <x:c r="B58" s="25" t="str">
        <x:v>Dedicated view: referrals with outstanding offers / open offers</x:v>
      </x:c>
      <x:c r="C58" s="25" t="str">
        <x:v>Provider Explorer; offer/status tables; Pending Offers</x:v>
      </x:c>
      <x:c r="D58" s="25" t="str">
        <x:v>No requirement-specific Mission Control delivery asserted.</x:v>
      </x:c>
      <x:c r="E58" s="25" t="str">
        <x:v>Built; UAT pending</x:v>
      </x:c>
      <x:c r="F58" s="25" t="str">
        <x:v>Pending/open offer views and provider filters are built; runtime reconciliation remains outstanding. Historical v1 status: ✅ Implemented.</x:v>
      </x:c>
      <x:c r="G58" s="25" t="str">
        <x:v>Check provider, home and status filters against known offers.</x:v>
      </x:c>
      <x:c r="H58" s="25" t="str">
        <x:v>✅ Implemented</x:v>
      </x:c>
      <x:c r="I58" s="25" t="str">
        <x:v>17 October 2026; 0a65e962ff3a; KPI_CALCULATION_TRACEABILITY.md</x:v>
      </x:c>
    </x:row>
    <x:row r="59" ht="72" customHeight="1">
      <x:c r="A59" s="25" t="str">
        <x:v>R38</x:v>
      </x:c>
      <x:c r="B59" s="25" t="str">
        <x:v>Record QA assessment outcomes against providers</x:v>
      </x:c>
      <x:c r="C59" s="25" t="str">
        <x:v>Functional Specification; source portal workflow</x:v>
      </x:c>
      <x:c r="D59" s="25" t="str">
        <x:v>No requirement-specific Mission Control delivery asserted.</x:v>
      </x:c>
      <x:c r="E59" s="25" t="str">
        <x:v>Outside report assessment</x:v>
      </x:c>
      <x:c r="F59" s="25" t="str">
        <x:v>Read-only reporting cannot implement notifications, matching, upload, record editing or operational visibility rules. Historical v1 status: ℹ️ Data entry.</x:v>
      </x:c>
      <x:c r="G59" s="25" t="str">
        <x:v>Obtain source-system workflow acceptance separately.</x:v>
      </x:c>
      <x:c r="H59" s="25" t="str">
        <x:v>ℹ️ Data entry</x:v>
      </x:c>
      <x:c r="I59" s="25" t="str">
        <x:v>17 October 2026; 0a65e962ff3a; KPI_CALCULATION_TRACEABILITY.md</x:v>
      </x:c>
    </x:row>
    <x:row r="60" ht="72" customHeight="1">
      <x:c r="A60" s="25" t="str">
        <x:v>R39</x:v>
      </x:c>
      <x:c r="B60" s="25" t="str">
        <x:v>Desk-based research; identify missing documentation</x:v>
      </x:c>
      <x:c r="C60" s="25" t="str">
        <x:v>Functional Specification; source portal workflow</x:v>
      </x:c>
      <x:c r="D60" s="25" t="str">
        <x:v>No requirement-specific Mission Control delivery asserted.</x:v>
      </x:c>
      <x:c r="E60" s="25" t="str">
        <x:v>Outside report assessment</x:v>
      </x:c>
      <x:c r="F60" s="25" t="str">
        <x:v>Read-only reporting cannot implement notifications, matching, upload, record editing or operational visibility rules. Historical v1 status: ℹ️ Feature.</x:v>
      </x:c>
      <x:c r="G60" s="25" t="str">
        <x:v>Obtain source-system workflow acceptance separately.</x:v>
      </x:c>
      <x:c r="H60" s="25" t="str">
        <x:v>ℹ️ Feature</x:v>
      </x:c>
      <x:c r="I60" s="25" t="str">
        <x:v>17 October 2026; 0a65e962ff3a; KPI_CALCULATION_TRACEABILITY.md</x:v>
      </x:c>
    </x:row>
    <x:row r="61" ht="72" customHeight="1">
      <x:c r="A61" s="25" t="str">
        <x:v>R41</x:v>
      </x:c>
      <x:c r="B61" s="25" t="str">
        <x:v>Apply advisory notices and flags (information notices, safeguarding)</x:v>
      </x:c>
      <x:c r="C61" s="25" t="str">
        <x:v>Providers With QA Flags; QA Flagged Homes; provider detail</x:v>
      </x:c>
      <x:c r="D61" s="25" t="str">
        <x:v>No requirement-specific Mission Control delivery asserted.</x:v>
      </x:c>
      <x:c r="E61" s="25" t="str">
        <x:v>Partial reporting</x:v>
      </x:c>
      <x:c r="F61" s="25" t="str">
        <x:v>Current flags are reportable. Historical flag types and application/removal workflow are not proven. Historical v1 status: ❌ Missing.</x:v>
      </x:c>
      <x:c r="G61" s="25" t="str">
        <x:v>Confirm flag scope and obtain historical classification and portal evidence.</x:v>
      </x:c>
      <x:c r="H61" s="25" t="str">
        <x:v>❌ Missing</x:v>
      </x:c>
      <x:c r="I61" s="25" t="str">
        <x:v>17 October 2026; 0a65e962ff3a; KPI_CALCULATION_TRACEABILITY.md</x:v>
      </x:c>
    </x:row>
    <x:row r="62" ht="72" customHeight="1">
      <x:c r="A62" s="25" t="str">
        <x:v>R45</x:v>
      </x:c>
      <x:c r="B62" s="25" t="str">
        <x:v>SPOT providers upload registration documentation</x:v>
      </x:c>
      <x:c r="C62" s="25" t="str">
        <x:v>Functional Specification; source portal workflow</x:v>
      </x:c>
      <x:c r="D62" s="25" t="str">
        <x:v>No requirement-specific Mission Control delivery asserted.</x:v>
      </x:c>
      <x:c r="E62" s="25" t="str">
        <x:v>Outside report assessment</x:v>
      </x:c>
      <x:c r="F62" s="25" t="str">
        <x:v>Read-only reporting cannot implement notifications, matching, upload, record editing or operational visibility rules. Historical v1 status: ℹ️ Feature.</x:v>
      </x:c>
      <x:c r="G62" s="25" t="str">
        <x:v>Obtain source-system workflow acceptance separately.</x:v>
      </x:c>
      <x:c r="H62" s="25" t="str">
        <x:v>ℹ️ Feature</x:v>
      </x:c>
      <x:c r="I62" s="25" t="str">
        <x:v>17 October 2026; 0a65e962ff3a; KPI_CALCULATION_TRACEABILITY.md</x:v>
      </x:c>
    </x:row>
    <x:row r="63" ht="72" customHeight="1">
      <x:c r="A63" s="25" t="str">
        <x:v>R46</x:v>
      </x:c>
      <x:c r="B63" s="25" t="str">
        <x:v>QA intelligence for non-framework providers shared appropriately</x:v>
      </x:c>
      <x:c r="C63" s="25" t="str">
        <x:v>Non-Framework Providers; Provider Explorer; provider detail</x:v>
      </x:c>
      <x:c r="D63" s="25" t="str">
        <x:v>No requirement-specific Mission Control delivery asserted.</x:v>
      </x:c>
      <x:c r="E63" s="25" t="str">
        <x:v>Partial reporting</x:v>
      </x:c>
      <x:c r="F63" s="25" t="str">
        <x:v>Non-framework visibility exists; cross-organisation QA sharing requires role and disclosure acceptance. Historical v1 status: ✅ Implemented.</x:v>
      </x:c>
      <x:c r="G63" s="25" t="str">
        <x:v>Test provider scope and authorised sharing.</x:v>
      </x:c>
      <x:c r="H63" s="25" t="str">
        <x:v>✅ Implemented</x:v>
      </x:c>
      <x:c r="I63" s="25" t="str">
        <x:v>17 October 2026; 0a65e962ff3a; KPI_CALCULATION_TRACEABILITY.md</x:v>
      </x:c>
    </x:row>
    <x:row r="64" ht="72" customHeight="1">
      <x:c r="A64" s="25" t="str">
        <x:v>R47</x:v>
      </x:c>
      <x:c r="B64" s="25" t="str">
        <x:v>Monitor documentation expiry; send reminders; highlight missing</x:v>
      </x:c>
      <x:c r="C64" s="25" t="str">
        <x:v>Documents Expiring Next 30 Days; Documents Expired</x:v>
      </x:c>
      <x:c r="D64" s="25" t="str">
        <x:v>No requirement-specific Mission Control delivery asserted.</x:v>
      </x:c>
      <x:c r="E64" s="25" t="str">
        <x:v>Partial reporting</x:v>
      </x:c>
      <x:c r="F64" s="25" t="str">
        <x:v>Document dates support monitoring, not reminder delivery or missing-required-document detection. Historical v1 status: ❌ Missing.</x:v>
      </x:c>
      <x:c r="G64" s="25" t="str">
        <x:v>Validate document dates and obtain reminder and expected-document rules.</x:v>
      </x:c>
      <x:c r="H64" s="25" t="str">
        <x:v>❌ Missing</x:v>
      </x:c>
      <x:c r="I64" s="25" t="str">
        <x:v>17 October 2026; 0a65e962ff3a; KPI_CALCULATION_TRACEABILITY.md</x:v>
      </x:c>
    </x:row>
    <x:row r="65" ht="72" customHeight="1">
      <x:c r="A65" s="25" t="str">
        <x:v>R48</x:v>
      </x:c>
      <x:c r="B65" s="25" t="str">
        <x:v>Providers with incomplete docs excluded from referrals</x:v>
      </x:c>
      <x:c r="C65" s="25" t="str">
        <x:v>dim_provider_submission_document</x:v>
      </x:c>
      <x:c r="D65" s="25" t="str">
        <x:v>No requirement-specific Mission Control delivery asserted.</x:v>
      </x:c>
      <x:c r="E65" s="25" t="str">
        <x:v>Open data gap</x:v>
      </x:c>
      <x:c r="F65" s="25" t="str">
        <x:v>No governed expected-document denominator or blocked-provider decision exists. Expiry alone cannot prove compliance. Historical v1 status: ❌ Missing.</x:v>
      </x:c>
      <x:c r="G65" s="25" t="str">
        <x:v>Supply policy and decision outcomes.</x:v>
      </x:c>
      <x:c r="H65" s="25" t="str">
        <x:v>❌ Missing</x:v>
      </x:c>
      <x:c r="I65" s="25" t="str">
        <x:v>17 October 2026; 0a65e962ff3a; KPI_CALCULATION_TRACEABILITY.md</x:v>
      </x:c>
    </x:row>
    <x:row r="66" ht="85" customHeight="1">
      <x:c r="A66" s="25" t="str">
        <x:v>R49</x:v>
      </x:c>
      <x:c r="B66" s="25" t="str">
        <x:v>Easily identify provider due diligence status</x:v>
      </x:c>
      <x:c r="C66" s="25" t="str">
        <x:v>Providers Pending Onboarding; Providers Approved; Provider Onboarding Success Rate</x:v>
      </x:c>
      <x:c r="D66" s="25" t="str">
        <x:v>No requirement-specific Mission Control delivery asserted.</x:v>
      </x:c>
      <x:c r="E66" s="25" t="str">
        <x:v>Partial reporting</x:v>
      </x:c>
      <x:c r="F66" s="25" t="str">
        <x:v>Current provider approval state is reportable; it does not certify due diligence, bulk-job success or registration workflow. Historical v1 status: ❌ Missing.</x:v>
      </x:c>
      <x:c r="G66" s="25" t="str">
        <x:v>Approve proxy label and obtain workflow/compliance evidence.</x:v>
      </x:c>
      <x:c r="H66" s="25" t="str">
        <x:v>❌ Missing</x:v>
      </x:c>
      <x:c r="I66" s="25" t="str">
        <x:v>17 October 2026; 0a65e962ff3a; KPI_CALCULATION_TRACEABILITY.md</x:v>
      </x:c>
    </x:row>
    <x:row r="67" ht="72" customHeight="1">
      <x:c r="A67" s="25" t="str">
        <x:v>R51</x:v>
      </x:c>
      <x:c r="B67" s="25" t="str">
        <x:v>Robust data model: placement records, market intelligence, value analysis</x:v>
      </x:c>
      <x:c r="C67" s="25" t="str">
        <x:v>58-table WIP model; 366 measures; Overall Performance; explorers; snapshots</x:v>
      </x:c>
      <x:c r="D67" s="25" t="str">
        <x:v>No requirement-specific Mission Control delivery asserted.</x:v>
      </x:c>
      <x:c r="E67" s="25" t="str">
        <x:v>Built; UAT pending</x:v>
      </x:c>
      <x:c r="F67" s="25" t="str">
        <x:v>Saved-file definitions exist. Full refreshed DAX reconciliation, data completeness and business acceptance remain open. Historical v1 status: ✅ Implemented.</x:v>
      </x:c>
      <x:c r="G67" s="25" t="str">
        <x:v>Run refresh, data-quality, cohort, snapshot and role reconciliation before release.</x:v>
      </x:c>
      <x:c r="H67" s="25" t="str">
        <x:v>✅ Implemented</x:v>
      </x:c>
      <x:c r="I67" s="25" t="str">
        <x:v>17 October 2026; 0a65e962ff3a; KPI_CALCULATION_TRACEABILITY.md</x:v>
      </x:c>
    </x:row>
    <x:row r="68" ht="72" customHeight="1">
      <x:c r="A68" s="25" t="str">
        <x:v>R52</x:v>
      </x:c>
      <x:c r="B68" s="25" t="str">
        <x:v>Accurate and customisable reporting</x:v>
      </x:c>
      <x:c r="C68" s="25" t="str">
        <x:v>58-table WIP model; 366 measures; Overall Performance; explorers; snapshots</x:v>
      </x:c>
      <x:c r="D68" s="25" t="str">
        <x:v>No requirement-specific Mission Control delivery asserted.</x:v>
      </x:c>
      <x:c r="E68" s="25" t="str">
        <x:v>Built; UAT pending</x:v>
      </x:c>
      <x:c r="F68" s="25" t="str">
        <x:v>Saved-file definitions exist. Full refreshed DAX reconciliation, data completeness and business acceptance remain open. Historical v1 status: ✅ Implemented.</x:v>
      </x:c>
      <x:c r="G68" s="25" t="str">
        <x:v>Run refresh, data-quality, cohort, snapshot and role reconciliation before release.</x:v>
      </x:c>
      <x:c r="H68" s="25" t="str">
        <x:v>✅ Implemented</x:v>
      </x:c>
      <x:c r="I68" s="25" t="str">
        <x:v>17 October 2026; 0a65e962ff3a; KPI_CALCULATION_TRACEABILITY.md</x:v>
      </x:c>
    </x:row>
    <x:row r="69" ht="150" customHeight="1">
      <x:c r="A69" s="25" t="str">
        <x:v>R53</x:v>
      </x:c>
      <x:c r="B69" s="25" t="str">
        <x:v>Data consistent, exportable, supports bespoke analysis</x:v>
      </x:c>
      <x:c r="C69" s="25" t="str">
        <x:v>58-table WIP model; 366 measures; Overall Performance; explorers; snapshots</x:v>
      </x:c>
      <x:c r="D69" s="25" t="str">
        <x:v>Partial operational support: DQ results, rejected keys, lineage and load metrics support consistency; export rights and reconciliation still need acceptance.</x:v>
      </x:c>
      <x:c r="E69" s="25" t="str">
        <x:v>Built; UAT pending</x:v>
      </x:c>
      <x:c r="F69" s="25" t="str">
        <x:v>Saved-file definitions exist. Full refreshed DAX reconciliation, data completeness and business acceptance remain open. Mission Control: Partial operational support. DQ results, rejected keys, lineage and load metrics support consistency; export rights and reconciliation still need acceptance. Historical v1 status: ✅ Implemented.</x:v>
      </x:c>
      <x:c r="G69" s="25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H69" s="25" t="str">
        <x:v>✅ Implemented</x:v>
      </x:c>
      <x:c r="I69" s="25" t="str">
        <x:v>17 October 2026; 0a65e962ff3a; KPI_CALCULATION_TRACEABILITY.md</x:v>
      </x:c>
    </x:row>
    <x:row r="70" ht="85" customHeight="1">
      <x:c r="A70" s="25" t="str">
        <x:v>R54</x:v>
      </x:c>
      <x:c r="B70" s="25" t="str">
        <x:v>Capture reasons for declined placements</x:v>
      </x:c>
      <x:c r="C70" s="25" t="str">
        <x:v>dim_referral_provider_reject_reason; fact_offer[rejection_reason]; Provider Declines</x:v>
      </x:c>
      <x:c r="D70" s="25" t="str">
        <x:v>No requirement-specific Mission Control delivery asserted.</x:v>
      </x:c>
      <x:c r="E70" s="25" t="str">
        <x:v>Partial reporting</x:v>
      </x:c>
      <x:c r="F70" s="25" t="str">
        <x:v>Current assignment-level decline/cancellation reasons are present. Complete immutable reason history and business attribution are not established. Historical v1 status: ⚠️ Partial.</x:v>
      </x:c>
      <x:c r="G70" s="25" t="str">
        <x:v>Validate reason completeness, joins and historical coverage; agree classifications.</x:v>
      </x:c>
      <x:c r="H70" s="25" t="str">
        <x:v>⚠️ Partial</x:v>
      </x:c>
      <x:c r="I70" s="25" t="str">
        <x:v>17 October 2026; 0a65e962ff3a; KPI_CALCULATION_TRACEABILITY.md</x:v>
      </x:c>
    </x:row>
    <x:row r="71" ht="85" customHeight="1">
      <x:c r="A71" s="25" t="str">
        <x:v>R55</x:v>
      </x:c>
      <x:c r="B71" s="25" t="str">
        <x:v>RBAC: commissioners access regional data, market-wide trends</x:v>
      </x:c>
      <x:c r="C71" s="25" t="str">
        <x:v>WMPP Dynamic Detail RLS; security mappings; global summary</x:v>
      </x:c>
      <x:c r="D71" s="25" t="str">
        <x:v>No requirement-specific Mission Control delivery asserted.</x:v>
      </x:c>
      <x:c r="E71" s="25" t="str">
        <x:v>Security acceptance pending</x:v>
      </x:c>
      <x:c r="F71" s="25" t="str">
        <x:v>Role definitions exist, but authorised identity tests, access provisioning, small-cell disclosure and break-glass controls are not signed off. Historical v1 status: ℹ️ Security.</x:v>
      </x:c>
      <x:c r="G71" s="25" t="str">
        <x:v>Approve mappings and disclosure policy; execute role and Service-access tests.</x:v>
      </x:c>
      <x:c r="H71" s="25" t="str">
        <x:v>ℹ️ Security</x:v>
      </x:c>
      <x:c r="I71" s="25" t="str">
        <x:v>17 October 2026; 0a65e962ff3a; KPI_CALCULATION_TRACEABILITY.md</x:v>
      </x:c>
    </x:row>
    <x:row r="72" ht="85" customHeight="1">
      <x:c r="A72" s="25" t="str">
        <x:v>R57</x:v>
      </x:c>
      <x:c r="B72" s="25" t="str">
        <x:v>Emergency and planned placements separately reportable</x:v>
      </x:c>
      <x:c r="C72" s="25" t="str">
        <x:v>Emergency Referrals; Planned Referrals; Emergency Placement Rate</x:v>
      </x:c>
      <x:c r="D72" s="25" t="str">
        <x:v>No requirement-specific Mission Control delivery asserted.</x:v>
      </x:c>
      <x:c r="E72" s="25" t="str">
        <x:v>Partial reporting</x:v>
      </x:c>
      <x:c r="F72" s="25" t="str">
        <x:v>Emergency uses the Gold same-day-date rule on OPEN/UNDER_OFFER referrals, not a statutory emergency source classification or spot status. Historical v1 status: ❌ Missing.</x:v>
      </x:c>
      <x:c r="G72" s="25" t="str">
        <x:v>Approve emergency definition and finance categorisation; test missing and reversed dates.</x:v>
      </x:c>
      <x:c r="H72" s="25" t="str">
        <x:v>❌ Missing</x:v>
      </x:c>
      <x:c r="I72" s="25" t="str">
        <x:v>17 October 2026; 0a65e962ff3a; KPI_CALCULATION_TRACEABILITY.md</x:v>
      </x:c>
    </x:row>
    <x:row r="73" ht="72" customHeight="1">
      <x:c r="A73" s="25" t="str">
        <x:v>R58</x:v>
      </x:c>
      <x:c r="B73" s="25" t="str">
        <x:v>Alert when framework changes during active referrals</x:v>
      </x:c>
      <x:c r="C73" s="25" t="str">
        <x:v>Current category bridges only</x:v>
      </x:c>
      <x:c r="D73" s="25" t="str">
        <x:v>No requirement-specific Mission Control delivery asserted.</x:v>
      </x:c>
      <x:c r="E73" s="25" t="str">
        <x:v>Open data gap</x:v>
      </x:c>
      <x:c r="F73" s="25" t="str">
        <x:v>Current category membership does not record framework changes during active referrals or alert delivery. Historical v1 status: ❌ Missing.</x:v>
      </x:c>
      <x:c r="G73" s="25" t="str">
        <x:v>Obtain effective-dated change events and notification evidence.</x:v>
      </x:c>
      <x:c r="H73" s="25" t="str">
        <x:v>❌ Missing</x:v>
      </x:c>
      <x:c r="I73" s="25" t="str">
        <x:v>17 October 2026; 0a65e962ff3a; KPI_CALCULATION_TRACEABILITY.md</x:v>
      </x:c>
    </x:row>
    <x:row r="74" ht="85" customHeight="1">
      <x:c r="A74" s="25" t="str">
        <x:v>R59</x:v>
      </x:c>
      <x:c r="B74" s="25" t="str">
        <x:v>Bulk provider onboarding supported</x:v>
      </x:c>
      <x:c r="C74" s="25" t="str">
        <x:v>Providers Pending Onboarding; Providers Approved; Provider Onboarding Success Rate</x:v>
      </x:c>
      <x:c r="D74" s="25" t="str">
        <x:v>No requirement-specific Mission Control delivery asserted.</x:v>
      </x:c>
      <x:c r="E74" s="25" t="str">
        <x:v>Partial reporting</x:v>
      </x:c>
      <x:c r="F74" s="25" t="str">
        <x:v>Current provider approval state is reportable; it does not certify due diligence, bulk-job success or registration workflow. Historical v1 status: ❌ Missing.</x:v>
      </x:c>
      <x:c r="G74" s="25" t="str">
        <x:v>Approve proxy label and obtain workflow/compliance evidence.</x:v>
      </x:c>
      <x:c r="H74" s="25" t="str">
        <x:v>❌ Missing</x:v>
      </x:c>
      <x:c r="I74" s="25" t="str">
        <x:v>17 October 2026; 0a65e962ff3a; KPI_CALCULATION_TRACEABILITY.md</x:v>
      </x:c>
    </x:row>
    <x:row r="75" ht="98" customHeight="1">
      <x:c r="A75" s="25" t="str">
        <x:v>R62</x:v>
      </x:c>
      <x:c r="B75" s="25" t="str">
        <x:v>View completed placements, access IPAs, extract payment info</x:v>
      </x:c>
      <x:c r="C75" s="25" t="str">
        <x:v>fact_ipa; Estimated Active Weekly Cost; IPA Overview</x:v>
      </x:c>
      <x:c r="D75" s="25" t="str">
        <x:v>No requirement-specific Mission Control delivery asserted.</x:v>
      </x:c>
      <x:c r="E75" s="25" t="str">
        <x:v>Partial reporting</x:v>
      </x:c>
      <x:c r="F75" s="25" t="str">
        <x:v>Weekly and lifetime costs are estimates. Payment method, invoice/payment status and actual spend are absent; lifetime-cost formula needs boundary/filter review. Historical v1 status: ❌ Missing.</x:v>
      </x:c>
      <x:c r="G75" s="25" t="str">
        <x:v>Approve finance definitions and provide payment facts; do not label estimates as spend.</x:v>
      </x:c>
      <x:c r="H75" s="25" t="str">
        <x:v>❌ Missing</x:v>
      </x:c>
      <x:c r="I75" s="25" t="str">
        <x:v>17 October 2026; 0a65e962ff3a; KPI_CALCULATION_TRACEABILITY.md</x:v>
      </x:c>
    </x:row>
    <x:row r="76" ht="85" customHeight="1">
      <x:c r="A76" s="25" t="str">
        <x:v>R67</x:v>
      </x:c>
      <x:c r="B76" s="25" t="str">
        <x:v>Support adding new frameworks</x:v>
      </x:c>
      <x:c r="C76" s="25" t="str">
        <x:v>dim_framework; dim_framework_category; category bridges; service-type views</x:v>
      </x:c>
      <x:c r="D76" s="25" t="str">
        <x:v>No requirement-specific Mission Control delivery asserted.</x:v>
      </x:c>
      <x:c r="E76" s="25" t="str">
        <x:v>Partial reporting</x:v>
      </x:c>
      <x:c r="F76" s="25" t="str">
        <x:v>Current reference/category reporting exists; framework configuration workflows and specific release contents need business verification. Historical v1 status: ✅ Implemented.</x:v>
      </x:c>
      <x:c r="G76" s="25" t="str">
        <x:v>Reconcile framework versions and all categories, then confirm portal configuration.</x:v>
      </x:c>
      <x:c r="H76" s="25" t="str">
        <x:v>✅ Implemented</x:v>
      </x:c>
      <x:c r="I76" s="25" t="str">
        <x:v>17 October 2026; 0a65e962ff3a; KPI_CALCULATION_TRACEABILITY.md</x:v>
      </x:c>
    </x:row>
    <x:row r="77" ht="85" customHeight="1">
      <x:c r="A77" s="25" t="str">
        <x:v>R68</x:v>
      </x:c>
      <x:c r="B77" s="25" t="str">
        <x:v>Frameworks configurable: display, hide, isolate by region</x:v>
      </x:c>
      <x:c r="C77" s="25" t="str">
        <x:v>dim_framework; dim_framework_category; category bridges; service-type views</x:v>
      </x:c>
      <x:c r="D77" s="25" t="str">
        <x:v>No requirement-specific Mission Control delivery asserted.</x:v>
      </x:c>
      <x:c r="E77" s="25" t="str">
        <x:v>Partial reporting</x:v>
      </x:c>
      <x:c r="F77" s="25" t="str">
        <x:v>Current reference/category reporting exists; framework configuration workflows and specific release contents need business verification. Historical v1 status: ✅ Implemented.</x:v>
      </x:c>
      <x:c r="G77" s="25" t="str">
        <x:v>Reconcile framework versions and all categories, then confirm portal configuration.</x:v>
      </x:c>
      <x:c r="H77" s="25" t="str">
        <x:v>✅ Implemented</x:v>
      </x:c>
      <x:c r="I77" s="25" t="str">
        <x:v>17 October 2026; 0a65e962ff3a; KPI_CALCULATION_TRACEABILITY.md</x:v>
      </x:c>
    </x:row>
    <x:row r="78" ht="150" customHeight="1">
      <x:c r="A78" s="25" t="str">
        <x:v>R69</x:v>
      </x:c>
      <x:c r="B78" s="25" t="str">
        <x:v>Robust analytical data model</x:v>
      </x:c>
      <x:c r="C78" s="25" t="str">
        <x:v>58-table WIP model; 366 measures; Overall Performance; explorers; snapshots</x:v>
      </x:c>
      <x:c r="D78" s="25" t="str">
        <x:v>Supporting design evidence: Governed contract/schema and lineage imports support model controls; robustness and performance need runtime tests.</x:v>
      </x:c>
      <x:c r="E78" s="25" t="str">
        <x:v>Built; UAT pending</x:v>
      </x:c>
      <x:c r="F78" s="25" t="str">
        <x:v>Saved-file definitions exist. Full refreshed DAX reconciliation, data completeness and business acceptance remain open. Mission Control: Supporting design evidence. Governed contract/schema and lineage imports support model controls; robustness and performance need runtime tests. Historical v1 status: ℹ️ Non-functional.</x:v>
      </x:c>
      <x:c r="G78" s="25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H78" s="25" t="str">
        <x:v>ℹ️ Non-functional</x:v>
      </x:c>
      <x:c r="I78" s="25" t="str">
        <x:v>17 October 2026; 0a65e962ff3a; KPI_CALCULATION_TRACEABILITY.md</x:v>
      </x:c>
    </x:row>
    <x:row r="79" ht="72" customHeight="1">
      <x:c r="A79" s="25" t="str">
        <x:v>R70</x:v>
      </x:c>
      <x:c r="B79" s="25" t="str">
        <x:v>Auto-save across workflows</x:v>
      </x:c>
      <x:c r="C79" s="25" t="str">
        <x:v>Functional Specification; source portal workflow</x:v>
      </x:c>
      <x:c r="D79" s="25" t="str">
        <x:v>No requirement-specific Mission Control delivery asserted.</x:v>
      </x:c>
      <x:c r="E79" s="25" t="str">
        <x:v>Outside report assessment</x:v>
      </x:c>
      <x:c r="F79" s="25" t="str">
        <x:v>Read-only reporting cannot implement notifications, matching, upload, record editing or operational visibility rules. Historical v1 status: ℹ️ Feature.</x:v>
      </x:c>
      <x:c r="G79" s="25" t="str">
        <x:v>Obtain source-system workflow acceptance separately.</x:v>
      </x:c>
      <x:c r="H79" s="25" t="str">
        <x:v>ℹ️ Feature</x:v>
      </x:c>
      <x:c r="I79" s="25" t="str">
        <x:v>17 October 2026; 0a65e962ff3a; KPI_CALCULATION_TRACEABILITY.md</x:v>
      </x:c>
    </x:row>
    <x:row r="80" ht="72" customHeight="1">
      <x:c r="A80" s="25" t="str">
        <x:v>R71</x:v>
      </x:c>
      <x:c r="B80" s="25" t="str">
        <x:v>Digitised IPA: review, approvals, signing, full audit</x:v>
      </x:c>
      <x:c r="C80" s="25" t="str">
        <x:v>fact_ipa; IPA Completed; IPAs Pending Completion; signature flags</x:v>
      </x:c>
      <x:c r="D80" s="25" t="str">
        <x:v>No requirement-specific Mission Control delivery asserted.</x:v>
      </x:c>
      <x:c r="E80" s="25" t="str">
        <x:v>Partial reporting</x:v>
      </x:c>
      <x:c r="F80" s="25" t="str">
        <x:v>IPA-grain signing is implemented; the report does not perform signing, approval or certify a full audit trail. Historical v1 status: ✅ Implemented.</x:v>
      </x:c>
      <x:c r="G80" s="25" t="str">
        <x:v>Reconcile both signatures on the same IPA, closed unsigned IPAs and multiple IPAs per offer.</x:v>
      </x:c>
      <x:c r="H80" s="25" t="str">
        <x:v>✅ Implemented</x:v>
      </x:c>
      <x:c r="I80" s="25" t="str">
        <x:v>17 October 2026; 0a65e962ff3a; KPI_CALCULATION_TRACEABILITY.md</x:v>
      </x:c>
    </x:row>
    <x:row r="81" ht="72" customHeight="1">
      <x:c r="A81" s="25" t="str">
        <x:v>R72</x:v>
      </x:c>
      <x:c r="B81" s="25" t="str">
        <x:v>Digitise paper processes: workflow, auditable, trackable, lifecycle</x:v>
      </x:c>
      <x:c r="C81" s="25" t="str">
        <x:v>Functional Specification; source portal workflow</x:v>
      </x:c>
      <x:c r="D81" s="25" t="str">
        <x:v>No requirement-specific Mission Control delivery asserted.</x:v>
      </x:c>
      <x:c r="E81" s="25" t="str">
        <x:v>Outside report assessment</x:v>
      </x:c>
      <x:c r="F81" s="25" t="str">
        <x:v>Read-only reporting cannot implement notifications, matching, upload, record editing or operational visibility rules. Historical v1 status: ℹ️ Feature.</x:v>
      </x:c>
      <x:c r="G81" s="25" t="str">
        <x:v>Obtain source-system workflow acceptance separately.</x:v>
      </x:c>
      <x:c r="H81" s="25" t="str">
        <x:v>ℹ️ Feature</x:v>
      </x:c>
      <x:c r="I81" s="25" t="str">
        <x:v>17 October 2026; 0a65e962ff3a; KPI_CALCULATION_TRACEABILITY.md</x:v>
      </x:c>
    </x:row>
    <x:row r="82" ht="59" customHeight="1">
      <x:c r="A82" s="25" t="str">
        <x:v>R73</x:v>
      </x:c>
      <x:c r="B82" s="25" t="str">
        <x:v>Support future enhancements and Agile delivery</x:v>
      </x:c>
      <x:c r="C82" s="25" t="str">
        <x:v>HLD; TFD; Statement of Work</x:v>
      </x:c>
      <x:c r="D82" s="25" t="str">
        <x:v>No requirement-specific Mission Control delivery asserted.</x:v>
      </x:c>
      <x:c r="E82" s="25" t="str">
        <x:v>Outside report assessment</x:v>
      </x:c>
      <x:c r="F82" s="25" t="str">
        <x:v>Design and roadmap evidence is separate from KPI coverage or production acceptance. Historical v1 status: ℹ️ Non-functional.</x:v>
      </x:c>
      <x:c r="G82" s="25" t="str">
        <x:v>Confirm architecture/procurement and hosting decisions.</x:v>
      </x:c>
      <x:c r="H82" s="25" t="str">
        <x:v>ℹ️ Non-functional</x:v>
      </x:c>
      <x:c r="I82" s="25" t="str">
        <x:v>17 October 2026; 0a65e962ff3a; KPI_CALCULATION_TRACEABILITY.md</x:v>
      </x:c>
    </x:row>
    <x:row r="83" ht="59" customHeight="1">
      <x:c r="A83" s="25" t="str">
        <x:v>R74</x:v>
      </x:c>
      <x:c r="B83" s="25" t="str">
        <x:v>COTS preferred</x:v>
      </x:c>
      <x:c r="C83" s="25" t="str">
        <x:v>HLD; TFD; Statement of Work</x:v>
      </x:c>
      <x:c r="D83" s="25" t="str">
        <x:v>No requirement-specific Mission Control delivery asserted.</x:v>
      </x:c>
      <x:c r="E83" s="25" t="str">
        <x:v>Outside report assessment</x:v>
      </x:c>
      <x:c r="F83" s="25" t="str">
        <x:v>Design and roadmap evidence is separate from KPI coverage or production acceptance. Historical v1 status: ℹ️ Non-functional.</x:v>
      </x:c>
      <x:c r="G83" s="25" t="str">
        <x:v>Confirm architecture/procurement and hosting decisions.</x:v>
      </x:c>
      <x:c r="H83" s="25" t="str">
        <x:v>ℹ️ Non-functional</x:v>
      </x:c>
      <x:c r="I83" s="25" t="str">
        <x:v>17 October 2026; 0a65e962ff3a; KPI_CALCULATION_TRACEABILITY.md</x:v>
      </x:c>
    </x:row>
    <x:row r="84" ht="150" customHeight="1">
      <x:c r="A84" s="25" t="str">
        <x:v>R75</x:v>
      </x:c>
      <x:c r="B84" s="25" t="str">
        <x:v>High availability, scalability, fault tolerance, DR</x:v>
      </x:c>
      <x:c r="C84" s="25" t="str">
        <x:v>Runbooks; validation checklist; current documentation</x:v>
      </x:c>
      <x:c r="D84" s="25" t="str">
        <x:v>Partial operational support: Run status and timing support operations; availability, scalability, DR/RTO/RPO and failover are not proven.</x:v>
      </x:c>
      <x:c r="E84" s="25" t="str">
        <x:v>Delivery acceptance pending</x:v>
      </x:c>
      <x:c r="F84" s="25" t="str">
        <x:v>Report/model files do not establish availability, accessibility, SLA, device compatibility, migration completeness, retention or formal sign-off. Mission Control: Partial operational support. Run status and timing support operations; availability, scalability, DR/RTO/RPO and failover are not proven. Historical v1 status: ℹ️ Non-functional.</x:v>
      </x:c>
      <x:c r="G84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84" s="25" t="str">
        <x:v>ℹ️ Non-functional</x:v>
      </x:c>
      <x:c r="I84" s="25" t="str">
        <x:v>17 October 2026; 0a65e962ff3a; KPI_CALCULATION_TRACEABILITY.md</x:v>
      </x:c>
    </x:row>
    <x:row r="85" ht="85" customHeight="1">
      <x:c r="A85" s="25" t="str">
        <x:v>R76</x:v>
      </x:c>
      <x:c r="B85" s="25" t="str">
        <x:v>Access restricted to authorised users</x:v>
      </x:c>
      <x:c r="C85" s="25" t="str">
        <x:v>WMPP Dynamic Detail RLS; security mappings; global summary</x:v>
      </x:c>
      <x:c r="D85" s="25" t="str">
        <x:v>No requirement-specific Mission Control delivery asserted.</x:v>
      </x:c>
      <x:c r="E85" s="25" t="str">
        <x:v>Security acceptance pending</x:v>
      </x:c>
      <x:c r="F85" s="25" t="str">
        <x:v>Role definitions exist, but authorised identity tests, access provisioning, small-cell disclosure and break-glass controls are not signed off. Historical v1 status: ℹ️ Security.</x:v>
      </x:c>
      <x:c r="G85" s="25" t="str">
        <x:v>Approve mappings and disclosure policy; execute role and Service-access tests.</x:v>
      </x:c>
      <x:c r="H85" s="25" t="str">
        <x:v>ℹ️ Security</x:v>
      </x:c>
      <x:c r="I85" s="25" t="str">
        <x:v>17 October 2026; 0a65e962ff3a; KPI_CALCULATION_TRACEABILITY.md</x:v>
      </x:c>
    </x:row>
    <x:row r="86" ht="72" customHeight="1">
      <x:c r="A86" s="25" t="str">
        <x:v>R77</x:v>
      </x:c>
      <x:c r="B86" s="25" t="str">
        <x:v>Admin: user management, org onboarding, ownership transfer</x:v>
      </x:c>
      <x:c r="C86" s="25" t="str">
        <x:v>Functional Specification; source portal workflow</x:v>
      </x:c>
      <x:c r="D86" s="25" t="str">
        <x:v>No requirement-specific Mission Control delivery asserted.</x:v>
      </x:c>
      <x:c r="E86" s="25" t="str">
        <x:v>Outside report assessment</x:v>
      </x:c>
      <x:c r="F86" s="25" t="str">
        <x:v>Read-only reporting cannot implement notifications, matching, upload, record editing or operational visibility rules. Historical v1 status: ℹ️ Feature.</x:v>
      </x:c>
      <x:c r="G86" s="25" t="str">
        <x:v>Obtain source-system workflow acceptance separately.</x:v>
      </x:c>
      <x:c r="H86" s="25" t="str">
        <x:v>ℹ️ Feature</x:v>
      </x:c>
      <x:c r="I86" s="25" t="str">
        <x:v>17 October 2026; 0a65e962ff3a; KPI_CALCULATION_TRACEABILITY.md</x:v>
      </x:c>
    </x:row>
    <x:row r="87" ht="85" customHeight="1">
      <x:c r="A87" s="25" t="str">
        <x:v>R78</x:v>
      </x:c>
      <x:c r="B87" s="25" t="str">
        <x:v>RBAC and full auditing mandatory</x:v>
      </x:c>
      <x:c r="C87" s="25" t="str">
        <x:v>WMPP Dynamic Detail RLS; security mappings; global summary</x:v>
      </x:c>
      <x:c r="D87" s="25" t="str">
        <x:v>No requirement-specific Mission Control delivery asserted.</x:v>
      </x:c>
      <x:c r="E87" s="25" t="str">
        <x:v>Security acceptance pending</x:v>
      </x:c>
      <x:c r="F87" s="25" t="str">
        <x:v>Role definitions exist, but authorised identity tests, access provisioning, small-cell disclosure and break-glass controls are not signed off. Historical v1 status: ℹ️ Security.</x:v>
      </x:c>
      <x:c r="G87" s="25" t="str">
        <x:v>Approve mappings and disclosure policy; execute role and Service-access tests.</x:v>
      </x:c>
      <x:c r="H87" s="25" t="str">
        <x:v>ℹ️ Security</x:v>
      </x:c>
      <x:c r="I87" s="25" t="str">
        <x:v>17 October 2026; 0a65e962ff3a; KPI_CALCULATION_TRACEABILITY.md</x:v>
      </x:c>
    </x:row>
    <x:row r="88" ht="85" customHeight="1">
      <x:c r="A88" s="25" t="str">
        <x:v>R79</x:v>
      </x:c>
      <x:c r="B88" s="25" t="str">
        <x:v>Break-glass access: controlled, auditable, emergency</x:v>
      </x:c>
      <x:c r="C88" s="25" t="str">
        <x:v>WMPP Dynamic Detail RLS; security mappings; global summary</x:v>
      </x:c>
      <x:c r="D88" s="25" t="str">
        <x:v>No requirement-specific Mission Control delivery asserted.</x:v>
      </x:c>
      <x:c r="E88" s="25" t="str">
        <x:v>Security acceptance pending</x:v>
      </x:c>
      <x:c r="F88" s="25" t="str">
        <x:v>Role definitions exist, but authorised identity tests, access provisioning, small-cell disclosure and break-glass controls are not signed off. Historical v1 status: ℹ️ Security.</x:v>
      </x:c>
      <x:c r="G88" s="25" t="str">
        <x:v>Approve mappings and disclosure policy; execute role and Service-access tests.</x:v>
      </x:c>
      <x:c r="H88" s="25" t="str">
        <x:v>ℹ️ Security</x:v>
      </x:c>
      <x:c r="I88" s="25" t="str">
        <x:v>17 October 2026; 0a65e962ff3a; KPI_CALCULATION_TRACEABILITY.md</x:v>
      </x:c>
    </x:row>
    <x:row r="89" ht="72" customHeight="1">
      <x:c r="A89" s="25" t="str">
        <x:v>R80</x:v>
      </x:c>
      <x:c r="B89" s="25" t="str">
        <x:v>Fast document upload/retrieval, RBAC-protected access</x:v>
      </x:c>
      <x:c r="C89" s="25" t="str">
        <x:v>Functional Specification; source portal workflow</x:v>
      </x:c>
      <x:c r="D89" s="25" t="str">
        <x:v>No requirement-specific Mission Control delivery asserted.</x:v>
      </x:c>
      <x:c r="E89" s="25" t="str">
        <x:v>Outside report assessment</x:v>
      </x:c>
      <x:c r="F89" s="25" t="str">
        <x:v>Read-only reporting cannot implement notifications, matching, upload, record editing or operational visibility rules. Historical v1 status: ℹ️ Feature.</x:v>
      </x:c>
      <x:c r="G89" s="25" t="str">
        <x:v>Obtain source-system workflow acceptance separately.</x:v>
      </x:c>
      <x:c r="H89" s="25" t="str">
        <x:v>ℹ️ Feature</x:v>
      </x:c>
      <x:c r="I89" s="25" t="str">
        <x:v>17 October 2026; 0a65e962ff3a; KPI_CALCULATION_TRACEABILITY.md</x:v>
      </x:c>
    </x:row>
    <x:row r="90" ht="85" customHeight="1">
      <x:c r="A90" s="25" t="str">
        <x:v>R81</x:v>
      </x:c>
      <x:c r="B90" s="25" t="str">
        <x:v>WCAG 2.0/2.1/2.2 compliance</x:v>
      </x:c>
      <x:c r="C90" s="25" t="str">
        <x:v>Runbooks; validation checklist; current documentation</x:v>
      </x:c>
      <x:c r="D90" s="25" t="str">
        <x:v>No requirement-specific Mission Control delivery asserted.</x:v>
      </x:c>
      <x:c r="E90" s="25" t="str">
        <x:v>Delivery acceptance pending</x:v>
      </x:c>
      <x:c r="F90" s="25" t="str">
        <x:v>Report/model files do not establish availability, accessibility, SLA, device compatibility, migration completeness, retention or formal sign-off. Historical v1 status: ℹ️ Non-functional.</x:v>
      </x:c>
      <x:c r="G90" s="25" t="str">
        <x:v>Complete the requirement-specific acceptance evidence; freshness is not an SLA measurement.</x:v>
      </x:c>
      <x:c r="H90" s="25" t="str">
        <x:v>ℹ️ Non-functional</x:v>
      </x:c>
      <x:c r="I90" s="25" t="str">
        <x:v>17 October 2026; 0a65e962ff3a; KPI_CALCULATION_TRACEABILITY.md</x:v>
      </x:c>
    </x:row>
    <x:row r="91" ht="163" customHeight="1">
      <x:c r="A91" s="25" t="str">
        <x:v>R82</x:v>
      </x:c>
      <x:c r="B91" s="25" t="str">
        <x:v>Fast response times, scalability, performance reporting</x:v>
      </x:c>
      <x:c r="C91" s="25" t="str">
        <x:v>Runbooks; validation checklist; current documentation</x:v>
      </x:c>
      <x:c r="D91" s="25" t="str">
        <x:v>Partial operational support: Pipeline duration, throughput and prior-run benchmarks exist; these do not measure portal/report response latency or certify an SLA.</x:v>
      </x:c>
      <x:c r="E91" s="25" t="str">
        <x:v>Delivery acceptance pending</x:v>
      </x:c>
      <x:c r="F91" s="25" t="str">
        <x:v>Report/model files do not establish availability, accessibility, SLA, device compatibility, migration completeness, retention or formal sign-off. Mission Control: Partial operational support. Pipeline duration, throughput and prior-run benchmarks exist; these do not measure portal/report response latency or certify an SLA. Historical v1 status: ✅ Implemented.</x:v>
      </x:c>
      <x:c r="G91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91" s="25" t="str">
        <x:v>✅ Implemented</x:v>
      </x:c>
      <x:c r="I91" s="25" t="str">
        <x:v>17 October 2026; 0a65e962ff3a; KPI_CALCULATION_TRACEABILITY.md</x:v>
      </x:c>
    </x:row>
    <x:row r="92" ht="163" customHeight="1">
      <x:c r="A92" s="25" t="str">
        <x:v>R83</x:v>
      </x:c>
      <x:c r="B92" s="25" t="str">
        <x:v>Migrate placements, purchases, providers, OFSTED, frameworks, active placements</x:v>
      </x:c>
      <x:c r="C92" s="25" t="str">
        <x:v>Runbooks; validation checklist; current documentation</x:v>
      </x:c>
      <x:c r="D92" s="25" t="str">
        <x:v>Partial operational support: Archive/replay controls and load rows provide migration evidence, not complete source-to-target migration acceptance.</x:v>
      </x:c>
      <x:c r="E92" s="25" t="str">
        <x:v>Delivery acceptance pending</x:v>
      </x:c>
      <x:c r="F92" s="25" t="str">
        <x:v>Report/model files do not establish availability, accessibility, SLA, device compatibility, migration completeness, retention or formal sign-off. Mission Control: Partial operational support. Archive/replay controls and load rows provide migration evidence, not complete source-to-target migration acceptance. Historical v1 status: ℹ️ Non-functional.</x:v>
      </x:c>
      <x:c r="G92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92" s="25" t="str">
        <x:v>ℹ️ Non-functional</x:v>
      </x:c>
      <x:c r="I92" s="25" t="str">
        <x:v>17 October 2026; 0a65e962ff3a; KPI_CALCULATION_TRACEABILITY.md</x:v>
      </x:c>
    </x:row>
    <x:row r="93" ht="163" customHeight="1">
      <x:c r="A93" s="25" t="str">
        <x:v>R84</x:v>
      </x:c>
      <x:c r="B93" s="25" t="str">
        <x:v>Data integrity, retention, export, configurable policies</x:v>
      </x:c>
      <x:c r="C93" s="25" t="str">
        <x:v>Runbooks; validation checklist; current documentation</x:v>
      </x:c>
      <x:c r="D93" s="25" t="str">
        <x:v>Partial operational support: DQ/RI exceptions, drift, lineage and retained domain evidence exist; retention/export policy and security acceptance remain open.</x:v>
      </x:c>
      <x:c r="E93" s="25" t="str">
        <x:v>Delivery acceptance pending</x:v>
      </x:c>
      <x:c r="F93" s="25" t="str">
        <x:v>Report/model files do not establish availability, accessibility, SLA, device compatibility, migration completeness, retention or formal sign-off. Mission Control: Partial operational support. DQ/RI exceptions, drift, lineage and retained domain evidence exist; retention/export policy and security acceptance remain open. Historical v1 status: ℹ️ Non-functional.</x:v>
      </x:c>
      <x:c r="G93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93" s="25" t="str">
        <x:v>ℹ️ Non-functional</x:v>
      </x:c>
      <x:c r="I93" s="25" t="str">
        <x:v>17 October 2026; 0a65e962ff3a; KPI_CALCULATION_TRACEABILITY.md</x:v>
      </x:c>
    </x:row>
    <x:row r="94" ht="163" customHeight="1">
      <x:c r="A94" s="25" t="str">
        <x:v>R85</x:v>
      </x:c>
      <x:c r="B94" s="25" t="str">
        <x:v>Deployment: FAQs, user guides, demos, support materials</x:v>
      </x:c>
      <x:c r="C94" s="25" t="str">
        <x:v>Runbooks; validation checklist; current documentation</x:v>
      </x:c>
      <x:c r="D94" s="25" t="str">
        <x:v>Supporting documentation evidence: Operational pages and runbooks support handover; FAQs, user training, support readiness and client approval remain separate.</x:v>
      </x:c>
      <x:c r="E94" s="25" t="str">
        <x:v>Delivery acceptance pending</x:v>
      </x:c>
      <x:c r="F94" s="25" t="str">
        <x:v>Report/model files do not establish availability, accessibility, SLA, device compatibility, migration completeness, retention or formal sign-off. Mission Control: Supporting documentation evidence. Operational pages and runbooks support handover; FAQs, user training, support readiness and client approval remain separate. Historical v1 status: ℹ️ Non-functional.</x:v>
      </x:c>
      <x:c r="G94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94" s="25" t="str">
        <x:v>ℹ️ Non-functional</x:v>
      </x:c>
      <x:c r="I94" s="25" t="str">
        <x:v>17 October 2026; 0a65e962ff3a; KPI_CALCULATION_TRACEABILITY.md</x:v>
      </x:c>
    </x:row>
    <x:row r="95" ht="137" customHeight="1">
      <x:c r="A95" s="25" t="str">
        <x:v>R86</x:v>
      </x:c>
      <x:c r="B95" s="25" t="str">
        <x:v>Device agnostic, browser compatible, mobile friendly</x:v>
      </x:c>
      <x:c r="C95" s="25" t="str">
        <x:v>Runbooks; validation checklist; current documentation; saved per-visual native phone mobile.json definitions in the current business archive</x:v>
      </x:c>
      <x:c r="D95" s="25" t="str">
        <x:v>No requirement-specific Mission Control delivery asserted.</x:v>
      </x:c>
      <x:c r="E95" s="25" t="str">
        <x:v>Delivery acceptance pending</x:v>
      </x:c>
      <x:c r="F95" s="25" t="str">
        <x:v>Report/model files do not establish availability, accessibility, SLA, device compatibility, migration completeness, retention or formal sign-off. Phone-layout definitions are present; actual device/browser behaviour and accessibility still need client tests. Historical v1 status: ℹ️ Non-functional.</x:v>
      </x:c>
      <x:c r="G95" s="25" t="str">
        <x:v>Complete the requirement-specific acceptance evidence; freshness is not an SLA measurement.</x:v>
      </x:c>
      <x:c r="H95" s="25" t="str">
        <x:v>ℹ️ Non-functional</x:v>
      </x:c>
      <x:c r="I95" s="25" t="str">
        <x:v>17 October 2026; 0a65e962ff3a; KPI_CALCULATION_TRACEABILITY.md</x:v>
      </x:c>
    </x:row>
    <x:row r="96" ht="176" customHeight="1">
      <x:c r="A96" s="25" t="str">
        <x:v>R87</x:v>
      </x:c>
      <x:c r="B96" s="25" t="str">
        <x:v>Incident management, issue reporting, SLAs</x:v>
      </x:c>
      <x:c r="C96" s="25" t="str">
        <x:v>Runbooks; validation checklist; current documentation</x:v>
      </x:c>
      <x:c r="D96" s="25" t="str">
        <x:v>Partial operational support: Failures, error detail and reload queues support incident triage; notification delivery, ticket workflow and SLA ownership are not implemented by these cards.</x:v>
      </x:c>
      <x:c r="E96" s="25" t="str">
        <x:v>Delivery acceptance pending</x:v>
      </x:c>
      <x:c r="F96" s="25" t="str">
        <x:v>Report/model files do not establish availability, accessibility, SLA, device compatibility, migration completeness, retention or formal sign-off. Mission Control: Partial operational support. Failures, error detail and reload queues support incident triage; notification delivery, ticket workflow and SLA ownership are not implemented by these cards. Historical v1 status: ℹ️ Non-functional.</x:v>
      </x:c>
      <x:c r="G96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96" s="25" t="str">
        <x:v>ℹ️ Non-functional</x:v>
      </x:c>
      <x:c r="I96" s="25" t="str">
        <x:v>17 October 2026; 0a65e962ff3a; KPI_CALCULATION_TRACEABILITY.md</x:v>
      </x:c>
    </x:row>
    <x:row r="97" ht="150" customHeight="1">
      <x:c r="A97" s="25" t="str">
        <x:v>R88</x:v>
      </x:c>
      <x:c r="B97" s="25" t="str">
        <x:v>Modular growth, controlled change, product roadmaps</x:v>
      </x:c>
      <x:c r="C97" s="25" t="str">
        <x:v>HLD; TFD; Statement of Work</x:v>
      </x:c>
      <x:c r="D97" s="25" t="str">
        <x:v>Supporting change-control evidence: Versioned contracts, source-controlled notebooks and discovery evidence support controlled change, not full roadmap/governance acceptance.</x:v>
      </x:c>
      <x:c r="E97" s="25" t="str">
        <x:v>Outside report assessment</x:v>
      </x:c>
      <x:c r="F97" s="25" t="str">
        <x:v>Design and roadmap evidence is separate from KPI coverage or production acceptance. Mission Control: Supporting change-control evidence. Versioned contracts, source-controlled notebooks and discovery evidence support controlled change, not full roadmap/governance acceptance. Historical v1 status: ℹ️ Non-functional.</x:v>
      </x:c>
      <x:c r="G97" s="25" t="str">
        <x:v>Confirm architecture/procurement and hosting decisions. Validate the Mission Control measures and page filters against known runs; proposed R-to-operational-measure association requires owner approval.</x:v>
      </x:c>
      <x:c r="H97" s="25" t="str">
        <x:v>ℹ️ Non-functional</x:v>
      </x:c>
      <x:c r="I97" s="25" t="str">
        <x:v>17 October 2026; 0a65e962ff3a; KPI_CALCULATION_TRACEABILITY.md</x:v>
      </x:c>
    </x:row>
    <x:row r="98" ht="85" customHeight="1">
      <x:c r="A98" s="25" t="str">
        <x:v>R89</x:v>
      </x:c>
      <x:c r="B98" s="25" t="str">
        <x:v>Stakeholder demos, UAT, formal sign-off</x:v>
      </x:c>
      <x:c r="C98" s="25" t="str">
        <x:v>Runbooks; validation checklist; current documentation</x:v>
      </x:c>
      <x:c r="D98" s="25" t="str">
        <x:v>No requirement-specific Mission Control delivery asserted.</x:v>
      </x:c>
      <x:c r="E98" s="25" t="str">
        <x:v>Delivery acceptance pending</x:v>
      </x:c>
      <x:c r="F98" s="25" t="str">
        <x:v>Report/model files do not establish availability, accessibility, SLA, device compatibility, migration completeness, retention or formal sign-off. Historical v1 status: ℹ️ Non-functional.</x:v>
      </x:c>
      <x:c r="G98" s="25" t="str">
        <x:v>Complete the requirement-specific acceptance evidence; freshness is not an SLA measurement.</x:v>
      </x:c>
      <x:c r="H98" s="25" t="str">
        <x:v>ℹ️ Non-functional</x:v>
      </x:c>
      <x:c r="I98" s="25" t="str">
        <x:v>17 October 2026; 0a65e962ff3a; KPI_CALCULATION_TRACEABILITY.md</x:v>
      </x:c>
    </x:row>
    <x:row r="99" ht="59" customHeight="1">
      <x:c r="A99" s="25" t="str">
        <x:v>R90</x:v>
      </x:c>
      <x:c r="B99" s="25" t="str">
        <x:v>Hosting options, deployment models, cloud strategy</x:v>
      </x:c>
      <x:c r="C99" s="25" t="str">
        <x:v>HLD; TFD; Statement of Work</x:v>
      </x:c>
      <x:c r="D99" s="25" t="str">
        <x:v>No requirement-specific Mission Control delivery asserted.</x:v>
      </x:c>
      <x:c r="E99" s="25" t="str">
        <x:v>Outside report assessment</x:v>
      </x:c>
      <x:c r="F99" s="25" t="str">
        <x:v>Design and roadmap evidence is separate from KPI coverage or production acceptance. Historical v1 status: ℹ️ Non-functional.</x:v>
      </x:c>
      <x:c r="G99" s="25" t="str">
        <x:v>Confirm architecture/procurement and hosting decisions.</x:v>
      </x:c>
      <x:c r="H99" s="25" t="str">
        <x:v>ℹ️ Non-functional</x:v>
      </x:c>
      <x:c r="I99" s="25" t="str">
        <x:v>17 October 2026; 0a65e962ff3a; KPI_CALCULATION_TRACEABILITY.md</x:v>
      </x:c>
    </x:row>
    <x:row r="100" ht="72" customHeight="1">
      <x:c r="A100" s="25" t="str">
        <x:v>R91</x:v>
      </x:c>
      <x:c r="B100" s="25" t="str">
        <x:v>Provider registration: company, services, homes, docs</x:v>
      </x:c>
      <x:c r="C100" s="25" t="str">
        <x:v>Providers Registered; Provider Homes Registered; provider directory</x:v>
      </x:c>
      <x:c r="D100" s="25" t="str">
        <x:v>No requirement-specific Mission Control delivery asserted.</x:v>
      </x:c>
      <x:c r="E100" s="25" t="str">
        <x:v>Partial reporting</x:v>
      </x:c>
      <x:c r="F100" s="25" t="str">
        <x:v>Registration data is reportable; submission/upload and onboarding workflows remain source-system functions. Historical v1 status: ✅ Implemented.</x:v>
      </x:c>
      <x:c r="G100" s="25" t="str">
        <x:v>Validate directory data and obtain registration workflow evidence.</x:v>
      </x:c>
      <x:c r="H100" s="25" t="str">
        <x:v>✅ Implemented</x:v>
      </x:c>
      <x:c r="I100" s="25" t="str">
        <x:v>17 October 2026; 0a65e962ff3a; KPI_CALCULATION_TRACEABILITY.md</x:v>
      </x:c>
    </x:row>
    <x:row r="101" ht="85" customHeight="1">
      <x:c r="A101" s="25" t="str">
        <x:v>R92</x:v>
      </x:c>
      <x:c r="B101" s="25" t="str">
        <x:v>LA review and approve/reject registrations</x:v>
      </x:c>
      <x:c r="C101" s="25" t="str">
        <x:v>Providers Pending Onboarding; Providers Approved; Provider Onboarding Success Rate</x:v>
      </x:c>
      <x:c r="D101" s="25" t="str">
        <x:v>No requirement-specific Mission Control delivery asserted.</x:v>
      </x:c>
      <x:c r="E101" s="25" t="str">
        <x:v>Partial reporting</x:v>
      </x:c>
      <x:c r="F101" s="25" t="str">
        <x:v>Current provider approval state is reportable; it does not certify due diligence, bulk-job success or registration workflow. Historical v1 status: ℹ️ Feature.</x:v>
      </x:c>
      <x:c r="G101" s="25" t="str">
        <x:v>Approve proxy label and obtain workflow/compliance evidence.</x:v>
      </x:c>
      <x:c r="H101" s="25" t="str">
        <x:v>ℹ️ Feature</x:v>
      </x:c>
      <x:c r="I101" s="25" t="str">
        <x:v>17 October 2026; 0a65e962ff3a; KPI_CALCULATION_TRACEABILITY.md</x:v>
      </x:c>
    </x:row>
    <x:row r="102" ht="111" customHeight="1">
      <x:c r="A102" s="25" t="str">
        <x:v>R93</x:v>
      </x:c>
      <x:c r="B102" s="25" t="str">
        <x:v>Placement officer: provider directory, services, homes, docs</x:v>
      </x:c>
      <x:c r="C102" s="25" t="str">
        <x:v>Provider Explorer; Provider Detail (Drillthrough); provider/home directory; Provider Registry Extract (saved hidden report page); rpt_provider_registry</x:v>
      </x:c>
      <x:c r="D102" s="25" t="str">
        <x:v>No requirement-specific Mission Control delivery asserted.</x:v>
      </x:c>
      <x:c r="E102" s="25" t="str">
        <x:v>Built; UAT pending</x:v>
      </x:c>
      <x:c r="F102" s="25" t="str">
        <x:v>Provider/home/offer/assignment/message detail is built. Document access and permissions need runtime review. Registry source, export permissions and identity access still require runtime acceptance. Historical v1 status: ✅ Implemented.</x:v>
      </x:c>
      <x:c r="G102" s="25" t="str">
        <x:v>Drill from a provider and test each detail section and authorised document access.</x:v>
      </x:c>
      <x:c r="H102" s="25" t="str">
        <x:v>✅ Implemented</x:v>
      </x:c>
      <x:c r="I102" s="25" t="str">
        <x:v>17 October 2026; 0a65e962ff3a; KPI_CALCULATION_TRACEABILITY.md</x:v>
      </x:c>
    </x:row>
    <x:row r="103" ht="72" customHeight="1">
      <x:c r="A103" s="25" t="str">
        <x:v>R94</x:v>
      </x:c>
      <x:c r="B103" s="25" t="str">
        <x:v>QA: search providers, apply/remove flags</x:v>
      </x:c>
      <x:c r="C103" s="25" t="str">
        <x:v>Providers With QA Flags; QA Flagged Homes; provider detail</x:v>
      </x:c>
      <x:c r="D103" s="25" t="str">
        <x:v>No requirement-specific Mission Control delivery asserted.</x:v>
      </x:c>
      <x:c r="E103" s="25" t="str">
        <x:v>Partial reporting</x:v>
      </x:c>
      <x:c r="F103" s="25" t="str">
        <x:v>Current flags are reportable. Historical flag types and application/removal workflow are not proven. Historical v1 status: ⚠️ Partial.</x:v>
      </x:c>
      <x:c r="G103" s="25" t="str">
        <x:v>Confirm flag scope and obtain historical classification and portal evidence.</x:v>
      </x:c>
      <x:c r="H103" s="25" t="str">
        <x:v>⚠️ Partial</x:v>
      </x:c>
      <x:c r="I103" s="25" t="str">
        <x:v>17 October 2026; 0a65e962ff3a; KPI_CALCULATION_TRACEABILITY.md</x:v>
      </x:c>
    </x:row>
    <x:row r="104" ht="85" customHeight="1">
      <x:c r="A104" s="25" t="str">
        <x:v>R95</x:v>
      </x:c>
      <x:c r="B104" s="25" t="str">
        <x:v>Reflect Fostering Framework changes (Q3 2024)</x:v>
      </x:c>
      <x:c r="C104" s="25" t="str">
        <x:v>dim_framework; dim_framework_category; category bridges; service-type views</x:v>
      </x:c>
      <x:c r="D104" s="25" t="str">
        <x:v>No requirement-specific Mission Control delivery asserted.</x:v>
      </x:c>
      <x:c r="E104" s="25" t="str">
        <x:v>Partial reporting</x:v>
      </x:c>
      <x:c r="F104" s="25" t="str">
        <x:v>Current reference/category reporting exists; framework configuration workflows and specific release contents need business verification. Historical v1 status: ✅ Implemented.</x:v>
      </x:c>
      <x:c r="G104" s="25" t="str">
        <x:v>Reconcile framework versions and all categories, then confirm portal configuration.</x:v>
      </x:c>
      <x:c r="H104" s="25" t="str">
        <x:v>✅ Implemented</x:v>
      </x:c>
      <x:c r="I104" s="25" t="str">
        <x:v>17 October 2026; 0a65e962ff3a; KPI_CALCULATION_TRACEABILITY.md</x:v>
      </x:c>
    </x:row>
    <x:row r="105" ht="85" customHeight="1">
      <x:c r="A105" s="25" t="str">
        <x:v>R96</x:v>
      </x:c>
      <x:c r="B105" s="25" t="str">
        <x:v>Reflect Residential Framework 2.0 (Spring 2025)</x:v>
      </x:c>
      <x:c r="C105" s="25" t="str">
        <x:v>dim_framework; dim_framework_category; category bridges; service-type views</x:v>
      </x:c>
      <x:c r="D105" s="25" t="str">
        <x:v>No requirement-specific Mission Control delivery asserted.</x:v>
      </x:c>
      <x:c r="E105" s="25" t="str">
        <x:v>Partial reporting</x:v>
      </x:c>
      <x:c r="F105" s="25" t="str">
        <x:v>Current reference/category reporting exists; framework configuration workflows and specific release contents need business verification. Historical v1 status: ✅ Implemented.</x:v>
      </x:c>
      <x:c r="G105" s="25" t="str">
        <x:v>Reconcile framework versions and all categories, then confirm portal configuration.</x:v>
      </x:c>
      <x:c r="H105" s="25" t="str">
        <x:v>✅ Implemented</x:v>
      </x:c>
      <x:c r="I105" s="25" t="str">
        <x:v>17 October 2026; 0a65e962ff3a; KPI_CALCULATION_TRACEABILITY.md</x:v>
      </x:c>
    </x:row>
    <x:row r="108" ht="25" customHeight="1">
      <x:c r="A108" s="22" t="str">
        <x:v>Retained Gold catalogue — separate identifiers and scope</x:v>
      </x:c>
      <x:c r="B108" s="22"/>
      <x:c r="C108" s="22"/>
      <x:c r="D108" s="22"/>
      <x:c r="E108" s="22"/>
      <x:c r="F108" s="22"/>
      <x:c r="G108" s="22"/>
      <x:c r="H108" s="22"/>
      <x:c r="I108" s="22"/>
    </x:row>
    <x:row r="109" ht="35" customHeight="1">
      <x:c r="A109" s="27" t="str">
        <x:v>Gold KPI ID</x:v>
      </x:c>
      <x:c r="B109" s="27" t="str">
        <x:v>Business area</x:v>
      </x:c>
      <x:c r="C109" s="27" t="str">
        <x:v>DAX measure</x:v>
      </x:c>
      <x:c r="D109" s="27" t="str">
        <x:v>Legacy KPI mapping</x:v>
      </x:c>
      <x:c r="E109" s="27" t="str">
        <x:v>Requirement IDs</x:v>
      </x:c>
      <x:c r="F109" s="27" t="str">
        <x:v>WIP source tables</x:v>
      </x:c>
      <x:c r="G109" s="27" t="str">
        <x:v>Implementation status</x:v>
      </x:c>
      <x:c r="H109" s="27" t="str">
        <x:v>Meaning / remaining check</x:v>
      </x:c>
      <x:c r="I109" s="27" t="str">
        <x:v>Calculation logic</x:v>
      </x:c>
    </x:row>
    <x:row r="110" ht="59" customHeight="1">
      <x:c r="A110" s="25" t="str">
        <x:v>GOLD-KPI-001</x:v>
      </x:c>
      <x:c r="B110" s="25" t="str">
        <x:v>Referral performance</x:v>
      </x:c>
      <x:c r="C110" s="25" t="str">
        <x:v>Total Referrals</x:v>
      </x:c>
      <x:c r="D110" s="25" t="str">
        <x:v>KPI-01</x:v>
      </x:c>
      <x:c r="E110" s="25" t="str">
        <x:v>R24, R51</x:v>
      </x:c>
      <x:c r="F110" s="25" t="str">
        <x:v>fact_referral</x:v>
      </x:c>
      <x:c r="G110" s="25" t="str">
        <x:v>Built; UAT pending</x:v>
      </x:c>
      <x:c r="H110" s="25" t="str">
        <x:v>Definition present in WIP _Measures. Reconcile against refreshed Gold and approved business rules.</x:v>
      </x:c>
      <x:c r="I110" s="25" t="str">
        <x:v>DISTINCTCOUNT ( 'fact_referral'[referral_id] )
Python/Spark SQL: 04_gold_model.py:232
Full logic: KPI_CALCULATION_TRACEABILITY.md#dax-business-total-referrals</x:v>
      </x:c>
    </x:row>
    <x:row r="111" ht="72" customHeight="1">
      <x:c r="A111" s="25" t="str">
        <x:v>GOLD-KPI-002</x:v>
      </x:c>
      <x:c r="B111" s="25" t="str">
        <x:v>Referral performance</x:v>
      </x:c>
      <x:c r="C111" s="25" t="str">
        <x:v>Open Referrals</x:v>
      </x:c>
      <x:c r="D111" s="25" t="str">
        <x:v>KPI-08, KPI-29</x:v>
      </x:c>
      <x:c r="E111" s="25" t="str">
        <x:v>R24</x:v>
      </x:c>
      <x:c r="F111" s="25" t="str">
        <x:v>fact_referral</x:v>
      </x:c>
      <x:c r="G111" s="25" t="str">
        <x:v>Built; UAT pending</x:v>
      </x:c>
      <x:c r="H111" s="25" t="str">
        <x:v>Definition present in WIP _Measures. Reconcile against refreshed Gold and approved business rules.</x:v>
      </x:c>
      <x:c r="I111" s="25" t="str">
        <x:v>CALCULATE ( [Total Referrals], 'fact_referral'[is_open] = TRUE () )
Python/Spark SQL: 04_gold_model.py:232
Full logic: KPI_CALCULATION_TRACEABILITY.md#dax-business-open-referrals</x:v>
      </x:c>
    </x:row>
    <x:row r="112" ht="72" customHeight="1">
      <x:c r="A112" s="25" t="str">
        <x:v>GOLD-KPI-003</x:v>
      </x:c>
      <x:c r="B112" s="25" t="str">
        <x:v>Referral performance</x:v>
      </x:c>
      <x:c r="C112" s="25" t="str">
        <x:v>Closed Referrals</x:v>
      </x:c>
      <x:c r="D112" s="25" t="str">
        <x:v>KPI-31</x:v>
      </x:c>
      <x:c r="E112" s="25" t="str">
        <x:v>R13</x:v>
      </x:c>
      <x:c r="F112" s="25" t="str">
        <x:v>fact_referral</x:v>
      </x:c>
      <x:c r="G112" s="25" t="str">
        <x:v>Built; UAT pending</x:v>
      </x:c>
      <x:c r="H112" s="25" t="str">
        <x:v>Definition present in WIP _Measures. Reconcile against refreshed Gold and approved business rules.</x:v>
      </x:c>
      <x:c r="I112" s="25" t="str">
        <x:v>CALCULATE ( [Total Referrals], 'fact_referral'[is_open] = FALSE () )
Python/Spark SQL: 04_gold_model.py:232
Full logic: KPI_CALCULATION_TRACEABILITY.md#dax-business-closed-referrals</x:v>
      </x:c>
    </x:row>
    <x:row r="113" ht="72" customHeight="1">
      <x:c r="A113" s="25" t="str">
        <x:v>GOLD-KPI-004</x:v>
      </x:c>
      <x:c r="B113" s="25" t="str">
        <x:v>Referral performance</x:v>
      </x:c>
      <x:c r="C113" s="25" t="str">
        <x:v>Referrals With an Offer</x:v>
      </x:c>
      <x:c r="D113" s="25" t="str">
        <x:v>KPI-02, KPI-09, KPI-33</x:v>
      </x:c>
      <x:c r="E113" s="25" t="str">
        <x:v>R24, R36, R51</x:v>
      </x:c>
      <x:c r="F113" s="25" t="str">
        <x:v>fact_referral</x:v>
      </x:c>
      <x:c r="G113" s="25" t="str">
        <x:v>Built; UAT pending</x:v>
      </x:c>
      <x:c r="H113" s="25" t="str">
        <x:v>Definition present in WIP _Measures. Reconcile against refreshed Gold and approved business rules.</x:v>
      </x:c>
      <x:c r="I113" s="25" t="str">
        <x:v>CALCULATE ( [Total Referrals], 'fact_referral'[has_offer] = TRUE () )
Python/Spark SQL: 04_gold_model.py:232
Full logic: KPI_CALCULATION_TRACEABILITY.md#dax-business-referrals-with-an-offer</x:v>
      </x:c>
    </x:row>
    <x:row r="114" ht="72" customHeight="1">
      <x:c r="A114" s="25" t="str">
        <x:v>GOLD-KPI-005</x:v>
      </x:c>
      <x:c r="B114" s="25" t="str">
        <x:v>Referral performance</x:v>
      </x:c>
      <x:c r="C114" s="25" t="str">
        <x:v>Referrals Awaiting Offer</x:v>
      </x:c>
      <x:c r="D114" s="25" t="str">
        <x:v>KPI-03, KPI-32</x:v>
      </x:c>
      <x:c r="E114" s="25" t="str">
        <x:v>R24, R36</x:v>
      </x:c>
      <x:c r="F114" s="25" t="str">
        <x:v>fact_referral</x:v>
      </x:c>
      <x:c r="G114" s="25" t="str">
        <x:v>Built; UAT pending</x:v>
      </x:c>
      <x:c r="H114" s="25" t="str">
        <x:v>Definition present in WIP _Measures. Reconcile against refreshed Gold and approved business rules.</x:v>
      </x:c>
      <x:c r="I114" s="25" t="str">
        <x:v>CALCULATE ( [Total Referrals], 'fact_referral'[is_awaiting_offer] = TRUE () )
Python/Spark SQL: 04_gold_model.py:232
Full logic: KPI_CALCULATION_TRACEABILITY.md#dax-business-referrals-awaiting-offer</x:v>
      </x:c>
    </x:row>
    <x:row r="115" ht="72" customHeight="1">
      <x:c r="A115" s="25" t="str">
        <x:v>GOLD-KPI-006</x:v>
      </x:c>
      <x:c r="B115" s="25" t="str">
        <x:v>Provider engagement</x:v>
      </x:c>
      <x:c r="C115" s="25" t="str">
        <x:v>Referrals Without Provider Assignment</x:v>
      </x:c>
      <x:c r="D115" s="25" t="str">
        <x:v>New Gold KPI</x:v>
      </x:c>
      <x:c r="E115" s="25" t="str">
        <x:v>R24, R26</x:v>
      </x:c>
      <x:c r="F115" s="25" t="str">
        <x:v>fact_referral</x:v>
      </x:c>
      <x:c r="G115" s="25" t="str">
        <x:v>Built; UAT pending</x:v>
      </x:c>
      <x:c r="H115" s="25" t="str">
        <x:v>Definition present in WIP _Measures. Reconcile against refreshed Gold and approved business rules.</x:v>
      </x:c>
      <x:c r="I115" s="25" t="str">
        <x:v>CALCULATE ( [Total Referrals], 'fact_referral'[is_not_seen_by_providers] = TRUE () )
Python/Spark SQL: 04_gold_model.py:232
Full logic: KPI_CALCULATION_TRACEABILITY.md#dax-business-referrals-without-provider-assignment</x:v>
      </x:c>
    </x:row>
    <x:row r="116" ht="72" customHeight="1">
      <x:c r="A116" s="25" t="str">
        <x:v>GOLD-KPI-007</x:v>
      </x:c>
      <x:c r="B116" s="25" t="str">
        <x:v>Referral performance</x:v>
      </x:c>
      <x:c r="C116" s="25" t="str">
        <x:v>Open Overdue Referrals</x:v>
      </x:c>
      <x:c r="D116" s="25" t="str">
        <x:v>New Gold KPI</x:v>
      </x:c>
      <x:c r="E116" s="25" t="str">
        <x:v>R24</x:v>
      </x:c>
      <x:c r="F116" s="25" t="str">
        <x:v>fact_referral</x:v>
      </x:c>
      <x:c r="G116" s="25" t="str">
        <x:v>Built; UAT pending</x:v>
      </x:c>
      <x:c r="H116" s="25" t="str">
        <x:v>Definition present in WIP _Measures. Reconcile against refreshed Gold and approved business rules.</x:v>
      </x:c>
      <x:c r="I116" s="25" t="str">
        <x:v>CALCULATE ( [Total Referrals], 'fact_referral'[is_open_overdue] = TRUE () )
Python/Spark SQL: 04_gold_model.py:232
Full logic: KPI_CALCULATION_TRACEABILITY.md#dax-business-open-overdue-referrals</x:v>
      </x:c>
    </x:row>
    <x:row r="117" ht="72" customHeight="1">
      <x:c r="A117" s="25" t="str">
        <x:v>GOLD-KPI-008</x:v>
      </x:c>
      <x:c r="B117" s="25" t="str">
        <x:v>Referral performance</x:v>
      </x:c>
      <x:c r="C117" s="25" t="str">
        <x:v>Referrals Placed by Required Date</x:v>
      </x:c>
      <x:c r="D117" s="25" t="str">
        <x:v>New Gold KPI</x:v>
      </x:c>
      <x:c r="E117" s="25" t="str">
        <x:v>R18, R57</x:v>
      </x:c>
      <x:c r="F117" s="25" t="str">
        <x:v>fact_referral</x:v>
      </x:c>
      <x:c r="G117" s="25" t="str">
        <x:v>Built; UAT pending</x:v>
      </x:c>
      <x:c r="H117" s="25" t="str">
        <x:v>Definition present in WIP _Measures. Reconcile against refreshed Gold and approved business rules.</x:v>
      </x:c>
      <x:c r="I117" s="25" t="str">
        <x:v>CALCULATE ( [Total Referrals], 'fact_referral'[placed_by_required_date] = TRUE () )
Python/Spark SQL: 04_gold_model.py:232
Full logic: KPI_CALCULATION_TRACEABILITY.md#dax-business-referrals-placed-by-required-date</x:v>
      </x:c>
    </x:row>
    <x:row r="118" ht="215" customHeight="1">
      <x:c r="A118" s="25" t="str">
        <x:v>GOLD-KPI-009</x:v>
      </x:c>
      <x:c r="B118" s="25" t="str">
        <x:v>Referral performance</x:v>
      </x:c>
      <x:c r="C118" s="25" t="str">
        <x:v>Placement Target Hit Rate</x:v>
      </x:c>
      <x:c r="D118" s="25" t="str">
        <x:v>New Gold KPI</x:v>
      </x:c>
      <x:c r="E118" s="25" t="str">
        <x:v>R18, R57</x:v>
      </x:c>
      <x:c r="F118" s="25" t="str">
        <x:v>fact_referral</x:v>
      </x:c>
      <x:c r="G118" s="25" t="str">
        <x:v>Built; UAT pending</x:v>
      </x:c>
      <x:c r="H118" s="25" t="str">
        <x:v>Definition present in WIP _Measures. Reconcile against refreshed Gold and approved business rules.</x:v>
      </x:c>
      <x:c r="I118" s="25" t="str">
        <x:v>DIVIDE (
			    [Referrals Placed by Required Date],
			    CALCULATE (
			        [Total Referrals],
			        FILTER (
			            'fact_referral',
			            NOT ISBLANK ( 'fact_referral'[ipa_issued_date] )
			                &amp;&amp; NOT ISBLANK ( 'fact_referral'[required_placement_date] )
			        )
			    )
			)
Python/Spark SQL: 04_gold_model.py:232
Full logic: KPI_CALCULATION_TRACEABILITY.md#dax-business-placement-target-hit-rate</x:v>
      </x:c>
    </x:row>
    <x:row r="119" ht="111" customHeight="1">
      <x:c r="A119" s="25" t="str">
        <x:v>GOLD-KPI-010</x:v>
      </x:c>
      <x:c r="B119" s="25" t="str">
        <x:v>Referral performance</x:v>
      </x:c>
      <x:c r="C119" s="25" t="str">
        <x:v>Median Days to First Action</x:v>
      </x:c>
      <x:c r="D119" s="25" t="str">
        <x:v>New Gold KPI</x:v>
      </x:c>
      <x:c r="E119" s="25" t="str">
        <x:v>R24</x:v>
      </x:c>
      <x:c r="F119" s="25" t="str">
        <x:v>fact_referral</x:v>
      </x:c>
      <x:c r="G119" s="25" t="str">
        <x:v>Built; UAT pending</x:v>
      </x:c>
      <x:c r="H119" s="25" t="str">
        <x:v>Definition present in WIP _Measures. Reconcile against refreshed Gold and approved business rules.</x:v>
      </x:c>
      <x:c r="I119" s="25" t="str">
        <x:v>MEDIANX (
			    FILTER ( 'fact_referral', NOT ISBLANK ( 'fact_referral'[days_to_first_action] ) ),
			    'fact_referral'[days_to_first_action]
			)
Python/Spark SQL: 04_gold_model.py:232
Full logic: KPI_CALCULATION_TRACEABILITY.md#dax-business-median-days-to-first-action</x:v>
      </x:c>
    </x:row>
    <x:row r="120" ht="111" customHeight="1">
      <x:c r="A120" s="25" t="str">
        <x:v>GOLD-KPI-011</x:v>
      </x:c>
      <x:c r="B120" s="25" t="str">
        <x:v>Referral performance</x:v>
      </x:c>
      <x:c r="C120" s="25" t="str">
        <x:v>Median Days to First Offer</x:v>
      </x:c>
      <x:c r="D120" s="25" t="str">
        <x:v>New Gold KPI</x:v>
      </x:c>
      <x:c r="E120" s="25" t="str">
        <x:v>R24</x:v>
      </x:c>
      <x:c r="F120" s="25" t="str">
        <x:v>fact_referral</x:v>
      </x:c>
      <x:c r="G120" s="25" t="str">
        <x:v>Built; UAT pending</x:v>
      </x:c>
      <x:c r="H120" s="25" t="str">
        <x:v>Definition present in WIP _Measures. Reconcile against refreshed Gold and approved business rules.</x:v>
      </x:c>
      <x:c r="I120" s="25" t="str">
        <x:v>MEDIANX (
			    FILTER ( 'fact_referral', NOT ISBLANK ( 'fact_referral'[days_to_first_offer] ) ),
			    'fact_referral'[days_to_first_offer]
			)
Python/Spark SQL: 04_gold_model.py:232
Full logic: KPI_CALCULATION_TRACEABILITY.md#dax-business-median-days-to-first-offer</x:v>
      </x:c>
    </x:row>
    <x:row r="121" ht="111" customHeight="1">
      <x:c r="A121" s="25" t="str">
        <x:v>GOLD-KPI-012</x:v>
      </x:c>
      <x:c r="B121" s="25" t="str">
        <x:v>Offer, provider and IPA</x:v>
      </x:c>
      <x:c r="C121" s="25" t="str">
        <x:v>Median Days to IPA</x:v>
      </x:c>
      <x:c r="D121" s="25" t="str">
        <x:v>New Gold KPI</x:v>
      </x:c>
      <x:c r="E121" s="25" t="str">
        <x:v>R35</x:v>
      </x:c>
      <x:c r="F121" s="25" t="str">
        <x:v>fact_referral</x:v>
      </x:c>
      <x:c r="G121" s="25" t="str">
        <x:v>Built; UAT pending</x:v>
      </x:c>
      <x:c r="H121" s="25" t="str">
        <x:v>Definition present in WIP _Measures. Reconcile against refreshed Gold and approved business rules.</x:v>
      </x:c>
      <x:c r="I121" s="25" t="str">
        <x:v>MEDIANX (
			    FILTER ( 'fact_referral', NOT ISBLANK ( 'fact_referral'[days_to_ipa] ) ),
			    'fact_referral'[days_to_ipa]
			)
Python/Spark SQL: 04_gold_model.py:232
Full logic: KPI_CALCULATION_TRACEABILITY.md#dax-business-median-days-to-ipa</x:v>
      </x:c>
    </x:row>
    <x:row r="122" ht="124" customHeight="1">
      <x:c r="A122" s="25" t="str">
        <x:v>GOLD-KPI-013</x:v>
      </x:c>
      <x:c r="B122" s="25" t="str">
        <x:v>Referral performance</x:v>
      </x:c>
      <x:c r="C122" s="25" t="str">
        <x:v>Open Referrals Stalled 7+ Days</x:v>
      </x:c>
      <x:c r="D122" s="25" t="str">
        <x:v>New Gold KPI</x:v>
      </x:c>
      <x:c r="E122" s="25" t="str">
        <x:v>—</x:v>
      </x:c>
      <x:c r="F122" s="25" t="str">
        <x:v>fact_referral</x:v>
      </x:c>
      <x:c r="G122" s="25" t="str">
        <x:v>Built; UAT pending</x:v>
      </x:c>
      <x:c r="H122" s="25" t="str">
        <x:v>Definition present in WIP _Measures. Reconcile against refreshed Gold and approved business rules.</x:v>
      </x:c>
      <x:c r="I122" s="25" t="str">
        <x:v>CALCULATE (
			    [Total Referrals],
			    FILTER ( 'fact_referral', 'fact_referral'[is_open] = TRUE () &amp;&amp; 'fact_referral'[days_without_activity] &gt;= 7 )
			)
Python/Spark SQL: 04_gold_model.py:232
Full logic: KPI_CALCULATION_TRACEABILITY.md#dax-business-open-referrals-stalled-7-days</x:v>
      </x:c>
    </x:row>
    <x:row r="123" ht="59" customHeight="1">
      <x:c r="A123" s="25" t="str">
        <x:v>GOLD-KPI-014</x:v>
      </x:c>
      <x:c r="B123" s="25" t="str">
        <x:v>Offer, provider and IPA</x:v>
      </x:c>
      <x:c r="C123" s="25" t="str">
        <x:v>Offers Submitted</x:v>
      </x:c>
      <x:c r="D123" s="25" t="str">
        <x:v>KPI-12, KPI-28</x:v>
      </x:c>
      <x:c r="E123" s="25" t="str">
        <x:v>R25–R29</x:v>
      </x:c>
      <x:c r="F123" s="25" t="str">
        <x:v>fact_offer</x:v>
      </x:c>
      <x:c r="G123" s="25" t="str">
        <x:v>Built; UAT pending</x:v>
      </x:c>
      <x:c r="H123" s="25" t="str">
        <x:v>Definition present in WIP _Measures. Reconcile against refreshed Gold and approved business rules.</x:v>
      </x:c>
      <x:c r="I123" s="25" t="str">
        <x:v>DISTINCTCOUNT ( 'fact_offer'[offer_id] )
Python/Spark SQL: 04_gold_model.py:712
Full logic: KPI_CALCULATION_TRACEABILITY.md#dax-business-offers-submitted</x:v>
      </x:c>
    </x:row>
    <x:row r="124" ht="150" customHeight="1">
      <x:c r="A124" s="25" t="str">
        <x:v>GOLD-KPI-015</x:v>
      </x:c>
      <x:c r="B124" s="25" t="str">
        <x:v>Offer, provider and IPA</x:v>
      </x:c>
      <x:c r="C124" s="25" t="str">
        <x:v>Accepted Offers</x:v>
      </x:c>
      <x:c r="D124" s="25" t="str">
        <x:v>KPI-15, KPI-39, KPI-75</x:v>
      </x:c>
      <x:c r="E124" s="25" t="str">
        <x:v>R28, R35</x:v>
      </x:c>
      <x:c r="F124" s="25" t="str">
        <x:v>fact_offer</x:v>
      </x:c>
      <x:c r="G124" s="25" t="str">
        <x:v>Built; UAT pending</x:v>
      </x:c>
      <x:c r="H124" s="25" t="str">
        <x:v>Definition present in WIP _Measures. Reconcile against refreshed Gold and approved business rules.</x:v>
      </x:c>
      <x:c r="I124" s="25" t="str">
        <x:v>CALCULATE (
			    [Offers Submitted],
			    FILTER (
			        'fact_offer',
			        LOWER ( 'fact_offer'[offer_status] ) IN { "accepted", "approved", "selected", "offer_successful" }
			    )
			)
Python/Spark SQL: 04_gold_model.py:712
Full logic: KPI_CALCULATION_TRACEABILITY.md#dax-business-accepted-offers</x:v>
      </x:c>
    </x:row>
    <x:row r="125" ht="111" customHeight="1">
      <x:c r="A125" s="25" t="str">
        <x:v>GOLD-KPI-016</x:v>
      </x:c>
      <x:c r="B125" s="25" t="str">
        <x:v>Offer, provider and IPA</x:v>
      </x:c>
      <x:c r="C125" s="25" t="str">
        <x:v>Offers with a Decision</x:v>
      </x:c>
      <x:c r="D125" s="25" t="str">
        <x:v>New Gold KPI</x:v>
      </x:c>
      <x:c r="E125" s="25" t="str">
        <x:v>R28</x:v>
      </x:c>
      <x:c r="F125" s="25" t="str">
        <x:v>fact_offer</x:v>
      </x:c>
      <x:c r="G125" s="25" t="str">
        <x:v>Built; UAT pending</x:v>
      </x:c>
      <x:c r="H125" s="25" t="str">
        <x:v>Definition present in WIP _Measures. Reconcile against refreshed Gold and approved business rules.</x:v>
      </x:c>
      <x:c r="I125" s="25" t="str">
        <x:v>CALCULATE (
			    [Offers Submitted],
			    FILTER ( 'fact_offer', NOT ISBLANK ( 'fact_offer'[offer_decision_date] ) )
			)
Python/Spark SQL: 04_gold_model.py:712
Full logic: KPI_CALCULATION_TRACEABILITY.md#dax-business-offers-with-a-decision</x:v>
      </x:c>
    </x:row>
    <x:row r="126" ht="59" customHeight="1">
      <x:c r="A126" s="25" t="str">
        <x:v>GOLD-KPI-017</x:v>
      </x:c>
      <x:c r="B126" s="25" t="str">
        <x:v>Offer, provider and IPA</x:v>
      </x:c>
      <x:c r="C126" s="25" t="str">
        <x:v>Offer Acceptance Rate</x:v>
      </x:c>
      <x:c r="D126" s="25" t="str">
        <x:v>New Gold KPI</x:v>
      </x:c>
      <x:c r="E126" s="25" t="str">
        <x:v>R28</x:v>
      </x:c>
      <x:c r="F126" s="25" t="str">
        <x:v>fact_offer</x:v>
      </x:c>
      <x:c r="G126" s="25" t="str">
        <x:v>Built; UAT pending</x:v>
      </x:c>
      <x:c r="H126" s="25" t="str">
        <x:v>Definition present in WIP _Measures. Reconcile against refreshed Gold and approved business rules.</x:v>
      </x:c>
      <x:c r="I126" s="25" t="str">
        <x:v>DIVIDE ( [Accepted Offers], [Offers with a Decision] )
Python/Spark SQL: 04_gold_model.py:712
Full logic: KPI_CALCULATION_TRACEABILITY.md#dax-business-offer-acceptance-rate</x:v>
      </x:c>
    </x:row>
    <x:row r="127" ht="72" customHeight="1">
      <x:c r="A127" s="25" t="str">
        <x:v>GOLD-KPI-018</x:v>
      </x:c>
      <x:c r="B127" s="25" t="str">
        <x:v>Offer performance</x:v>
      </x:c>
      <x:c r="C127" s="25" t="str">
        <x:v>Average Offers per Referral</x:v>
      </x:c>
      <x:c r="D127" s="25" t="str">
        <x:v>New Gold KPI</x:v>
      </x:c>
      <x:c r="E127" s="25" t="str">
        <x:v>—</x:v>
      </x:c>
      <x:c r="F127" s="25" t="str">
        <x:v>fact_offer; fact_referral</x:v>
      </x:c>
      <x:c r="G127" s="25" t="str">
        <x:v>Built; UAT pending</x:v>
      </x:c>
      <x:c r="H127" s="25" t="str">
        <x:v>Definition present in WIP _Measures. Reconcile against refreshed Gold and approved business rules.</x:v>
      </x:c>
      <x:c r="I127" s="25" t="str">
        <x:v>DIVIDE ( [Offers Submitted], [Referrals With an Offer] )
Python/Spark SQL: 04_gold_model.py:712; 04_gold_model.py:232
Full logic: KPI_CALCULATION_TRACEABILITY.md#dax-business-average-offers-per-referral</x:v>
      </x:c>
    </x:row>
    <x:row r="128" ht="72" customHeight="1">
      <x:c r="A128" s="25" t="str">
        <x:v>GOLD-KPI-019</x:v>
      </x:c>
      <x:c r="B128" s="25" t="str">
        <x:v>Offer, provider and IPA</x:v>
      </x:c>
      <x:c r="C128" s="25" t="str">
        <x:v>Offers in Draft</x:v>
      </x:c>
      <x:c r="D128" s="25" t="str">
        <x:v>KPI-17, KPI-61</x:v>
      </x:c>
      <x:c r="E128" s="25" t="str">
        <x:v>R24</x:v>
      </x:c>
      <x:c r="F128" s="25" t="str">
        <x:v>fact_offer</x:v>
      </x:c>
      <x:c r="G128" s="25" t="str">
        <x:v>Built; UAT pending</x:v>
      </x:c>
      <x:c r="H128" s="25" t="str">
        <x:v>Definition present in WIP _Measures. Reconcile against refreshed Gold and approved business rules.</x:v>
      </x:c>
      <x:c r="I128" s="25" t="str">
        <x:v>CALCULATE ( [Offers Submitted], LOWER ( 'fact_offer'[offer_status] ) = "draft" )
Python/Spark SQL: 04_gold_model.py:712
Full logic: KPI_CALCULATION_TRACEABILITY.md#dax-business-offers-in-draft</x:v>
      </x:c>
    </x:row>
    <x:row r="129" ht="163" customHeight="1">
      <x:c r="A129" s="25" t="str">
        <x:v>GOLD-KPI-020</x:v>
      </x:c>
      <x:c r="B129" s="25" t="str">
        <x:v>Offer, provider and IPA</x:v>
      </x:c>
      <x:c r="C129" s="25" t="str">
        <x:v>Draft Offers Stalled 7+ Days</x:v>
      </x:c>
      <x:c r="D129" s="25" t="str">
        <x:v>New Gold KPI</x:v>
      </x:c>
      <x:c r="E129" s="25" t="str">
        <x:v>—</x:v>
      </x:c>
      <x:c r="F129" s="25" t="str">
        <x:v>fact_offer</x:v>
      </x:c>
      <x:c r="G129" s="25" t="str">
        <x:v>Built; UAT pending</x:v>
      </x:c>
      <x:c r="H129" s="25" t="str">
        <x:v>Definition present in WIP _Measures. Reconcile against refreshed Gold and approved business rules.</x:v>
      </x:c>
      <x:c r="I129" s="25" t="str">
        <x:v>CALCULATE (
				[Offers Submitted],
				FILTER (
					'fact_offer',
					LOWER ( COALESCE ( 'fact_offer'[offer_status], "" ) ) = "draft"
						&amp;&amp; 'fact_offer'[days_since_offer_activity] &gt;= 7
				)
			)
Python/Spark SQL: 04_gold_model.py:712
Full logic: KPI_CALCULATION_TRACEABILITY.md#dax-business-draft-offers-stalled-7-days</x:v>
      </x:c>
    </x:row>
    <x:row r="130" ht="59" customHeight="1">
      <x:c r="A130" s="25" t="str">
        <x:v>GOLD-KPI-021</x:v>
      </x:c>
      <x:c r="B130" s="25" t="str">
        <x:v>Offer, provider and IPA</x:v>
      </x:c>
      <x:c r="C130" s="25" t="str">
        <x:v>IPAs Created</x:v>
      </x:c>
      <x:c r="D130" s="25" t="str">
        <x:v>KPI-76</x:v>
      </x:c>
      <x:c r="E130" s="25" t="str">
        <x:v>R35</x:v>
      </x:c>
      <x:c r="F130" s="25" t="str">
        <x:v>fact_ipa</x:v>
      </x:c>
      <x:c r="G130" s="25" t="str">
        <x:v>Built; UAT pending</x:v>
      </x:c>
      <x:c r="H130" s="25" t="str">
        <x:v>Definition present in WIP _Measures. Reconcile against refreshed Gold and approved business rules.</x:v>
      </x:c>
      <x:c r="I130" s="25" t="str">
        <x:v>DISTINCTCOUNT ( 'fact_ipa'[ipa_id] )
Python/Spark SQL: 04_gold_model.py:817
Full logic: KPI_CALCULATION_TRACEABILITY.md#dax-business-ipas-created</x:v>
      </x:c>
    </x:row>
    <x:row r="131" ht="72" customHeight="1">
      <x:c r="A131" s="25" t="str">
        <x:v>GOLD-KPI-022</x:v>
      </x:c>
      <x:c r="B131" s="25" t="str">
        <x:v>Offer, provider and IPA</x:v>
      </x:c>
      <x:c r="C131" s="25" t="str">
        <x:v>Active IPAs</x:v>
      </x:c>
      <x:c r="D131" s="25" t="str">
        <x:v>New Gold KPI</x:v>
      </x:c>
      <x:c r="E131" s="25" t="str">
        <x:v>R35, R62</x:v>
      </x:c>
      <x:c r="F131" s="25" t="str">
        <x:v>fact_ipa</x:v>
      </x:c>
      <x:c r="G131" s="25" t="str">
        <x:v>Built; UAT pending</x:v>
      </x:c>
      <x:c r="H131" s="25" t="str">
        <x:v>Definition present in WIP _Measures. Reconcile against refreshed Gold and approved business rules.</x:v>
      </x:c>
      <x:c r="I131" s="25" t="str">
        <x:v>CALCULATE ( [IPAs Created], 'fact_ipa'[is_placement_closed] = FALSE () )
Python/Spark SQL: 04_gold_model.py:817
Full logic: KPI_CALCULATION_TRACEABILITY.md#dax-business-active-ipas</x:v>
      </x:c>
    </x:row>
    <x:row r="132" ht="98" customHeight="1">
      <x:c r="A132" s="25" t="str">
        <x:v>GOLD-KPI-023</x:v>
      </x:c>
      <x:c r="B132" s="25" t="str">
        <x:v>Offer, provider and IPA</x:v>
      </x:c>
      <x:c r="C132" s="25" t="str">
        <x:v>Estimated Active Weekly Cost</x:v>
      </x:c>
      <x:c r="D132" s="25" t="str">
        <x:v>KPI-107 replacement</x:v>
      </x:c>
      <x:c r="E132" s="25" t="str">
        <x:v>R62</x:v>
      </x:c>
      <x:c r="F132" s="25" t="str">
        <x:v>fact_ipa</x:v>
      </x:c>
      <x:c r="G132" s="25" t="str">
        <x:v>Built; UAT pending</x:v>
      </x:c>
      <x:c r="H132" s="25" t="str">
        <x:v>Estimated active weekly liability, not actual spend or verified signed fee liability.</x:v>
      </x:c>
      <x:c r="I132" s="25" t="str">
        <x:v>CALCULATE (
			    SUM ( 'fact_ipa'[estimated_weekly_cost] ),
			    'fact_ipa'[is_placement_closed] = FALSE ()
			)
Python/Spark SQL: 04_gold_model.py:817
Full logic: KPI_CALCULATION_TRACEABILITY.md#dax-business-estimated-active-weekly-cost</x:v>
      </x:c>
    </x:row>
    <x:row r="133" ht="176" customHeight="1">
      <x:c r="A133" s="25" t="str">
        <x:v>GOLD-KPI-024</x:v>
      </x:c>
      <x:c r="B133" s="25" t="str">
        <x:v>IPA cost</x:v>
      </x:c>
      <x:c r="C133" s="25" t="str">
        <x:v>Average Estimated Weekly Cost — Confirmed Referrals</x:v>
      </x:c>
      <x:c r="D133" s="25" t="str">
        <x:v>New Gold KPI</x:v>
      </x:c>
      <x:c r="E133" s="25" t="str">
        <x:v>R62</x:v>
      </x:c>
      <x:c r="F133" s="25" t="str">
        <x:v>fact_referral</x:v>
      </x:c>
      <x:c r="G133" s="25" t="str">
        <x:v>Built; UAT pending</x:v>
      </x:c>
      <x:c r="H133" s="25" t="str">
        <x:v>Average referral-level estimated weekly cost for issued IPAs, not actual cost.</x:v>
      </x:c>
      <x:c r="I133" s="25" t="str">
        <x:v>AVERAGEX (
			    FILTER (
			        'fact_referral',
			        NOT ISBLANK ( 'fact_referral'[ipa_issued_date] )
			            &amp;&amp; NOT ISBLANK ( 'fact_referral'[estimated_weekly_cost] )
			    ),
			    'fact_referral'[estimated_weekly_cost]
			)
Python/Spark SQL: 04_gold_model.py:232
Full logic: KPI_CALCULATION_TRACEABILITY.md#dax-business-average-estimated-weekly-cost-confirmed-referrals</x:v>
      </x:c>
    </x:row>
    <x:row r="134" ht="72" customHeight="1">
      <x:c r="A134" s="25" t="str">
        <x:v>GOLD-KPI-025</x:v>
      </x:c>
      <x:c r="B134" s="25" t="str">
        <x:v>Provider engagement</x:v>
      </x:c>
      <x:c r="C134" s="25" t="str">
        <x:v>Provider Assignments</x:v>
      </x:c>
      <x:c r="D134" s="25" t="str">
        <x:v>New Gold KPI</x:v>
      </x:c>
      <x:c r="E134" s="25" t="str">
        <x:v>R24, R26</x:v>
      </x:c>
      <x:c r="F134" s="25" t="str">
        <x:v>fact_referral_provider</x:v>
      </x:c>
      <x:c r="G134" s="25" t="str">
        <x:v>Built; UAT pending</x:v>
      </x:c>
      <x:c r="H134" s="25" t="str">
        <x:v>Definition present in WIP _Measures. Reconcile against refreshed Gold and approved business rules.</x:v>
      </x:c>
      <x:c r="I134" s="25" t="str">
        <x:v>DISTINCTCOUNT ( 'fact_referral_provider'[referral_provider_id] )
Python/Spark SQL: 04_gold_model.py:847
Full logic: KPI_CALCULATION_TRACEABILITY.md#dax-business-provider-assignments</x:v>
      </x:c>
    </x:row>
    <x:row r="135" ht="72" customHeight="1">
      <x:c r="A135" s="25" t="str">
        <x:v>GOLD-KPI-026</x:v>
      </x:c>
      <x:c r="B135" s="25" t="str">
        <x:v>Provider engagement</x:v>
      </x:c>
      <x:c r="C135" s="25" t="str">
        <x:v>Provider Declines</x:v>
      </x:c>
      <x:c r="D135" s="25" t="str">
        <x:v>New Gold KPI</x:v>
      </x:c>
      <x:c r="E135" s="25" t="str">
        <x:v>R54</x:v>
      </x:c>
      <x:c r="F135" s="25" t="str">
        <x:v>fact_referral_provider</x:v>
      </x:c>
      <x:c r="G135" s="25" t="str">
        <x:v>Built; UAT pending</x:v>
      </x:c>
      <x:c r="H135" s="25" t="str">
        <x:v>Definition present in WIP _Measures. Reconcile against refreshed Gold and approved business rules.</x:v>
      </x:c>
      <x:c r="I135" s="25" t="str">
        <x:v>CALCULATE ( [Provider Assignments], 'fact_referral_provider'[is_declined] = TRUE () )
Python/Spark SQL: 04_gold_model.py:847
Full logic: KPI_CALCULATION_TRACEABILITY.md#dax-business-provider-declines</x:v>
      </x:c>
    </x:row>
    <x:row r="136" ht="59" customHeight="1">
      <x:c r="A136" s="25" t="str">
        <x:v>GOLD-KPI-027</x:v>
      </x:c>
      <x:c r="B136" s="25" t="str">
        <x:v>Provider engagement</x:v>
      </x:c>
      <x:c r="C136" s="25" t="str">
        <x:v>Provider Decline Rate</x:v>
      </x:c>
      <x:c r="D136" s="25" t="str">
        <x:v>New Gold KPI</x:v>
      </x:c>
      <x:c r="E136" s="25" t="str">
        <x:v>R54</x:v>
      </x:c>
      <x:c r="F136" s="25" t="str">
        <x:v>fact_referral_provider</x:v>
      </x:c>
      <x:c r="G136" s="25" t="str">
        <x:v>Built; UAT pending</x:v>
      </x:c>
      <x:c r="H136" s="25" t="str">
        <x:v>Definition present in WIP _Measures. Reconcile against refreshed Gold and approved business rules.</x:v>
      </x:c>
      <x:c r="I136" s="25" t="str">
        <x:v>DIVIDE ( [Provider Declines], [Provider Assignments] )
Python/Spark SQL: 04_gold_model.py:847
Full logic: KPI_CALCULATION_TRACEABILITY.md#dax-business-provider-decline-rate</x:v>
      </x:c>
    </x:row>
    <x:row r="137" ht="59" customHeight="1">
      <x:c r="A137" s="25" t="str">
        <x:v>GOLD-KPI-028</x:v>
      </x:c>
      <x:c r="B137" s="25" t="str">
        <x:v>Referral snapshot</x:v>
      </x:c>
      <x:c r="C137" s="25" t="str">
        <x:v>Snapshot Referrals</x:v>
      </x:c>
      <x:c r="D137" s="25" t="str">
        <x:v>New Gold KPI</x:v>
      </x:c>
      <x:c r="E137" s="25" t="str">
        <x:v>R24, R52</x:v>
      </x:c>
      <x:c r="F137" s="25" t="str">
        <x:v>fact_referral_snapshot</x:v>
      </x:c>
      <x:c r="G137" s="25" t="str">
        <x:v>Built; UAT pending</x:v>
      </x:c>
      <x:c r="H137" s="25" t="str">
        <x:v>Definition present in WIP _Measures. Reconcile against refreshed Gold and approved business rules.</x:v>
      </x:c>
      <x:c r="I137" s="25" t="str">
        <x:v>DISTINCTCOUNT ( 'fact_referral_snapshot'[referral_id] )
Python/Spark SQL: 04_gold_model.py:567
Full logic: KPI_CALCULATION_TRACEABILITY.md#dax-business-snapshot-referrals</x:v>
      </x:c>
    </x:row>
    <x:row r="138" ht="72" customHeight="1">
      <x:c r="A138" s="25" t="str">
        <x:v>GOLD-KPI-029</x:v>
      </x:c>
      <x:c r="B138" s="25" t="str">
        <x:v>Referral snapshot</x:v>
      </x:c>
      <x:c r="C138" s="25" t="str">
        <x:v>Open Referrals at Snapshot</x:v>
      </x:c>
      <x:c r="D138" s="25" t="str">
        <x:v>New Gold KPI</x:v>
      </x:c>
      <x:c r="E138" s="25" t="str">
        <x:v>R24</x:v>
      </x:c>
      <x:c r="F138" s="25" t="str">
        <x:v>fact_referral_snapshot</x:v>
      </x:c>
      <x:c r="G138" s="25" t="str">
        <x:v>Built; UAT pending</x:v>
      </x:c>
      <x:c r="H138" s="25" t="str">
        <x:v>Definition present in WIP _Measures. Reconcile against refreshed Gold and approved business rules.</x:v>
      </x:c>
      <x:c r="I138" s="25" t="str">
        <x:v>CALCULATE ( [Snapshot Referrals], 'fact_referral_snapshot'[is_open] = TRUE () )
Python/Spark SQL: 04_gold_model.py:567
Full logic: KPI_CALCULATION_TRACEABILITY.md#dax-business-open-referrals-at-snapshot</x:v>
      </x:c>
    </x:row>
    <x:row r="139" ht="176" customHeight="1">
      <x:c r="A139" s="25" t="str">
        <x:v>GOLD-KPI-030</x:v>
      </x:c>
      <x:c r="B139" s="25" t="str">
        <x:v>Referral snapshot</x:v>
      </x:c>
      <x:c r="C139" s="25" t="str">
        <x:v>Closed Referrals at Snapshot</x:v>
      </x:c>
      <x:c r="D139" s="25" t="str">
        <x:v>New Gold KPI</x:v>
      </x:c>
      <x:c r="E139" s="25" t="str">
        <x:v>R13</x:v>
      </x:c>
      <x:c r="F139" s="25" t="str">
        <x:v>fact_referral_snapshot</x:v>
      </x:c>
      <x:c r="G139" s="25" t="str">
        <x:v>Built; UAT pending</x:v>
      </x:c>
      <x:c r="H139" s="25" t="str">
        <x:v>Closure-date predicate at the retained snapshot date; distinguish closed/cancelled status snapshot measure.</x:v>
      </x:c>
      <x:c r="I139" s="25" t="str">
        <x:v>CALCULATE (
			    [Snapshot Referrals],
			    FILTER (
			        'fact_referral_snapshot',
			        NOT ISBLANK ( 'fact_referral_snapshot'[referral_closed_date] )
			            &amp;&amp; 'fact_referral_snapshot'[referral_closed_date] &lt; 'fact_referral_snapshot'[snapshot_date] + 1
			    )
			)
Python/Spark SQL: 04_gold_model.py:567
Full logic: KPI_CALCULATION_TRACEABILITY.md#dax-business-closed-referrals-at-snapshot</x:v>
      </x:c>
    </x:row>
    <x:row r="140" ht="176" customHeight="1">
      <x:c r="A140" s="25" t="str">
        <x:v>GOLD-KPI-031</x:v>
      </x:c>
      <x:c r="B140" s="25" t="str">
        <x:v>Referral snapshot</x:v>
      </x:c>
      <x:c r="C140" s="25" t="str">
        <x:v>Referrals with IPA at Snapshot</x:v>
      </x:c>
      <x:c r="D140" s="25" t="str">
        <x:v>New Gold KPI</x:v>
      </x:c>
      <x:c r="E140" s="25" t="str">
        <x:v>R35</x:v>
      </x:c>
      <x:c r="F140" s="25" t="str">
        <x:v>fact_referral_snapshot</x:v>
      </x:c>
      <x:c r="G140" s="25" t="str">
        <x:v>Built; UAT pending</x:v>
      </x:c>
      <x:c r="H140" s="25" t="str">
        <x:v>Definition present in WIP _Measures. Reconcile against refreshed Gold and approved business rules.</x:v>
      </x:c>
      <x:c r="I140" s="25" t="str">
        <x:v>CALCULATE (
			    [Snapshot Referrals],
			    FILTER (
			        'fact_referral_snapshot',
			        NOT ISBLANK ( 'fact_referral_snapshot'[ipa_issued_date] )
			            &amp;&amp; 'fact_referral_snapshot'[ipa_issued_date] &lt; 'fact_referral_snapshot'[snapshot_date] + 1
			    )
			)
Python/Spark SQL: 04_gold_model.py:567
Full logic: KPI_CALCULATION_TRACEABILITY.md#dax-business-referrals-with-ipa-at-snapshot</x:v>
      </x:c>
    </x:row>
    <x:row r="141" ht="72" customHeight="1">
      <x:c r="A141" s="25" t="str">
        <x:v>GOLD-KPI-032</x:v>
      </x:c>
      <x:c r="B141" s="25" t="str">
        <x:v>Referral snapshot</x:v>
      </x:c>
      <x:c r="C141" s="25" t="str">
        <x:v>Open Overdue Referrals at Snapshot</x:v>
      </x:c>
      <x:c r="D141" s="25" t="str">
        <x:v>New Gold KPI</x:v>
      </x:c>
      <x:c r="E141" s="25" t="str">
        <x:v>—</x:v>
      </x:c>
      <x:c r="F141" s="25" t="str">
        <x:v>fact_referral_snapshot</x:v>
      </x:c>
      <x:c r="G141" s="25" t="str">
        <x:v>Built; UAT pending</x:v>
      </x:c>
      <x:c r="H141" s="25" t="str">
        <x:v>Definition present in WIP _Measures. Reconcile against refreshed Gold and approved business rules.</x:v>
      </x:c>
      <x:c r="I141" s="25" t="str">
        <x:v>CALCULATE ( [Snapshot Referrals], 'fact_referral_snapshot'[is_open_overdue] = TRUE () )
Python/Spark SQL: 04_gold_model.py:567
Full logic: KPI_CALCULATION_TRACEABILITY.md#dax-business-open-overdue-referrals-at-snapshot</x:v>
      </x:c>
    </x:row>
    <x:row r="142" ht="111" customHeight="1">
      <x:c r="A142" s="25" t="str">
        <x:v>GOLD-KPI-033</x:v>
      </x:c>
      <x:c r="B142" s="25" t="str">
        <x:v>Referral snapshot</x:v>
      </x:c>
      <x:c r="C142" s="25" t="str">
        <x:v>Open On-Track Referrals at Snapshot</x:v>
      </x:c>
      <x:c r="D142" s="25" t="str">
        <x:v>New Gold KPI</x:v>
      </x:c>
      <x:c r="E142" s="25" t="str">
        <x:v>—</x:v>
      </x:c>
      <x:c r="F142" s="25" t="str">
        <x:v>fact_referral_snapshot</x:v>
      </x:c>
      <x:c r="G142" s="25" t="str">
        <x:v>Built; UAT pending</x:v>
      </x:c>
      <x:c r="H142" s="25" t="str">
        <x:v>Definition present in WIP _Measures. Reconcile against refreshed Gold and approved business rules.</x:v>
      </x:c>
      <x:c r="I142" s="25" t="str">
        <x:v>CALCULATE (
			    [Snapshot Referrals],
			    'fact_referral_snapshot'[required_placement_date_outcome] = "Open on track"
			)
Python/Spark SQL: 04_gold_model.py:567
Full logic: KPI_CALCULATION_TRACEABILITY.md#dax-business-open-on-track-referrals-at-snapshot</x:v>
      </x:c>
    </x:row>
    <x:row r="143" ht="72" customHeight="1">
      <x:c r="A143" s="25" t="str">
        <x:v>GOLD-KPI-034</x:v>
      </x:c>
      <x:c r="B143" s="25" t="str">
        <x:v>Referral snapshot</x:v>
      </x:c>
      <x:c r="C143" s="25" t="str">
        <x:v>Open Referral Rate at Snapshot</x:v>
      </x:c>
      <x:c r="D143" s="25" t="str">
        <x:v>New Gold KPI</x:v>
      </x:c>
      <x:c r="E143" s="25" t="str">
        <x:v>—</x:v>
      </x:c>
      <x:c r="F143" s="25" t="str">
        <x:v>fact_referral_snapshot</x:v>
      </x:c>
      <x:c r="G143" s="25" t="str">
        <x:v>Built; UAT pending</x:v>
      </x:c>
      <x:c r="H143" s="25" t="str">
        <x:v>Definition present in WIP _Measures. Reconcile against refreshed Gold and approved business rules.</x:v>
      </x:c>
      <x:c r="I143" s="25" t="str">
        <x:v>DIVIDE ( [Open Referrals at Snapshot], [Snapshot Referrals] )
Python/Spark SQL: 04_gold_model.py:567
Full logic: KPI_CALCULATION_TRACEABILITY.md#dax-business-open-referral-rate-at-snapshot</x:v>
      </x:c>
    </x:row>
    <x:row r="144" ht="72" customHeight="1">
      <x:c r="A144" s="25" t="str">
        <x:v>GOLD-KPI-035</x:v>
      </x:c>
      <x:c r="B144" s="25" t="str">
        <x:v>Referral snapshot</x:v>
      </x:c>
      <x:c r="C144" s="25" t="str">
        <x:v>Placement Rate at Snapshot</x:v>
      </x:c>
      <x:c r="D144" s="25" t="str">
        <x:v>New Gold KPI</x:v>
      </x:c>
      <x:c r="E144" s="25" t="str">
        <x:v>—</x:v>
      </x:c>
      <x:c r="F144" s="25" t="str">
        <x:v>fact_referral_snapshot</x:v>
      </x:c>
      <x:c r="G144" s="25" t="str">
        <x:v>Built; UAT pending</x:v>
      </x:c>
      <x:c r="H144" s="25" t="str">
        <x:v>Definition present in WIP _Measures. Reconcile against refreshed Gold and approved business rules.</x:v>
      </x:c>
      <x:c r="I144" s="25" t="str">
        <x:v>DIVIDE ( [Referrals with IPA at Snapshot], [Snapshot Referrals] )
Python/Spark SQL: 04_gold_model.py:567
Full logic: KPI_CALCULATION_TRACEABILITY.md#dax-business-placement-rate-at-snapshot</x:v>
      </x:c>
    </x:row>
    <x:row r="145" ht="111" customHeight="1">
      <x:c r="A145" s="25" t="str">
        <x:v>GOLD-KPI-036</x:v>
      </x:c>
      <x:c r="B145" s="25" t="str">
        <x:v>Referral and provider engagement</x:v>
      </x:c>
      <x:c r="C145" s="25" t="str">
        <x:v>Referrals Created This Month</x:v>
      </x:c>
      <x:c r="D145" s="25" t="str">
        <x:v>KPI-23</x:v>
      </x:c>
      <x:c r="E145" s="25" t="str">
        <x:v>R24, R52</x:v>
      </x:c>
      <x:c r="F145" s="25" t="str">
        <x:v>dim_date; fact_referral</x:v>
      </x:c>
      <x:c r="G145" s="25" t="str">
        <x:v>Built; UAT pending</x:v>
      </x:c>
      <x:c r="H145" s="25" t="str">
        <x:v>Definition present in WIP _Measures. Reconcile against refreshed Gold and approved business rules.</x:v>
      </x:c>
      <x:c r="I145" s="25" t="str">
        <x:v>VAR as_of = MAX ( 'fact_referral'[as_of_date] )
			RETURN IF ( NOT ISBLANK ( as_of ), CALCULATE ( [Total Referrals], DATESBETWEEN ( 'dim_date'[date], DATE ( YEAR ( as_of ), MONTH ( as_of ), 1 ), as_of ) ) )
Python/Spark SQL: 05_gold_dimensions.py:128; 04_gold_model.py:232
Full logic: KPI_CALCULATION_TRACEABILITY.md#dax-business-referrals-created-this-month</x:v>
      </x:c>
    </x:row>
    <x:row r="146" ht="85" customHeight="1">
      <x:c r="A146" s="25" t="str">
        <x:v>GOLD-KPI-037</x:v>
      </x:c>
      <x:c r="B146" s="25" t="str">
        <x:v>Referral and provider engagement</x:v>
      </x:c>
      <x:c r="C146" s="25" t="str">
        <x:v>Referrals Created Previous Month</x:v>
      </x:c>
      <x:c r="D146" s="25" t="str">
        <x:v>New Gold KPI</x:v>
      </x:c>
      <x:c r="E146" s="25" t="str">
        <x:v>—</x:v>
      </x:c>
      <x:c r="F146" s="25" t="str">
        <x:v>dim_date; fact_referral</x:v>
      </x:c>
      <x:c r="G146" s="25" t="str">
        <x:v>Built; UAT pending</x:v>
      </x:c>
      <x:c r="H146" s="25" t="str">
        <x:v>Definition present in WIP _Measures. Reconcile against refreshed Gold and approved business rules.</x:v>
      </x:c>
      <x:c r="I146" s="25" t="str">
        <x:v>CALCULATE ( [Total Referrals], DATEADD ( 'dim_date'[date], -1, MONTH ) )
Python/Spark SQL: 05_gold_dimensions.py:128; 04_gold_model.py:232
Full logic: KPI_CALCULATION_TRACEABILITY.md#dax-business-referrals-created-previous-month</x:v>
      </x:c>
    </x:row>
    <x:row r="147" ht="72" customHeight="1">
      <x:c r="A147" s="25" t="str">
        <x:v>GOLD-KPI-038</x:v>
      </x:c>
      <x:c r="B147" s="25" t="str">
        <x:v>Referral and provider engagement</x:v>
      </x:c>
      <x:c r="C147" s="25" t="str">
        <x:v>Referral Volume Month on Month</x:v>
      </x:c>
      <x:c r="D147" s="25" t="str">
        <x:v>New Gold KPI</x:v>
      </x:c>
      <x:c r="E147" s="25" t="str">
        <x:v>—</x:v>
      </x:c>
      <x:c r="F147" s="25" t="str">
        <x:v>dim_date; fact_referral</x:v>
      </x:c>
      <x:c r="G147" s="25" t="str">
        <x:v>Built; UAT pending</x:v>
      </x:c>
      <x:c r="H147" s="25" t="str">
        <x:v>Definition present in WIP _Measures. Reconcile against refreshed Gold and approved business rules.</x:v>
      </x:c>
      <x:c r="I147" s="25" t="str">
        <x:v>[Total Referrals] - [Referrals Created Previous Month]
Python/Spark SQL: 04_gold_model.py:232; 05_gold_dimensions.py:128
Full logic: KPI_CALCULATION_TRACEABILITY.md#dax-business-referral-volume-month-on-month</x:v>
      </x:c>
    </x:row>
    <x:row r="148" ht="85" customHeight="1">
      <x:c r="A148" s="25" t="str">
        <x:v>GOLD-KPI-039</x:v>
      </x:c>
      <x:c r="B148" s="25" t="str">
        <x:v>Referral and provider engagement</x:v>
      </x:c>
      <x:c r="C148" s="25" t="str">
        <x:v>Referral Volume Month on Month %</x:v>
      </x:c>
      <x:c r="D148" s="25" t="str">
        <x:v>New Gold KPI</x:v>
      </x:c>
      <x:c r="E148" s="25" t="str">
        <x:v>—</x:v>
      </x:c>
      <x:c r="F148" s="25" t="str">
        <x:v>dim_date; fact_referral</x:v>
      </x:c>
      <x:c r="G148" s="25" t="str">
        <x:v>Built; UAT pending</x:v>
      </x:c>
      <x:c r="H148" s="25" t="str">
        <x:v>Definition present in WIP _Measures. Reconcile against refreshed Gold and approved business rules.</x:v>
      </x:c>
      <x:c r="I148" s="25" t="str">
        <x:v>DIVIDE ( [Referral Volume Month on Month], [Referrals Created Previous Month] )
Python/Spark SQL: 04_gold_model.py:232; 05_gold_dimensions.py:128
Full logic: KPI_CALCULATION_TRACEABILITY.md#dax-business-referral-volume-month-on-month-percent</x:v>
      </x:c>
    </x:row>
    <x:row r="149" ht="137" customHeight="1">
      <x:c r="A149" s="25" t="str">
        <x:v>GOLD-KPI-040</x:v>
      </x:c>
      <x:c r="B149" s="25" t="str">
        <x:v>Referral and provider engagement</x:v>
      </x:c>
      <x:c r="C149" s="25" t="str">
        <x:v>Referrals Created This Financial Year</x:v>
      </x:c>
      <x:c r="D149" s="25" t="str">
        <x:v>KPI-24</x:v>
      </x:c>
      <x:c r="E149" s="25" t="str">
        <x:v>R52</x:v>
      </x:c>
      <x:c r="F149" s="25" t="str">
        <x:v>dim_date; fact_referral</x:v>
      </x:c>
      <x:c r="G149" s="25" t="str">
        <x:v>Built; UAT pending</x:v>
      </x:c>
      <x:c r="H149" s="25" t="str">
        <x:v>Definition present in WIP _Measures. Reconcile against refreshed Gold and approved business rules.</x:v>
      </x:c>
      <x:c r="I149" s="25" t="str">
        <x:v>VAR as_of = MAX ( 'fact_referral'[as_of_date] )
			VAR year_start = DATE ( YEAR ( as_of ) - IF ( MONTH ( as_of ) &lt; 4, 1, 0 ), 4, 1 )
			RETURN IF ( NOT ISBLANK ( as_of ), CALCULATE ( [Total Referrals], DATESBETWEEN ( 'dim_date'[date], year_start, as_of ) ) )
Python/Spark SQL: 05_gold_dimensions.py:128; 04_gold_model.py:232
Full logic: KPI_CALCULATION_TRACEABILITY.md#dax-business-referrals-created-this-financial-year</x:v>
      </x:c>
    </x:row>
    <x:row r="150" ht="72" customHeight="1">
      <x:c r="A150" s="25" t="str">
        <x:v>GOLD-KPI-041</x:v>
      </x:c>
      <x:c r="B150" s="25" t="str">
        <x:v>Referral and provider engagement</x:v>
      </x:c>
      <x:c r="C150" s="25" t="str">
        <x:v>Referrals Currently Active</x:v>
      </x:c>
      <x:c r="D150" s="25" t="str">
        <x:v>New Gold KPI</x:v>
      </x:c>
      <x:c r="E150" s="25" t="str">
        <x:v>—</x:v>
      </x:c>
      <x:c r="F150" s="25" t="str">
        <x:v>fact_referral</x:v>
      </x:c>
      <x:c r="G150" s="25" t="str">
        <x:v>Built; UAT pending</x:v>
      </x:c>
      <x:c r="H150" s="25" t="str">
        <x:v>Definition present in WIP _Measures. Reconcile against refreshed Gold and approved business rules.</x:v>
      </x:c>
      <x:c r="I150" s="25" t="str">
        <x:v>CALCULATE ( [Total Referrals], 'fact_referral'[is_open] = TRUE () )
Python/Spark SQL: 04_gold_model.py:232
Full logic: KPI_CALCULATION_TRACEABILITY.md#dax-business-referrals-currently-active</x:v>
      </x:c>
    </x:row>
    <x:row r="151" ht="85" customHeight="1">
      <x:c r="A151" s="25" t="str">
        <x:v>GOLD-KPI-042</x:v>
      </x:c>
      <x:c r="B151" s="25" t="str">
        <x:v>Referral and provider engagement</x:v>
      </x:c>
      <x:c r="C151" s="25" t="str">
        <x:v>Referrals Under Offer</x:v>
      </x:c>
      <x:c r="D151" s="25" t="str">
        <x:v>KPI-30</x:v>
      </x:c>
      <x:c r="E151" s="25" t="str">
        <x:v>R24, R36</x:v>
      </x:c>
      <x:c r="F151" s="25" t="str">
        <x:v>fact_referral</x:v>
      </x:c>
      <x:c r="G151" s="25" t="str">
        <x:v>Built; UAT pending</x:v>
      </x:c>
      <x:c r="H151" s="25" t="str">
        <x:v>Definition present in WIP _Measures. Reconcile against refreshed Gold and approved business rules.</x:v>
      </x:c>
      <x:c r="I151" s="25" t="str">
        <x:v>CALCULATE ( [Total Referrals], KEEPFILTERS ( 'fact_referral'[is_open] = TRUE () ), KEEPFILTERS ( 'fact_referral'[current_status] = "UNDER_OFFER" ) )
Python/Spark SQL: 04_gold_model.py:232
Full logic: KPI_CALCULATION_TRACEABILITY.md#dax-business-referrals-under-offer</x:v>
      </x:c>
    </x:row>
    <x:row r="152" ht="176" customHeight="1">
      <x:c r="A152" s="25" t="str">
        <x:v>GOLD-KPI-043</x:v>
      </x:c>
      <x:c r="B152" s="25" t="str">
        <x:v>Referral and provider engagement</x:v>
      </x:c>
      <x:c r="C152" s="25" t="str">
        <x:v>Closed or Cancelled Referrals</x:v>
      </x:c>
      <x:c r="D152" s="25" t="str">
        <x:v>New Gold KPI</x:v>
      </x:c>
      <x:c r="E152" s="25" t="str">
        <x:v>—</x:v>
      </x:c>
      <x:c r="F152" s="25" t="str">
        <x:v>fact_referral</x:v>
      </x:c>
      <x:c r="G152" s="25" t="str">
        <x:v>Built; UAT pending</x:v>
      </x:c>
      <x:c r="H152" s="25" t="str">
        <x:v>Definition present in WIP _Measures. Reconcile against refreshed Gold and approved business rules.</x:v>
      </x:c>
      <x:c r="I152" s="25" t="str">
        <x:v>CALCULATE (
			    [Total Referrals],
			    FILTER (
			        'fact_referral',
			        LOWER ( COALESCE ( 'fact_referral'[current_status], "" ) )
			            IN { "closed", "cancelled", "withdrawn", "completed" }
			    )
			)
Python/Spark SQL: 04_gold_model.py:232
Full logic: KPI_CALCULATION_TRACEABILITY.md#dax-business-closed-or-cancelled-referrals</x:v>
      </x:c>
    </x:row>
    <x:row r="153" ht="111" customHeight="1">
      <x:c r="A153" s="25" t="str">
        <x:v>GOLD-KPI-044</x:v>
      </x:c>
      <x:c r="B153" s="25" t="str">
        <x:v>Referral and provider engagement</x:v>
      </x:c>
      <x:c r="C153" s="25" t="str">
        <x:v>Active Referrals With Provider Engagement</x:v>
      </x:c>
      <x:c r="D153" s="25" t="str">
        <x:v>New Gold KPI</x:v>
      </x:c>
      <x:c r="E153" s="25" t="str">
        <x:v>—</x:v>
      </x:c>
      <x:c r="F153" s="25" t="str">
        <x:v>fact_referral</x:v>
      </x:c>
      <x:c r="G153" s="25" t="str">
        <x:v>Built; UAT pending</x:v>
      </x:c>
      <x:c r="H153" s="25" t="str">
        <x:v>Definition present in WIP _Measures. Reconcile against refreshed Gold and approved business rules.</x:v>
      </x:c>
      <x:c r="I153" s="25" t="str">
        <x:v>CALCULATE (
				[Total Referrals],
				'fact_referral'[is_open] = TRUE (),
				'fact_referral'[has_provider_response] = TRUE ()
			)
Python/Spark SQL: 04_gold_model.py:232
Full logic: KPI_CALCULATION_TRACEABILITY.md#dax-business-active-referrals-with-provider-engagement</x:v>
      </x:c>
    </x:row>
    <x:row r="154" ht="72" customHeight="1">
      <x:c r="A154" s="25" t="str">
        <x:v>GOLD-KPI-045</x:v>
      </x:c>
      <x:c r="B154" s="25" t="str">
        <x:v>Referral and provider engagement</x:v>
      </x:c>
      <x:c r="C154" s="25" t="str">
        <x:v>Active Referral Engagement Rate</x:v>
      </x:c>
      <x:c r="D154" s="25" t="str">
        <x:v>New Gold KPI</x:v>
      </x:c>
      <x:c r="E154" s="25" t="str">
        <x:v>—</x:v>
      </x:c>
      <x:c r="F154" s="25" t="str">
        <x:v>fact_referral</x:v>
      </x:c>
      <x:c r="G154" s="25" t="str">
        <x:v>Built; UAT pending</x:v>
      </x:c>
      <x:c r="H154" s="25" t="str">
        <x:v>Definition present in WIP _Measures. Reconcile against refreshed Gold and approved business rules.</x:v>
      </x:c>
      <x:c r="I154" s="25" t="str">
        <x:v>DIVIDE ( [Active Referrals With Provider Engagement], [Referrals Currently Active] )
Python/Spark SQL: 04_gold_model.py:232
Full logic: KPI_CALCULATION_TRACEABILITY.md#dax-business-active-referral-engagement-rate</x:v>
      </x:c>
    </x:row>
    <x:row r="155" ht="124" customHeight="1">
      <x:c r="A155" s="25" t="str">
        <x:v>GOLD-KPI-046</x:v>
      </x:c>
      <x:c r="B155" s="25" t="str">
        <x:v>Referral and provider engagement</x:v>
      </x:c>
      <x:c r="C155" s="25" t="str">
        <x:v>Active Awaiting Offers With Engagement</x:v>
      </x:c>
      <x:c r="D155" s="25" t="str">
        <x:v>New Gold KPI</x:v>
      </x:c>
      <x:c r="E155" s="25" t="str">
        <x:v>—</x:v>
      </x:c>
      <x:c r="F155" s="25" t="str">
        <x:v>fact_referral</x:v>
      </x:c>
      <x:c r="G155" s="25" t="str">
        <x:v>Built; UAT pending</x:v>
      </x:c>
      <x:c r="H155" s="25" t="str">
        <x:v>Definition present in WIP _Measures. Reconcile against refreshed Gold and approved business rules.</x:v>
      </x:c>
      <x:c r="I155" s="25" t="str">
        <x:v>CALCULATE (
				[Total Referrals],
				'fact_referral'[is_open] = TRUE (),
				'fact_referral'[is_awaiting_offer] = TRUE (),
				'fact_referral'[has_provider_response] = TRUE ()
			)
Python/Spark SQL: 04_gold_model.py:232
Full logic: KPI_CALCULATION_TRACEABILITY.md#dax-business-active-awaiting-offers-with-engagement</x:v>
      </x:c>
    </x:row>
    <x:row r="156" ht="124" customHeight="1">
      <x:c r="A156" s="25" t="str">
        <x:v>GOLD-KPI-047</x:v>
      </x:c>
      <x:c r="B156" s="25" t="str">
        <x:v>Referral and provider engagement</x:v>
      </x:c>
      <x:c r="C156" s="25" t="str">
        <x:v>Active Awaiting Offers Without Engagement</x:v>
      </x:c>
      <x:c r="D156" s="25" t="str">
        <x:v>New Gold KPI</x:v>
      </x:c>
      <x:c r="E156" s="25" t="str">
        <x:v>—</x:v>
      </x:c>
      <x:c r="F156" s="25" t="str">
        <x:v>fact_referral</x:v>
      </x:c>
      <x:c r="G156" s="25" t="str">
        <x:v>Built; UAT pending</x:v>
      </x:c>
      <x:c r="H156" s="25" t="str">
        <x:v>Definition present in WIP _Measures. Reconcile against refreshed Gold and approved business rules.</x:v>
      </x:c>
      <x:c r="I156" s="25" t="str">
        <x:v>CALCULATE (
				[Total Referrals],
				'fact_referral'[is_open] = TRUE (),
				'fact_referral'[is_awaiting_offer] = TRUE (),
				'fact_referral'[has_provider_response] = FALSE ()
			)
Python/Spark SQL: 04_gold_model.py:232
Full logic: KPI_CALCULATION_TRACEABILITY.md#dax-business-active-awaiting-offers-without-engagement</x:v>
      </x:c>
    </x:row>
    <x:row r="157" ht="98" customHeight="1">
      <x:c r="A157" s="25" t="str">
        <x:v>GOLD-KPI-048</x:v>
      </x:c>
      <x:c r="B157" s="25" t="str">
        <x:v>Referral and provider engagement</x:v>
      </x:c>
      <x:c r="C157" s="25" t="str">
        <x:v>Emergency Referrals</x:v>
      </x:c>
      <x:c r="D157" s="25" t="str">
        <x:v>KPI-91</x:v>
      </x:c>
      <x:c r="E157" s="25" t="str">
        <x:v>R18, R57</x:v>
      </x:c>
      <x:c r="F157" s="25" t="str">
        <x:v>fact_referral</x:v>
      </x:c>
      <x:c r="G157" s="25" t="str">
        <x:v>Built; UAT pending</x:v>
      </x:c>
      <x:c r="H157" s="25" t="str">
        <x:v>Same-day-date flag and active statuses; not an approved statutory emergency classification.</x:v>
      </x:c>
      <x:c r="I157" s="25" t="str">
        <x:v>CALCULATE ( [Total Referrals], KEEPFILTERS ( 'fact_referral'[current_status] IN { "OPEN", "UNDER_OFFER" } ), KEEPFILTERS ( 'fact_referral'[is_emergency_placement] = TRUE () ) )
Python/Spark SQL: 04_gold_model.py:232
Full logic: KPI_CALCULATION_TRACEABILITY.md#dax-business-emergency-referrals</x:v>
      </x:c>
    </x:row>
    <x:row r="158" ht="150" customHeight="1">
      <x:c r="A158" s="25" t="str">
        <x:v>GOLD-KPI-049</x:v>
      </x:c>
      <x:c r="B158" s="25" t="str">
        <x:v>Referral and provider engagement</x:v>
      </x:c>
      <x:c r="C158" s="25" t="str">
        <x:v>Planned Referrals</x:v>
      </x:c>
      <x:c r="D158" s="25" t="str">
        <x:v>KPI-93</x:v>
      </x:c>
      <x:c r="E158" s="25" t="str">
        <x:v>R57</x:v>
      </x:c>
      <x:c r="F158" s="25" t="str">
        <x:v>fact_referral</x:v>
      </x:c>
      <x:c r="G158" s="25" t="str">
        <x:v>Built; UAT pending</x:v>
      </x:c>
      <x:c r="H158" s="25" t="str">
        <x:v>Different-date rule; missing dates excluded and reversed dates require review.</x:v>
      </x:c>
      <x:c r="I158" s="25" t="str">
        <x:v>CALCULATE (
			    [Total Referrals], KEEPFILTERS ( 'fact_referral'[current_status] IN { "OPEN", "UNDER_OFFER" } ),
			    KEEPFILTERS ( FILTER ( 'fact_referral', NOT ISBLANK ( 'fact_referral'[referral_created_date] ) &amp;&amp; NOT ISBLANK ( 'fact_referral'[required_placement_date] ) &amp;&amp; 'fact_referral'[is_emergency_placement] = FALSE () ) )
			)
Python/Spark SQL: 04_gold_model.py:232
Full logic: KPI_CALCULATION_TRACEABILITY.md#dax-business-planned-referrals</x:v>
      </x:c>
    </x:row>
    <x:row r="159" ht="59" customHeight="1">
      <x:c r="A159" s="25" t="str">
        <x:v>GOLD-KPI-050</x:v>
      </x:c>
      <x:c r="B159" s="25" t="str">
        <x:v>Referral and provider engagement</x:v>
      </x:c>
      <x:c r="C159" s="25" t="str">
        <x:v>Emergency Placement Rate</x:v>
      </x:c>
      <x:c r="D159" s="25" t="str">
        <x:v>KPI-92</x:v>
      </x:c>
      <x:c r="E159" s="25" t="str">
        <x:v>R18, R57</x:v>
      </x:c>
      <x:c r="F159" s="25" t="str">
        <x:v>fact_referral</x:v>
      </x:c>
      <x:c r="G159" s="25" t="str">
        <x:v>Built; UAT pending</x:v>
      </x:c>
      <x:c r="H159" s="25" t="str">
        <x:v>Emergency-referral numerator divided by all selected referrals; not actual placement completion.</x:v>
      </x:c>
      <x:c r="I159" s="25" t="str">
        <x:v>DIVIDE ( [Emergency Referrals], [Total Referrals] )
Python/Spark SQL: 04_gold_model.py:232
Full logic: KPI_CALCULATION_TRACEABILITY.md#dax-business-emergency-placement-rate</x:v>
      </x:c>
    </x:row>
    <x:row r="160" ht="72" customHeight="1">
      <x:c r="A160" s="25" t="str">
        <x:v>GOLD-KPI-051</x:v>
      </x:c>
      <x:c r="B160" s="25" t="str">
        <x:v>Provider engagement</x:v>
      </x:c>
      <x:c r="C160" s="25" t="str">
        <x:v>Referrals With Multiple Provider Assignments</x:v>
      </x:c>
      <x:c r="D160" s="25" t="str">
        <x:v>KPI-90</x:v>
      </x:c>
      <x:c r="E160" s="25" t="str">
        <x:v>R24, R26 (proposed)</x:v>
      </x:c>
      <x:c r="F160" s="25" t="str">
        <x:v>fact_referral</x:v>
      </x:c>
      <x:c r="G160" s="25" t="str">
        <x:v>Built; UAT pending</x:v>
      </x:c>
      <x:c r="H160" s="25" t="str">
        <x:v>Assignment overlap only; unrelated to out-of-region placement.</x:v>
      </x:c>
      <x:c r="I160" s="25" t="str">
        <x:v>CALCULATE ( [Total Referrals], 'fact_referral'[provider_assignment_count] &gt; 1 )
Python/Spark SQL: 04_gold_model.py:232
Full logic: KPI_CALCULATION_TRACEABILITY.md#dax-business-referrals-with-multiple-provider-assignments</x:v>
      </x:c>
    </x:row>
    <x:row r="161" ht="124" customHeight="1">
      <x:c r="A161" s="25" t="str">
        <x:v>GOLD-KPI-052</x:v>
      </x:c>
      <x:c r="B161" s="25" t="str">
        <x:v>Offer portfolio and ageing</x:v>
      </x:c>
      <x:c r="C161" s="25" t="str">
        <x:v>Non-Draft Offers</x:v>
      </x:c>
      <x:c r="D161" s="25" t="str">
        <x:v>New Gold KPI</x:v>
      </x:c>
      <x:c r="E161" s="25" t="str">
        <x:v>—</x:v>
      </x:c>
      <x:c r="F161" s="25" t="str">
        <x:v>fact_offer</x:v>
      </x:c>
      <x:c r="G161" s="25" t="str">
        <x:v>Built; UAT pending</x:v>
      </x:c>
      <x:c r="H161" s="25" t="str">
        <x:v>Definition present in WIP _Measures. Reconcile against refreshed Gold and approved business rules.</x:v>
      </x:c>
      <x:c r="I161" s="25" t="str">
        <x:v>CALCULATE (
			    [Offers Submitted],
			    KEEPFILTERS ( FILTER ( 'fact_offer', NOT ISBLANK ( 'fact_offer'[offer_status] ) &amp;&amp; LOWER ( 'fact_offer'[offer_status] ) &lt;&gt; "draft" ) )
			)
Python/Spark SQL: 04_gold_model.py:712
Full logic: KPI_CALCULATION_TRACEABILITY.md#dax-business-non-draft-offers</x:v>
      </x:c>
    </x:row>
    <x:row r="162" ht="124" customHeight="1">
      <x:c r="A162" s="25" t="str">
        <x:v>GOLD-KPI-053</x:v>
      </x:c>
      <x:c r="B162" s="25" t="str">
        <x:v>Offer portfolio and ageing</x:v>
      </x:c>
      <x:c r="C162" s="25" t="str">
        <x:v>Pending Offers</x:v>
      </x:c>
      <x:c r="D162" s="25" t="str">
        <x:v>KPI-18</x:v>
      </x:c>
      <x:c r="E162" s="25" t="str">
        <x:v>R24</x:v>
      </x:c>
      <x:c r="F162" s="25" t="str">
        <x:v>fact_offer</x:v>
      </x:c>
      <x:c r="G162" s="25" t="str">
        <x:v>Built; UAT pending</x:v>
      </x:c>
      <x:c r="H162" s="25" t="str">
        <x:v>Definition present in WIP _Measures. Reconcile against refreshed Gold and approved business rules.</x:v>
      </x:c>
      <x:c r="I162" s="25" t="str">
        <x:v>CALCULATE (
			    [Offers Submitted],
			    KEEPFILTERS ( FILTER ( 'fact_offer', LOWER ( COALESCE ( 'fact_offer'[offer_status], "" ) ) IN { "pending", "offer_made" } ) )
			)
Python/Spark SQL: 04_gold_model.py:712
Full logic: KPI_CALCULATION_TRACEABILITY.md#dax-business-pending-offers</x:v>
      </x:c>
    </x:row>
    <x:row r="163" ht="176" customHeight="1">
      <x:c r="A163" s="25" t="str">
        <x:v>GOLD-KPI-054</x:v>
      </x:c>
      <x:c r="B163" s="25" t="str">
        <x:v>Offer portfolio and ageing</x:v>
      </x:c>
      <x:c r="C163" s="25" t="str">
        <x:v>Unsuccessful Offers</x:v>
      </x:c>
      <x:c r="D163" s="25" t="str">
        <x:v>KPI-16</x:v>
      </x:c>
      <x:c r="E163" s="25" t="str">
        <x:v>R28</x:v>
      </x:c>
      <x:c r="F163" s="25" t="str">
        <x:v>fact_offer</x:v>
      </x:c>
      <x:c r="G163" s="25" t="str">
        <x:v>Built; UAT pending</x:v>
      </x:c>
      <x:c r="H163" s="25" t="str">
        <x:v>Definition present in WIP _Measures. Reconcile against refreshed Gold and approved business rules.</x:v>
      </x:c>
      <x:c r="I163" s="25" t="str">
        <x:v>CALCULATE (
			    [Offers Submitted],
			    FILTER (
			        'fact_offer',
			        LOWER ( COALESCE ( 'fact_offer'[offer_status], "" ) )
			            IN { "declined", "rejected", "withdrawn", "offer_unsuccessful", "offer_withdrawn" }
			    )
			)
Python/Spark SQL: 04_gold_model.py:712
Full logic: KPI_CALCULATION_TRACEABILITY.md#dax-business-unsuccessful-offers</x:v>
      </x:c>
    </x:row>
    <x:row r="164" ht="111" customHeight="1">
      <x:c r="A164" s="25" t="str">
        <x:v>GOLD-KPI-055</x:v>
      </x:c>
      <x:c r="B164" s="25" t="str">
        <x:v>Offer portfolio and ageing</x:v>
      </x:c>
      <x:c r="C164" s="25" t="str">
        <x:v>Offers With Recorded Rejection Reason</x:v>
      </x:c>
      <x:c r="D164" s="25" t="str">
        <x:v>New Gold KPI</x:v>
      </x:c>
      <x:c r="E164" s="25" t="str">
        <x:v>—</x:v>
      </x:c>
      <x:c r="F164" s="25" t="str">
        <x:v>fact_offer</x:v>
      </x:c>
      <x:c r="G164" s="25" t="str">
        <x:v>Built; UAT pending</x:v>
      </x:c>
      <x:c r="H164" s="25" t="str">
        <x:v>Definition present in WIP _Measures. Reconcile against refreshed Gold and approved business rules.</x:v>
      </x:c>
      <x:c r="I164" s="25" t="str">
        <x:v>CALCULATE (
			    [Offers Submitted],
			    FILTER ( 'fact_offer', NOT ISBLANK ( 'fact_offer'[rejection_reason] ) )
			)
Python/Spark SQL: 04_gold_model.py:712
Full logic: KPI_CALCULATION_TRACEABILITY.md#dax-business-offers-with-recorded-rejection-reason</x:v>
      </x:c>
    </x:row>
    <x:row r="165" ht="189" customHeight="1">
      <x:c r="A165" s="25" t="str">
        <x:v>GOLD-KPI-056</x:v>
      </x:c>
      <x:c r="B165" s="25" t="str">
        <x:v>Offer portfolio and ageing</x:v>
      </x:c>
      <x:c r="C165" s="25" t="str">
        <x:v>Providers Who Made Offers</x:v>
      </x:c>
      <x:c r="D165" s="25" t="str">
        <x:v>KPI-11</x:v>
      </x:c>
      <x:c r="E165" s="25" t="str">
        <x:v>R25, R26</x:v>
      </x:c>
      <x:c r="F165" s="25" t="str">
        <x:v>fact_offer</x:v>
      </x:c>
      <x:c r="G165" s="25" t="str">
        <x:v>Built; UAT pending</x:v>
      </x:c>
      <x:c r="H165" s="25" t="str">
        <x:v>Definition present in WIP _Measures. Reconcile against refreshed Gold and approved business rules.</x:v>
      </x:c>
      <x:c r="I165" s="25" t="str">
        <x:v>CALCULATE (
			    DISTINCTCOUNT ( 'fact_offer'[provider_id] ),
			    FILTER (
			        'fact_offer',
			        NOT (
			            LOWER ( COALESCE ( 'fact_offer'[offer_status], "" ) )
			                IN { "draft", "withdrawn", "offer_withdrawn" }
			        )
			    ))
Python/Spark SQL: 04_gold_model.py:712
Full logic: KPI_CALCULATION_TRACEABILITY.md#dax-business-providers-who-made-offers</x:v>
      </x:c>
    </x:row>
    <x:row r="166" ht="72" customHeight="1">
      <x:c r="A166" s="25" t="str">
        <x:v>GOLD-KPI-057</x:v>
      </x:c>
      <x:c r="B166" s="25" t="str">
        <x:v>Offer portfolio and ageing</x:v>
      </x:c>
      <x:c r="C166" s="25" t="str">
        <x:v>Average Offers per Provider</x:v>
      </x:c>
      <x:c r="D166" s="25" t="str">
        <x:v>New Gold KPI</x:v>
      </x:c>
      <x:c r="E166" s="25" t="str">
        <x:v>—</x:v>
      </x:c>
      <x:c r="F166" s="25" t="str">
        <x:v>fact_offer</x:v>
      </x:c>
      <x:c r="G166" s="25" t="str">
        <x:v>Built; UAT pending</x:v>
      </x:c>
      <x:c r="H166" s="25" t="str">
        <x:v>Definition present in WIP _Measures. Reconcile against refreshed Gold and approved business rules.</x:v>
      </x:c>
      <x:c r="I166" s="25" t="str">
        <x:v>DIVIDE ( [Non-Draft Offers], [Providers Who Made Offers] )
Python/Spark SQL: 04_gold_model.py:712
Full logic: KPI_CALCULATION_TRACEABILITY.md#dax-business-average-offers-per-provider</x:v>
      </x:c>
    </x:row>
    <x:row r="167" ht="202" customHeight="1">
      <x:c r="A167" s="25" t="str">
        <x:v>GOLD-KPI-058</x:v>
      </x:c>
      <x:c r="B167" s="25" t="str">
        <x:v>Offer portfolio and ageing</x:v>
      </x:c>
      <x:c r="C167" s="25" t="str">
        <x:v>Average Offers per Referral Under Offer</x:v>
      </x:c>
      <x:c r="D167" s="25" t="str">
        <x:v>New Gold KPI</x:v>
      </x:c>
      <x:c r="E167" s="25" t="str">
        <x:v>—</x:v>
      </x:c>
      <x:c r="F167" s="25" t="str">
        <x:v>fact_offer; fact_referral</x:v>
      </x:c>
      <x:c r="G167" s="25" t="str">
        <x:v>Built; UAT pending</x:v>
      </x:c>
      <x:c r="H167" s="25" t="str">
        <x:v>Definition present in WIP _Measures. Reconcile against refreshed Gold and approved business rules.</x:v>
      </x:c>
      <x:c r="I167" s="25" t="str">
        <x:v>DIVIDE (
			    CALCULATE (
			        [Non-Draft Offers],
			        FILTER (
			            'fact_referral',
			            'fact_referral'[is_open] = TRUE () &amp;&amp; 'fact_referral'[current_status] = "UNDER_OFFER"
			        )
			    ),
			    [Referrals Under Offer]
			)
Python/Spark SQL: 04_gold_model.py:232; 04_gold_model.py:712
Full logic: KPI_CALCULATION_TRACEABILITY.md#dax-business-average-offers-per-referral-under-offer</x:v>
      </x:c>
    </x:row>
    <x:row r="168" ht="163" customHeight="1">
      <x:c r="A168" s="25" t="str">
        <x:v>GOLD-KPI-059</x:v>
      </x:c>
      <x:c r="B168" s="25" t="str">
        <x:v>Offer portfolio and ageing</x:v>
      </x:c>
      <x:c r="C168" s="25" t="str">
        <x:v>Offers on Referrals Under Offer</x:v>
      </x:c>
      <x:c r="D168" s="25" t="str">
        <x:v>New Gold KPI</x:v>
      </x:c>
      <x:c r="E168" s="25" t="str">
        <x:v>—</x:v>
      </x:c>
      <x:c r="F168" s="25" t="str">
        <x:v>fact_offer; fact_referral</x:v>
      </x:c>
      <x:c r="G168" s="25" t="str">
        <x:v>Built; UAT pending</x:v>
      </x:c>
      <x:c r="H168" s="25" t="str">
        <x:v>Definition present in WIP _Measures. Reconcile against refreshed Gold and approved business rules.</x:v>
      </x:c>
      <x:c r="I168" s="25" t="str">
        <x:v>CALCULATE (
			    [Non-Draft Offers],
			    FILTER (
			        'fact_referral',
			        'fact_referral'[is_open] = TRUE () &amp;&amp; 'fact_referral'[current_status] = "UNDER_OFFER"
			    )
			)
Python/Spark SQL: 04_gold_model.py:232; 04_gold_model.py:712
Full logic: KPI_CALCULATION_TRACEABILITY.md#dax-business-offers-on-referrals-under-offer</x:v>
      </x:c>
    </x:row>
    <x:row r="169" ht="85" customHeight="1">
      <x:c r="A169" s="25" t="str">
        <x:v>GOLD-KPI-060</x:v>
      </x:c>
      <x:c r="B169" s="25" t="str">
        <x:v>Offer portfolio and ageing</x:v>
      </x:c>
      <x:c r="C169" s="25" t="str">
        <x:v>Spot Offers</x:v>
      </x:c>
      <x:c r="D169" s="25" t="str">
        <x:v>New Gold KPI</x:v>
      </x:c>
      <x:c r="E169" s="25" t="str">
        <x:v>—</x:v>
      </x:c>
      <x:c r="F169" s="25" t="str">
        <x:v>dim_provider_home; fact_offer</x:v>
      </x:c>
      <x:c r="G169" s="25" t="str">
        <x:v>Built; UAT pending</x:v>
      </x:c>
      <x:c r="H169" s="25" t="str">
        <x:v>Definition present in WIP _Measures. Reconcile against refreshed Gold and approved business rules.</x:v>
      </x:c>
      <x:c r="I169" s="25" t="str">
        <x:v>CALCULATE ( [Non-Draft Offers], 'dim_provider_home (offer)'[is_spot] = TRUE () )
Python/Spark SQL: 05_gold_dimensions.py:163; 04_gold_model.py:712
Full logic: KPI_CALCULATION_TRACEABILITY.md#dax-business-spot-offers</x:v>
      </x:c>
    </x:row>
    <x:row r="170" ht="85" customHeight="1">
      <x:c r="A170" s="25" t="str">
        <x:v>GOLD-KPI-061</x:v>
      </x:c>
      <x:c r="B170" s="25" t="str">
        <x:v>Offer portfolio and ageing</x:v>
      </x:c>
      <x:c r="C170" s="25" t="str">
        <x:v>Non-Spot Offers</x:v>
      </x:c>
      <x:c r="D170" s="25" t="str">
        <x:v>New Gold KPI</x:v>
      </x:c>
      <x:c r="E170" s="25" t="str">
        <x:v>—</x:v>
      </x:c>
      <x:c r="F170" s="25" t="str">
        <x:v>dim_provider_home; fact_offer</x:v>
      </x:c>
      <x:c r="G170" s="25" t="str">
        <x:v>Built; UAT pending</x:v>
      </x:c>
      <x:c r="H170" s="25" t="str">
        <x:v>Definition present in WIP _Measures. Reconcile against refreshed Gold and approved business rules.</x:v>
      </x:c>
      <x:c r="I170" s="25" t="str">
        <x:v>CALCULATE ( [Non-Draft Offers], 'dim_provider_home (offer)'[is_spot] = FALSE () )
Python/Spark SQL: 05_gold_dimensions.py:163; 04_gold_model.py:712
Full logic: KPI_CALCULATION_TRACEABILITY.md#dax-business-non-spot-offers</x:v>
      </x:c>
    </x:row>
    <x:row r="171" ht="72" customHeight="1">
      <x:c r="A171" s="25" t="str">
        <x:v>GOLD-KPI-062</x:v>
      </x:c>
      <x:c r="B171" s="25" t="str">
        <x:v>Offer portfolio and ageing</x:v>
      </x:c>
      <x:c r="C171" s="25" t="str">
        <x:v>Spot Offer Rate</x:v>
      </x:c>
      <x:c r="D171" s="25" t="str">
        <x:v>New Gold KPI</x:v>
      </x:c>
      <x:c r="E171" s="25" t="str">
        <x:v>—</x:v>
      </x:c>
      <x:c r="F171" s="25" t="str">
        <x:v>dim_provider_home; fact_offer</x:v>
      </x:c>
      <x:c r="G171" s="25" t="str">
        <x:v>Built; UAT pending</x:v>
      </x:c>
      <x:c r="H171" s="25" t="str">
        <x:v>Definition present in WIP _Measures. Reconcile against refreshed Gold and approved business rules.</x:v>
      </x:c>
      <x:c r="I171" s="25" t="str">
        <x:v>DIVIDE ( [Spot Offers], [Non-Draft Offers] )
Python/Spark SQL: 05_gold_dimensions.py:163; 04_gold_model.py:712
Full logic: KPI_CALCULATION_TRACEABILITY.md#dax-business-spot-offer-rate</x:v>
      </x:c>
    </x:row>
    <x:row r="172" ht="72" customHeight="1">
      <x:c r="A172" s="25" t="str">
        <x:v>GOLD-KPI-063</x:v>
      </x:c>
      <x:c r="B172" s="25" t="str">
        <x:v>Offer portfolio and ageing</x:v>
      </x:c>
      <x:c r="C172" s="25" t="str">
        <x:v>Draft Offers With No Activity Since Creation</x:v>
      </x:c>
      <x:c r="D172" s="25" t="str">
        <x:v>New Gold KPI</x:v>
      </x:c>
      <x:c r="E172" s="25" t="str">
        <x:v>—</x:v>
      </x:c>
      <x:c r="F172" s="25" t="str">
        <x:v>fact_offer</x:v>
      </x:c>
      <x:c r="G172" s="25" t="str">
        <x:v>Built; UAT pending</x:v>
      </x:c>
      <x:c r="H172" s="25" t="str">
        <x:v>Definition present in WIP _Measures. Reconcile against refreshed Gold and approved business rules.</x:v>
      </x:c>
      <x:c r="I172" s="25" t="str">
        <x:v>CALCULATE ( [Offers Submitted], 'fact_offer'[is_draft_no_activity] = TRUE () )
Python/Spark SQL: 04_gold_model.py:712
Full logic: KPI_CALCULATION_TRACEABILITY.md#dax-business-draft-offers-with-no-activity-since-creation</x:v>
      </x:c>
    </x:row>
    <x:row r="173" ht="137" customHeight="1">
      <x:c r="A173" s="25" t="str">
        <x:v>GOLD-KPI-064</x:v>
      </x:c>
      <x:c r="B173" s="25" t="str">
        <x:v>Offer portfolio and ageing</x:v>
      </x:c>
      <x:c r="C173" s="25" t="str">
        <x:v>Draft Offers With Activity Since Creation</x:v>
      </x:c>
      <x:c r="D173" s="25" t="str">
        <x:v>New Gold KPI</x:v>
      </x:c>
      <x:c r="E173" s="25" t="str">
        <x:v>—</x:v>
      </x:c>
      <x:c r="F173" s="25" t="str">
        <x:v>fact_offer</x:v>
      </x:c>
      <x:c r="G173" s="25" t="str">
        <x:v>Built; UAT pending</x:v>
      </x:c>
      <x:c r="H173" s="25" t="str">
        <x:v>Definition present in WIP _Measures. Reconcile against refreshed Gold and approved business rules.</x:v>
      </x:c>
      <x:c r="I173" s="25" t="str">
        <x:v>CALCULATE (
			    [Offers in Draft],
			    KEEPFILTERS ( 'fact_offer'[is_draft_no_activity] = FALSE () ),
			    KEEPFILTERS ( 'fact_offer'[is_draft_missing_dates] = FALSE () )
			)
Python/Spark SQL: 04_gold_model.py:712
Full logic: KPI_CALCULATION_TRACEABILITY.md#dax-business-draft-offers-with-activity-since-creation</x:v>
      </x:c>
    </x:row>
    <x:row r="174" ht="72" customHeight="1">
      <x:c r="A174" s="25" t="str">
        <x:v>GOLD-KPI-065</x:v>
      </x:c>
      <x:c r="B174" s="25" t="str">
        <x:v>Offer portfolio and ageing</x:v>
      </x:c>
      <x:c r="C174" s="25" t="str">
        <x:v>Draft Offers Missing Dates</x:v>
      </x:c>
      <x:c r="D174" s="25" t="str">
        <x:v>New Gold KPI</x:v>
      </x:c>
      <x:c r="E174" s="25" t="str">
        <x:v>—</x:v>
      </x:c>
      <x:c r="F174" s="25" t="str">
        <x:v>fact_offer</x:v>
      </x:c>
      <x:c r="G174" s="25" t="str">
        <x:v>Built; UAT pending</x:v>
      </x:c>
      <x:c r="H174" s="25" t="str">
        <x:v>Definition present in WIP _Measures. Reconcile against refreshed Gold and approved business rules.</x:v>
      </x:c>
      <x:c r="I174" s="25" t="str">
        <x:v>CALCULATE ( [Offers Submitted], 'fact_offer'[is_draft_missing_dates] = TRUE () )
Python/Spark SQL: 04_gold_model.py:712
Full logic: KPI_CALCULATION_TRACEABILITY.md#dax-business-draft-offers-missing-dates</x:v>
      </x:c>
    </x:row>
    <x:row r="175" ht="163" customHeight="1">
      <x:c r="A175" s="25" t="str">
        <x:v>GOLD-KPI-066</x:v>
      </x:c>
      <x:c r="B175" s="25" t="str">
        <x:v>Offer portfolio and ageing</x:v>
      </x:c>
      <x:c r="C175" s="25" t="str">
        <x:v>Draft Offers Stalled 14+ Days</x:v>
      </x:c>
      <x:c r="D175" s="25" t="str">
        <x:v>New Gold KPI</x:v>
      </x:c>
      <x:c r="E175" s="25" t="str">
        <x:v>—</x:v>
      </x:c>
      <x:c r="F175" s="25" t="str">
        <x:v>fact_offer</x:v>
      </x:c>
      <x:c r="G175" s="25" t="str">
        <x:v>Built; UAT pending</x:v>
      </x:c>
      <x:c r="H175" s="25" t="str">
        <x:v>Definition present in WIP _Measures. Reconcile against refreshed Gold and approved business rules.</x:v>
      </x:c>
      <x:c r="I175" s="25" t="str">
        <x:v>CALCULATE (
				[Offers Submitted],
				FILTER (
					'fact_offer',
					LOWER ( COALESCE ( 'fact_offer'[offer_status], "" ) ) = "draft"
						&amp;&amp; 'fact_offer'[days_since_offer_activity] &gt;= 14
				)
			)
Python/Spark SQL: 04_gold_model.py:712
Full logic: KPI_CALCULATION_TRACEABILITY.md#dax-business-draft-offers-stalled-14-days</x:v>
      </x:c>
    </x:row>
    <x:row r="176" ht="163" customHeight="1">
      <x:c r="A176" s="25" t="str">
        <x:v>GOLD-KPI-067</x:v>
      </x:c>
      <x:c r="B176" s="25" t="str">
        <x:v>Offer portfolio and ageing</x:v>
      </x:c>
      <x:c r="C176" s="25" t="str">
        <x:v>Average Days in Draft</x:v>
      </x:c>
      <x:c r="D176" s="25" t="str">
        <x:v>New Gold KPI</x:v>
      </x:c>
      <x:c r="E176" s="25" t="str">
        <x:v>—</x:v>
      </x:c>
      <x:c r="F176" s="25" t="str">
        <x:v>fact_offer</x:v>
      </x:c>
      <x:c r="G176" s="25" t="str">
        <x:v>Built; UAT pending</x:v>
      </x:c>
      <x:c r="H176" s="25" t="str">
        <x:v>Definition present in WIP _Measures. Reconcile against refreshed Gold and approved business rules.</x:v>
      </x:c>
      <x:c r="I176" s="25" t="str">
        <x:v>AVERAGEX (
				FILTER (
					'fact_offer',
					LOWER ( COALESCE ( 'fact_offer'[offer_status], "" ) ) = "draft"
						&amp;&amp; NOT ISBLANK ( 'fact_offer'[offer_age_days] )
				),
				'fact_offer'[offer_age_days]
			)
Python/Spark SQL: 04_gold_model.py:712
Full logic: KPI_CALCULATION_TRACEABILITY.md#dax-business-average-days-in-draft</x:v>
      </x:c>
    </x:row>
    <x:row r="177" ht="163" customHeight="1">
      <x:c r="A177" s="25" t="str">
        <x:v>GOLD-KPI-068</x:v>
      </x:c>
      <x:c r="B177" s="25" t="str">
        <x:v>Offer portfolio and ageing</x:v>
      </x:c>
      <x:c r="C177" s="25" t="str">
        <x:v>Oldest Draft Age Days</x:v>
      </x:c>
      <x:c r="D177" s="25" t="str">
        <x:v>New Gold KPI</x:v>
      </x:c>
      <x:c r="E177" s="25" t="str">
        <x:v>—</x:v>
      </x:c>
      <x:c r="F177" s="25" t="str">
        <x:v>fact_offer</x:v>
      </x:c>
      <x:c r="G177" s="25" t="str">
        <x:v>Built; UAT pending</x:v>
      </x:c>
      <x:c r="H177" s="25" t="str">
        <x:v>Definition present in WIP _Measures. Reconcile against refreshed Gold and approved business rules.</x:v>
      </x:c>
      <x:c r="I177" s="25" t="str">
        <x:v>MAXX (
				FILTER (
					'fact_offer',
					LOWER ( COALESCE ( 'fact_offer'[offer_status], "" ) ) = "draft"
						&amp;&amp; NOT ISBLANK ( 'fact_offer'[offer_age_days] )
				),
				'fact_offer'[offer_age_days]
			)
Python/Spark SQL: 04_gold_model.py:712
Full logic: KPI_CALCULATION_TRACEABILITY.md#dax-business-oldest-draft-age-days</x:v>
      </x:c>
    </x:row>
    <x:row r="178" ht="72" customHeight="1">
      <x:c r="A178" s="25" t="str">
        <x:v>GOLD-KPI-069</x:v>
      </x:c>
      <x:c r="B178" s="25" t="str">
        <x:v>Offer portfolio and ageing</x:v>
      </x:c>
      <x:c r="C178" s="25" t="str">
        <x:v>Draft Offers With No Activity %</x:v>
      </x:c>
      <x:c r="D178" s="25" t="str">
        <x:v>New Gold KPI</x:v>
      </x:c>
      <x:c r="E178" s="25" t="str">
        <x:v>—</x:v>
      </x:c>
      <x:c r="F178" s="25" t="str">
        <x:v>fact_offer</x:v>
      </x:c>
      <x:c r="G178" s="25" t="str">
        <x:v>Built; UAT pending</x:v>
      </x:c>
      <x:c r="H178" s="25" t="str">
        <x:v>Definition present in WIP _Measures. Reconcile against refreshed Gold and approved business rules.</x:v>
      </x:c>
      <x:c r="I178" s="25" t="str">
        <x:v>DIVIDE ( [Draft Offers With No Activity Since Creation], [Offers in Draft] )
Python/Spark SQL: 04_gold_model.py:712
Full logic: KPI_CALCULATION_TRACEABILITY.md#dax-business-draft-offers-with-no-activity-percent</x:v>
      </x:c>
    </x:row>
    <x:row r="179" ht="124" customHeight="1">
      <x:c r="A179" s="25" t="str">
        <x:v>GOLD-KPI-070</x:v>
      </x:c>
      <x:c r="B179" s="25" t="str">
        <x:v>Offer portfolio and ageing</x:v>
      </x:c>
      <x:c r="C179" s="25" t="str">
        <x:v>Pending Offers 0-7 Days</x:v>
      </x:c>
      <x:c r="D179" s="25" t="str">
        <x:v>New Gold KPI</x:v>
      </x:c>
      <x:c r="E179" s="25" t="str">
        <x:v>—</x:v>
      </x:c>
      <x:c r="F179" s="25" t="str">
        <x:v>fact_offer</x:v>
      </x:c>
      <x:c r="G179" s="25" t="str">
        <x:v>Built; UAT pending</x:v>
      </x:c>
      <x:c r="H179" s="25" t="str">
        <x:v>Definition present in WIP _Measures. Reconcile against refreshed Gold and approved business rules.</x:v>
      </x:c>
      <x:c r="I179" s="25" t="str">
        <x:v>CALCULATE (
			    [Pending Offers],
			    KEEPFILTERS ( FILTER ( 'fact_offer', NOT ISBLANK ( 'fact_offer'[offer_age_days] ) &amp;&amp; 'fact_offer'[offer_age_days] &gt;= 0 &amp;&amp; 'fact_offer'[offer_age_days] &lt;= 7 ) )
			)
Python/Spark SQL: 04_gold_model.py:712
Full logic: KPI_CALCULATION_TRACEABILITY.md#dax-business-pending-offers-0-7-days</x:v>
      </x:c>
    </x:row>
    <x:row r="180" ht="124" customHeight="1">
      <x:c r="A180" s="25" t="str">
        <x:v>GOLD-KPI-071</x:v>
      </x:c>
      <x:c r="B180" s="25" t="str">
        <x:v>Offer portfolio and ageing</x:v>
      </x:c>
      <x:c r="C180" s="25" t="str">
        <x:v>Pending Offers 8-14 Days</x:v>
      </x:c>
      <x:c r="D180" s="25" t="str">
        <x:v>New Gold KPI</x:v>
      </x:c>
      <x:c r="E180" s="25" t="str">
        <x:v>—</x:v>
      </x:c>
      <x:c r="F180" s="25" t="str">
        <x:v>fact_offer</x:v>
      </x:c>
      <x:c r="G180" s="25" t="str">
        <x:v>Built; UAT pending</x:v>
      </x:c>
      <x:c r="H180" s="25" t="str">
        <x:v>Definition present in WIP _Measures. Reconcile against refreshed Gold and approved business rules.</x:v>
      </x:c>
      <x:c r="I180" s="25" t="str">
        <x:v>CALCULATE (
			    [Pending Offers],
			    KEEPFILTERS ( FILTER ( 'fact_offer', NOT ISBLANK ( 'fact_offer'[offer_age_days] ) &amp;&amp; 'fact_offer'[offer_age_days] &gt;= 8 &amp;&amp; 'fact_offer'[offer_age_days] &lt;= 14 ) )
			)
Python/Spark SQL: 04_gold_model.py:712
Full logic: KPI_CALCULATION_TRACEABILITY.md#dax-business-pending-offers-8-14-days</x:v>
      </x:c>
    </x:row>
    <x:row r="181" ht="124" customHeight="1">
      <x:c r="A181" s="25" t="str">
        <x:v>GOLD-KPI-072</x:v>
      </x:c>
      <x:c r="B181" s="25" t="str">
        <x:v>Offer portfolio and ageing</x:v>
      </x:c>
      <x:c r="C181" s="25" t="str">
        <x:v>Pending Offers 15-29 Days</x:v>
      </x:c>
      <x:c r="D181" s="25" t="str">
        <x:v>New Gold KPI</x:v>
      </x:c>
      <x:c r="E181" s="25" t="str">
        <x:v>—</x:v>
      </x:c>
      <x:c r="F181" s="25" t="str">
        <x:v>fact_offer</x:v>
      </x:c>
      <x:c r="G181" s="25" t="str">
        <x:v>Built; UAT pending</x:v>
      </x:c>
      <x:c r="H181" s="25" t="str">
        <x:v>Definition present in WIP _Measures. Reconcile against refreshed Gold and approved business rules.</x:v>
      </x:c>
      <x:c r="I181" s="25" t="str">
        <x:v>CALCULATE (
			    [Pending Offers],
			    KEEPFILTERS ( FILTER ( 'fact_offer', NOT ISBLANK ( 'fact_offer'[offer_age_days] ) &amp;&amp; 'fact_offer'[offer_age_days] &gt;= 15 &amp;&amp; 'fact_offer'[offer_age_days] &lt;= 29 ) )
			)
Python/Spark SQL: 04_gold_model.py:712
Full logic: KPI_CALCULATION_TRACEABILITY.md#dax-business-pending-offers-15-29-days</x:v>
      </x:c>
    </x:row>
    <x:row r="182" ht="124" customHeight="1">
      <x:c r="A182" s="25" t="str">
        <x:v>GOLD-KPI-073</x:v>
      </x:c>
      <x:c r="B182" s="25" t="str">
        <x:v>Offer portfolio and ageing</x:v>
      </x:c>
      <x:c r="C182" s="25" t="str">
        <x:v>Pending Offers 30+ Days</x:v>
      </x:c>
      <x:c r="D182" s="25" t="str">
        <x:v>New Gold KPI</x:v>
      </x:c>
      <x:c r="E182" s="25" t="str">
        <x:v>—</x:v>
      </x:c>
      <x:c r="F182" s="25" t="str">
        <x:v>fact_offer</x:v>
      </x:c>
      <x:c r="G182" s="25" t="str">
        <x:v>Built; UAT pending</x:v>
      </x:c>
      <x:c r="H182" s="25" t="str">
        <x:v>Definition present in WIP _Measures. Reconcile against refreshed Gold and approved business rules.</x:v>
      </x:c>
      <x:c r="I182" s="25" t="str">
        <x:v>CALCULATE (
			    [Pending Offers],
			    KEEPFILTERS ( FILTER ( 'fact_offer', NOT ISBLANK ( 'fact_offer'[offer_age_days] ) &amp;&amp; 'fact_offer'[offer_age_days] &gt;= 30 ) )
			)
Python/Spark SQL: 04_gold_model.py:712
Full logic: KPI_CALCULATION_TRACEABILITY.md#dax-business-pending-offers-30-days</x:v>
      </x:c>
    </x:row>
    <x:row r="183" ht="124" customHeight="1">
      <x:c r="A183" s="25" t="str">
        <x:v>GOLD-KPI-074</x:v>
      </x:c>
      <x:c r="B183" s="25" t="str">
        <x:v>Offer portfolio and ageing</x:v>
      </x:c>
      <x:c r="C183" s="25" t="str">
        <x:v>Providers With Pending Offers 30+ Days</x:v>
      </x:c>
      <x:c r="D183" s="25" t="str">
        <x:v>New Gold KPI</x:v>
      </x:c>
      <x:c r="E183" s="25" t="str">
        <x:v>—</x:v>
      </x:c>
      <x:c r="F183" s="25" t="str">
        <x:v>fact_offer</x:v>
      </x:c>
      <x:c r="G183" s="25" t="str">
        <x:v>Built; UAT pending</x:v>
      </x:c>
      <x:c r="H183" s="25" t="str">
        <x:v>Definition present in WIP _Measures. Reconcile against refreshed Gold and approved business rules.</x:v>
      </x:c>
      <x:c r="I183" s="25" t="str">
        <x:v>CALCULATE (
			    DISTINCTCOUNT ( 'fact_offer'[provider_id] ),
			    KEEPFILTERS ( FILTER ( 'fact_offer', LOWER ( COALESCE ( 'fact_offer'[offer_status], "" ) ) IN { "pending", "offer_made" } &amp;&amp; 'fact_offer'[offer_age_days] &gt;= 30 ) )
			)
Python/Spark SQL: 04_gold_model.py:712
Full logic: KPI_CALCULATION_TRACEABILITY.md#dax-business-providers-with-pending-offers-30-days</x:v>
      </x:c>
    </x:row>
    <x:row r="184" ht="59" customHeight="1">
      <x:c r="A184" s="25" t="str">
        <x:v>GOLD-KPI-075</x:v>
      </x:c>
      <x:c r="B184" s="25" t="str">
        <x:v>Offer portfolio and ageing</x:v>
      </x:c>
      <x:c r="C184" s="25" t="str">
        <x:v>Latest Offer Source Export</x:v>
      </x:c>
      <x:c r="D184" s="25" t="str">
        <x:v>New Gold KPI</x:v>
      </x:c>
      <x:c r="E184" s="25" t="str">
        <x:v>—</x:v>
      </x:c>
      <x:c r="F184" s="25" t="str">
        <x:v>fact_offer</x:v>
      </x:c>
      <x:c r="G184" s="25" t="str">
        <x:v>Built; UAT pending</x:v>
      </x:c>
      <x:c r="H184" s="25" t="str">
        <x:v>Definition present in WIP _Measures. Reconcile against refreshed Gold and approved business rules.</x:v>
      </x:c>
      <x:c r="I184" s="25" t="str">
        <x:v>MAX ( 'fact_offer'[source_export_date] )
Python/Spark SQL: 04_gold_model.py:712
Full logic: KPI_CALCULATION_TRACEABILITY.md#dax-business-latest-offer-source-export</x:v>
      </x:c>
    </x:row>
    <x:row r="185" ht="163" customHeight="1">
      <x:c r="A185" s="25" t="str">
        <x:v>GOLD-KPI-076</x:v>
      </x:c>
      <x:c r="B185" s="25" t="str">
        <x:v>Provider, framework and documents</x:v>
      </x:c>
      <x:c r="C185" s="25" t="str">
        <x:v>Provider Homes Registered</x:v>
      </x:c>
      <x:c r="D185" s="25" t="str">
        <x:v>KPI-40</x:v>
      </x:c>
      <x:c r="E185" s="25" t="str">
        <x:v>R91, R93</x:v>
      </x:c>
      <x:c r="F185" s="25" t="str">
        <x:v>dim_provider; dim_provider_home</x:v>
      </x:c>
      <x:c r="G185" s="25" t="str">
        <x:v>Built; UAT pending</x:v>
      </x:c>
      <x:c r="H185" s="25" t="str">
        <x:v>Definition present in WIP _Measures. Reconcile against refreshed Gold and approved business rules.</x:v>
      </x:c>
      <x:c r="I185" s="25" t="str">
        <x:v>IF ( ISFILTERED ( 'dim_provider' ),
			    CALCULATE ( DISTINCTCOUNT ( 'dim_provider_home'[provider_home_id] ), KEEPFILTERS ( TREATAS ( VALUES ( 'dim_provider'[provider_id] ), 'dim_provider_home'[provider_id] ) ) ),
			    DISTINCTCOUNT ( 'dim_provider_home'[provider_home_id] )
			)
Python/Spark SQL: 05_gold_dimensions.py:155; 05_gold_dimensions.py:163
Full logic: KPI_CALCULATION_TRACEABILITY.md#dax-business-provider-homes-registered</x:v>
      </x:c>
    </x:row>
    <x:row r="186" ht="59" customHeight="1">
      <x:c r="A186" s="25" t="str">
        <x:v>GOLD-KPI-077</x:v>
      </x:c>
      <x:c r="B186" s="25" t="str">
        <x:v>Provider, framework and documents</x:v>
      </x:c>
      <x:c r="C186" s="25" t="str">
        <x:v>Providers Registered</x:v>
      </x:c>
      <x:c r="D186" s="25" t="str">
        <x:v>KPI-41</x:v>
      </x:c>
      <x:c r="E186" s="25" t="str">
        <x:v>R91, R93</x:v>
      </x:c>
      <x:c r="F186" s="25" t="str">
        <x:v>dim_provider</x:v>
      </x:c>
      <x:c r="G186" s="25" t="str">
        <x:v>Built; UAT pending</x:v>
      </x:c>
      <x:c r="H186" s="25" t="str">
        <x:v>Definition present in WIP _Measures. Reconcile against refreshed Gold and approved business rules.</x:v>
      </x:c>
      <x:c r="I186" s="25" t="str">
        <x:v>DISTINCTCOUNT(dim_provider[provider_id])
Python/Spark SQL: 05_gold_dimensions.py:155
Full logic: KPI_CALCULATION_TRACEABILITY.md#dax-business-providers-registered</x:v>
      </x:c>
    </x:row>
    <x:row r="187" ht="215" customHeight="1">
      <x:c r="A187" s="25" t="str">
        <x:v>GOLD-KPI-078</x:v>
      </x:c>
      <x:c r="B187" s="25" t="str">
        <x:v>Provider, framework and documents</x:v>
      </x:c>
      <x:c r="C187" s="25" t="str">
        <x:v>Providers - Fostering</x:v>
      </x:c>
      <x:c r="D187" s="25" t="str">
        <x:v>New Gold KPI</x:v>
      </x:c>
      <x:c r="E187" s="25" t="str">
        <x:v>—</x:v>
      </x:c>
      <x:c r="F187" s="25" t="str">
        <x:v>bridge_provider_framework; dim_framework; dim_provider; dim_provider_home</x:v>
      </x:c>
      <x:c r="G187" s="25" t="str">
        <x:v>Built; UAT pending</x:v>
      </x:c>
      <x:c r="H187" s="25" t="str">
        <x:v>Definition present in WIP _Measures. Reconcile against refreshed Gold and approved business rules.</x:v>
      </x:c>
      <x:c r="I187" s="25" t="str">
        <x:v>VAR framework_providers = CALCULATETABLE ( VALUES ( 'bridge_provider_framework'[provider_id] ), FILTER ( 'dim_framework', LOWER ( 'dim_framework'[placement_type] ) IN { "fostering", "plcm-fost" } ) )
			VAR home_providers = CALCULATETABLE ( VALUES ( 'dim_provider_home'[provider_id] ), FILTER ( 'dim_provider_home', LOWER ( 'dim_provider_home'[service_type] ) IN { "fostering", "plcm-fost" } ) )
			RETURN CALCULATE ( [Providers Registered], KEEPFILTERS ( TREATAS ( DISTINCT ( UNION ( framework_providers, home_providers ) ), 'dim_provider'[provider_id] ) ) )
Python/Spark SQL: 05_gold_dimensions.py:194; 05_gold_dimensions.py:173; 05_gold_dimensions.py:155; 05_gold_dimensions.py:163
Full logic: KPI_CALCULATION_TRACEABILITY.md#dax-business-providers-fostering</x:v>
      </x:c>
    </x:row>
    <x:row r="188" ht="111" customHeight="1">
      <x:c r="A188" s="25" t="str">
        <x:v>GOLD-KPI-079</x:v>
      </x:c>
      <x:c r="B188" s="25" t="str">
        <x:v>Provider, framework and documents</x:v>
      </x:c>
      <x:c r="C188" s="25" t="str">
        <x:v>Providers - Residential</x:v>
      </x:c>
      <x:c r="D188" s="25" t="str">
        <x:v>New Gold KPI</x:v>
      </x:c>
      <x:c r="E188" s="25" t="str">
        <x:v>—</x:v>
      </x:c>
      <x:c r="F188" s="25" t="str">
        <x:v>dim_provider_home</x:v>
      </x:c>
      <x:c r="G188" s="25" t="str">
        <x:v>Built; UAT pending</x:v>
      </x:c>
      <x:c r="H188" s="25" t="str">
        <x:v>Definition present in WIP _Measures. Reconcile against refreshed Gold and approved business rules.</x:v>
      </x:c>
      <x:c r="I188" s="25" t="str">
        <x:v>CALCULATE (
			    DISTINCTCOUNT ( 'dim_provider_home'[provider_id] ),
			    'dim_provider_home'[service_type] = "Residential"
			)
Python/Spark SQL: 05_gold_dimensions.py:163
Full logic: KPI_CALCULATION_TRACEABILITY.md#dax-business-providers-residential</x:v>
      </x:c>
    </x:row>
    <x:row r="189" ht="124" customHeight="1">
      <x:c r="A189" s="25" t="str">
        <x:v>GOLD-KPI-080</x:v>
      </x:c>
      <x:c r="B189" s="25" t="str">
        <x:v>Provider, framework and documents</x:v>
      </x:c>
      <x:c r="C189" s="25" t="str">
        <x:v>Providers - Supported Accommodation</x:v>
      </x:c>
      <x:c r="D189" s="25" t="str">
        <x:v>New Gold KPI</x:v>
      </x:c>
      <x:c r="E189" s="25" t="str">
        <x:v>—</x:v>
      </x:c>
      <x:c r="F189" s="25" t="str">
        <x:v>dim_provider_home</x:v>
      </x:c>
      <x:c r="G189" s="25" t="str">
        <x:v>Built; UAT pending</x:v>
      </x:c>
      <x:c r="H189" s="25" t="str">
        <x:v>Definition present in WIP _Measures. Reconcile against refreshed Gold and approved business rules.</x:v>
      </x:c>
      <x:c r="I189" s="25" t="str">
        <x:v>CALCULATE (
			    DISTINCTCOUNT ( 'dim_provider_home'[provider_id] ),
			    'dim_provider_home'[service_type] = "Supported Accommodation"
			)
Python/Spark SQL: 05_gold_dimensions.py:163
Full logic: KPI_CALCULATION_TRACEABILITY.md#dax-business-providers-supported-accommodation</x:v>
      </x:c>
    </x:row>
    <x:row r="190" ht="85" customHeight="1">
      <x:c r="A190" s="25" t="str">
        <x:v>GOLD-KPI-081</x:v>
      </x:c>
      <x:c r="B190" s="25" t="str">
        <x:v>Provider, framework and documents</x:v>
      </x:c>
      <x:c r="C190" s="25" t="str">
        <x:v>Residential Homes</x:v>
      </x:c>
      <x:c r="D190" s="25" t="str">
        <x:v>New Gold KPI</x:v>
      </x:c>
      <x:c r="E190" s="25" t="str">
        <x:v>—</x:v>
      </x:c>
      <x:c r="F190" s="25" t="str">
        <x:v>dim_provider; dim_provider_home</x:v>
      </x:c>
      <x:c r="G190" s="25" t="str">
        <x:v>Built; UAT pending</x:v>
      </x:c>
      <x:c r="H190" s="25" t="str">
        <x:v>Definition present in WIP _Measures. Reconcile against refreshed Gold and approved business rules.</x:v>
      </x:c>
      <x:c r="I190" s="25" t="str">
        <x:v>CALCULATE ( [Provider Homes Registered], 'dim_provider_home'[service_type] = "Residential" )
Python/Spark SQL: 05_gold_dimensions.py:163; 05_gold_dimensions.py:155
Full logic: KPI_CALCULATION_TRACEABILITY.md#dax-business-residential-homes</x:v>
      </x:c>
    </x:row>
    <x:row r="191" ht="124" customHeight="1">
      <x:c r="A191" s="25" t="str">
        <x:v>GOLD-KPI-082</x:v>
      </x:c>
      <x:c r="B191" s="25" t="str">
        <x:v>Provider, framework and documents</x:v>
      </x:c>
      <x:c r="C191" s="25" t="str">
        <x:v>Supported Accommodation Homes</x:v>
      </x:c>
      <x:c r="D191" s="25" t="str">
        <x:v>New Gold KPI</x:v>
      </x:c>
      <x:c r="E191" s="25" t="str">
        <x:v>—</x:v>
      </x:c>
      <x:c r="F191" s="25" t="str">
        <x:v>dim_provider; dim_provider_home</x:v>
      </x:c>
      <x:c r="G191" s="25" t="str">
        <x:v>Built; UAT pending</x:v>
      </x:c>
      <x:c r="H191" s="25" t="str">
        <x:v>Definition present in WIP _Measures. Reconcile against refreshed Gold and approved business rules.</x:v>
      </x:c>
      <x:c r="I191" s="25" t="str">
        <x:v>CALCULATE (
			    [Provider Homes Registered],
			    'dim_provider_home'[service_type] = "Supported Accommodation"
			)
Python/Spark SQL: 05_gold_dimensions.py:163; 05_gold_dimensions.py:155
Full logic: KPI_CALCULATION_TRACEABILITY.md#dax-business-supported-accommodation-homes</x:v>
      </x:c>
    </x:row>
    <x:row r="192" ht="85" customHeight="1">
      <x:c r="A192" s="25" t="str">
        <x:v>GOLD-KPI-083</x:v>
      </x:c>
      <x:c r="B192" s="25" t="str">
        <x:v>Provider, framework and documents</x:v>
      </x:c>
      <x:c r="C192" s="25" t="str">
        <x:v>Fostering Homes</x:v>
      </x:c>
      <x:c r="D192" s="25" t="str">
        <x:v>New Gold KPI</x:v>
      </x:c>
      <x:c r="E192" s="25" t="str">
        <x:v>—</x:v>
      </x:c>
      <x:c r="F192" s="25" t="str">
        <x:v>dim_provider; dim_provider_home</x:v>
      </x:c>
      <x:c r="G192" s="25" t="str">
        <x:v>Built; UAT pending</x:v>
      </x:c>
      <x:c r="H192" s="25" t="str">
        <x:v>Definition present in WIP _Measures. Reconcile against refreshed Gold and approved business rules.</x:v>
      </x:c>
      <x:c r="I192" s="25" t="str">
        <x:v>CALCULATE ( [Provider Homes Registered], 'dim_provider_home'[service_type] = "Fostering" )
Python/Spark SQL: 05_gold_dimensions.py:163; 05_gold_dimensions.py:155
Full logic: KPI_CALCULATION_TRACEABILITY.md#dax-business-fostering-homes</x:v>
      </x:c>
    </x:row>
    <x:row r="193" ht="59" customHeight="1">
      <x:c r="A193" s="25" t="str">
        <x:v>GOLD-KPI-084</x:v>
      </x:c>
      <x:c r="B193" s="25" t="str">
        <x:v>Provider, framework and documents</x:v>
      </x:c>
      <x:c r="C193" s="25" t="str">
        <x:v>Framework Providers</x:v>
      </x:c>
      <x:c r="D193" s="25" t="str">
        <x:v>KPI-45</x:v>
      </x:c>
      <x:c r="E193" s="25" t="str">
        <x:v>R67</x:v>
      </x:c>
      <x:c r="F193" s="25" t="str">
        <x:v>bridge_provider_framework</x:v>
      </x:c>
      <x:c r="G193" s="25" t="str">
        <x:v>Built; UAT pending</x:v>
      </x:c>
      <x:c r="H193" s="25" t="str">
        <x:v>Definition present in WIP _Measures. Reconcile against refreshed Gold and approved business rules.</x:v>
      </x:c>
      <x:c r="I193" s="25" t="str">
        <x:v>DISTINCTCOUNT(bridge_provider_framework[provider_id])
Python/Spark SQL: 05_gold_dimensions.py:194
Full logic: KPI_CALCULATION_TRACEABILITY.md#dax-business-framework-providers</x:v>
      </x:c>
    </x:row>
    <x:row r="194" ht="150" customHeight="1">
      <x:c r="A194" s="25" t="str">
        <x:v>GOLD-KPI-085</x:v>
      </x:c>
      <x:c r="B194" s="25" t="str">
        <x:v>Provider, framework and documents</x:v>
      </x:c>
      <x:c r="C194" s="25" t="str">
        <x:v>Non-Framework Providers</x:v>
      </x:c>
      <x:c r="D194" s="25" t="str">
        <x:v>KPI-46</x:v>
      </x:c>
      <x:c r="E194" s="25" t="str">
        <x:v>R46</x:v>
      </x:c>
      <x:c r="F194" s="25" t="str">
        <x:v>bridge_provider_framework; dim_provider</x:v>
      </x:c>
      <x:c r="G194" s="25" t="str">
        <x:v>Built; UAT pending</x:v>
      </x:c>
      <x:c r="H194" s="25" t="str">
        <x:v>Definition present in WIP _Measures. Reconcile against refreshed Gold and approved business rules.</x:v>
      </x:c>
      <x:c r="I194" s="25" t="str">
        <x:v>COUNTROWS (
			    EXCEPT (
			        VALUES ( 'dim_provider'[provider_id] ),
			        VALUES ( 'bridge_provider_framework'[provider_id] )
			    )
			)
Python/Spark SQL: 05_gold_dimensions.py:194; 05_gold_dimensions.py:155
Full logic: KPI_CALCULATION_TRACEABILITY.md#dax-business-non-framework-providers</x:v>
      </x:c>
    </x:row>
    <x:row r="195" ht="72" customHeight="1">
      <x:c r="A195" s="25" t="str">
        <x:v>GOLD-KPI-086</x:v>
      </x:c>
      <x:c r="B195" s="25" t="str">
        <x:v>Provider, framework and documents</x:v>
      </x:c>
      <x:c r="C195" s="25" t="str">
        <x:v>Providers With QA Flags</x:v>
      </x:c>
      <x:c r="D195" s="25" t="str">
        <x:v>KPI-97</x:v>
      </x:c>
      <x:c r="E195" s="25" t="str">
        <x:v>R41</x:v>
      </x:c>
      <x:c r="F195" s="25" t="str">
        <x:v>dim_provider</x:v>
      </x:c>
      <x:c r="G195" s="25" t="str">
        <x:v>Built; UAT pending</x:v>
      </x:c>
      <x:c r="H195" s="25" t="str">
        <x:v>Definition present in WIP _Measures. Reconcile against refreshed Gold and approved business rules.</x:v>
      </x:c>
      <x:c r="I195" s="25" t="str">
        <x:v>CALCULATE ( [Providers Registered], KEEPFILTERS ( 'dim_provider'[qa_flag] = TRUE () ) )
Python/Spark SQL: 05_gold_dimensions.py:155
Full logic: KPI_CALCULATION_TRACEABILITY.md#dax-business-providers-with-qa-flags</x:v>
      </x:c>
    </x:row>
    <x:row r="196" ht="241" customHeight="1">
      <x:c r="A196" s="25" t="str">
        <x:v>GOLD-KPI-087</x:v>
      </x:c>
      <x:c r="B196" s="25" t="str">
        <x:v>Provider, framework and documents</x:v>
      </x:c>
      <x:c r="C196" s="25" t="str">
        <x:v>QA Flagged Homes</x:v>
      </x:c>
      <x:c r="D196" s="25" t="str">
        <x:v>New Gold KPI</x:v>
      </x:c>
      <x:c r="E196" s="25" t="str">
        <x:v>—</x:v>
      </x:c>
      <x:c r="F196" s="25" t="str">
        <x:v>dim_provider; dim_provider_home</x:v>
      </x:c>
      <x:c r="G196" s="25" t="str">
        <x:v>Built; UAT pending</x:v>
      </x:c>
      <x:c r="H196" s="25" t="str">
        <x:v>Definition present in WIP _Measures. Reconcile against refreshed Gold and approved business rules.</x:v>
      </x:c>
      <x:c r="I196" s="25" t="str">
        <x:v>VAR flagged_providers = CALCULATETABLE ( VALUES ( 'dim_provider'[provider_id] ), 'dim_provider'[qa_flag] = TRUE () )
			VAR selected_providers = VALUES ( 'dim_provider'[provider_id] )
			RETURN
			    CALCULATE (
			        [Provider Homes Registered],
			        KEEPFILTERS ( TREATAS ( selected_providers, 'dim_provider_home'[provider_id] ) ),
			        KEEPFILTERS ( FILTER ( 'dim_provider_home', 'dim_provider_home'[qa_flag] = TRUE () || 'dim_provider_home'[provider_id] IN flagged_providers ) )
			    )
Python/Spark SQL: 05_gold_dimensions.py:155; 05_gold_dimensions.py:163
Full logic: KPI_CALCULATION_TRACEABILITY.md#dax-business-qa-flagged-homes</x:v>
      </x:c>
    </x:row>
    <x:row r="197" ht="111" customHeight="1">
      <x:c r="A197" s="25" t="str">
        <x:v>GOLD-KPI-088</x:v>
      </x:c>
      <x:c r="B197" s="25" t="str">
        <x:v>Provider, framework and documents</x:v>
      </x:c>
      <x:c r="C197" s="25" t="str">
        <x:v>Providers Pending Onboarding</x:v>
      </x:c>
      <x:c r="D197" s="25" t="str">
        <x:v>KPI-116</x:v>
      </x:c>
      <x:c r="E197" s="25" t="str">
        <x:v>R59</x:v>
      </x:c>
      <x:c r="F197" s="25" t="str">
        <x:v>dim_provider</x:v>
      </x:c>
      <x:c r="G197" s="25" t="str">
        <x:v>Built; UAT pending</x:v>
      </x:c>
      <x:c r="H197" s="25" t="str">
        <x:v>Definition present in WIP _Measures. Reconcile against refreshed Gold and approved business rules.</x:v>
      </x:c>
      <x:c r="I197" s="25" t="str">
        <x:v>CALCULATE (
			    [Providers Registered],
			    FILTER ( 'dim_provider', LOWER ( COALESCE ( 'dim_provider'[provider_status], "" ) ) = "pending" )
			)
Python/Spark SQL: 05_gold_dimensions.py:155
Full logic: KPI_CALCULATION_TRACEABILITY.md#dax-business-providers-pending-onboarding</x:v>
      </x:c>
    </x:row>
    <x:row r="198" ht="111" customHeight="1">
      <x:c r="A198" s="25" t="str">
        <x:v>GOLD-KPI-089</x:v>
      </x:c>
      <x:c r="B198" s="25" t="str">
        <x:v>Provider, framework and documents</x:v>
      </x:c>
      <x:c r="C198" s="25" t="str">
        <x:v>Providers Approved</x:v>
      </x:c>
      <x:c r="D198" s="25" t="str">
        <x:v>New Gold KPI</x:v>
      </x:c>
      <x:c r="E198" s="25" t="str">
        <x:v>—</x:v>
      </x:c>
      <x:c r="F198" s="25" t="str">
        <x:v>dim_provider</x:v>
      </x:c>
      <x:c r="G198" s="25" t="str">
        <x:v>Built; UAT pending</x:v>
      </x:c>
      <x:c r="H198" s="25" t="str">
        <x:v>Definition present in WIP _Measures. Reconcile against refreshed Gold and approved business rules.</x:v>
      </x:c>
      <x:c r="I198" s="25" t="str">
        <x:v>CALCULATE (
			    [Providers Registered],
			    FILTER ( 'dim_provider', LOWER ( COALESCE ( 'dim_provider'[provider_status], "" ) ) = "approved" )
			)
Python/Spark SQL: 05_gold_dimensions.py:155
Full logic: KPI_CALCULATION_TRACEABILITY.md#dax-business-providers-approved</x:v>
      </x:c>
    </x:row>
    <x:row r="199" ht="59" customHeight="1">
      <x:c r="A199" s="25" t="str">
        <x:v>GOLD-KPI-090</x:v>
      </x:c>
      <x:c r="B199" s="25" t="str">
        <x:v>Provider, framework and documents</x:v>
      </x:c>
      <x:c r="C199" s="25" t="str">
        <x:v>Provider Onboarding Success Rate</x:v>
      </x:c>
      <x:c r="D199" s="25" t="str">
        <x:v>KPI-117</x:v>
      </x:c>
      <x:c r="E199" s="25" t="str">
        <x:v>R59</x:v>
      </x:c>
      <x:c r="F199" s="25" t="str">
        <x:v>dim_provider</x:v>
      </x:c>
      <x:c r="G199" s="25" t="str">
        <x:v>Proxy; UAT pending</x:v>
      </x:c>
      <x:c r="H199" s="25" t="str">
        <x:v>Approved-provider share, not bulk onboarding job success.</x:v>
      </x:c>
      <x:c r="I199" s="25" t="str">
        <x:v>DIVIDE ( [Providers Approved], [Providers Registered] )
Python/Spark SQL: 05_gold_dimensions.py:155
Full logic: KPI_CALCULATION_TRACEABILITY.md#dax-business-provider-onboarding-success-rate</x:v>
      </x:c>
    </x:row>
    <x:row r="200" ht="72" customHeight="1">
      <x:c r="A200" s="25" t="str">
        <x:v>GOLD-KPI-091</x:v>
      </x:c>
      <x:c r="B200" s="25" t="str">
        <x:v>Provider, framework and documents</x:v>
      </x:c>
      <x:c r="C200" s="25" t="str">
        <x:v>Provider Submission Documents</x:v>
      </x:c>
      <x:c r="D200" s="25" t="str">
        <x:v>New Gold KPI</x:v>
      </x:c>
      <x:c r="E200" s="25" t="str">
        <x:v>—</x:v>
      </x:c>
      <x:c r="F200" s="25" t="str">
        <x:v>dim_provider_submission_document</x:v>
      </x:c>
      <x:c r="G200" s="25" t="str">
        <x:v>Built; UAT pending</x:v>
      </x:c>
      <x:c r="H200" s="25" t="str">
        <x:v>Definition present in WIP _Measures. Reconcile against refreshed Gold and approved business rules.</x:v>
      </x:c>
      <x:c r="I200" s="25" t="str">
        <x:v>DISTINCTCOUNT ( 'dim_provider_submission_document'[document_id] )
Python/Spark SQL: 05_gold_dimensions.py:239
Full logic: KPI_CALCULATION_TRACEABILITY.md#dax-business-provider-submission-documents</x:v>
      </x:c>
    </x:row>
    <x:row r="201" ht="202" customHeight="1">
      <x:c r="A201" s="25" t="str">
        <x:v>GOLD-KPI-092</x:v>
      </x:c>
      <x:c r="B201" s="25" t="str">
        <x:v>Provider, framework and documents</x:v>
      </x:c>
      <x:c r="C201" s="25" t="str">
        <x:v>Documents Expiring Next 30 Days</x:v>
      </x:c>
      <x:c r="D201" s="25" t="str">
        <x:v>KPI-100</x:v>
      </x:c>
      <x:c r="E201" s="25" t="str">
        <x:v>R47</x:v>
      </x:c>
      <x:c r="F201" s="25" t="str">
        <x:v>dim_provider_submission_document</x:v>
      </x:c>
      <x:c r="G201" s="25" t="str">
        <x:v>Built; UAT pending</x:v>
      </x:c>
      <x:c r="H201" s="25" t="str">
        <x:v>Definition present in WIP _Measures. Reconcile against refreshed Gold and approved business rules.</x:v>
      </x:c>
      <x:c r="I201" s="25" t="str">
        <x:v>CALCULATE (
			    [Provider Submission Documents],
			    FILTER (
			        'dim_provider_submission_document',
			        NOT ISBLANK ( 'dim_provider_submission_document'[expiry_date] )
			            &amp;&amp; 'dim_provider_submission_document'[expiry_date] &gt;= TODAY ()
			            &amp;&amp; 'dim_provider_submission_document'[expiry_date] &lt;= TODAY () + 30
			    )
			)
Python/Spark SQL: 05_gold_dimensions.py:239
Full logic: KPI_CALCULATION_TRACEABILITY.md#dax-business-documents-expiring-next-30-days</x:v>
      </x:c>
    </x:row>
    <x:row r="202" ht="176" customHeight="1">
      <x:c r="A202" s="25" t="str">
        <x:v>GOLD-KPI-093</x:v>
      </x:c>
      <x:c r="B202" s="25" t="str">
        <x:v>Provider, framework and documents</x:v>
      </x:c>
      <x:c r="C202" s="25" t="str">
        <x:v>Documents Expired</x:v>
      </x:c>
      <x:c r="D202" s="25" t="str">
        <x:v>KPI-101</x:v>
      </x:c>
      <x:c r="E202" s="25" t="str">
        <x:v>R47, R48</x:v>
      </x:c>
      <x:c r="F202" s="25" t="str">
        <x:v>dim_provider_submission_document</x:v>
      </x:c>
      <x:c r="G202" s="25" t="str">
        <x:v>Built; UAT pending</x:v>
      </x:c>
      <x:c r="H202" s="25" t="str">
        <x:v>Definition present in WIP _Measures. Reconcile against refreshed Gold and approved business rules.</x:v>
      </x:c>
      <x:c r="I202" s="25" t="str">
        <x:v>CALCULATE (
			    [Provider Submission Documents],
			    FILTER (
			        'dim_provider_submission_document',
			        NOT ISBLANK ( 'dim_provider_submission_document'[expiry_date] )
			            &amp;&amp; 'dim_provider_submission_document'[expiry_date] &lt; TODAY ()
			    )
			)
Python/Spark SQL: 05_gold_dimensions.py:239
Full logic: KPI_CALCULATION_TRACEABILITY.md#dax-business-documents-expired</x:v>
      </x:c>
    </x:row>
    <x:row r="203" ht="189" customHeight="1">
      <x:c r="A203" s="25" t="str">
        <x:v>GOLD-KPI-094</x:v>
      </x:c>
      <x:c r="B203" s="25" t="str">
        <x:v>Provider, framework and documents</x:v>
      </x:c>
      <x:c r="C203" s="25" t="str">
        <x:v>Provider Homes With Expired Documents</x:v>
      </x:c>
      <x:c r="D203" s="25" t="str">
        <x:v>New Gold KPI</x:v>
      </x:c>
      <x:c r="E203" s="25" t="str">
        <x:v>—</x:v>
      </x:c>
      <x:c r="F203" s="25" t="str">
        <x:v>dim_provider_submission_document</x:v>
      </x:c>
      <x:c r="G203" s="25" t="str">
        <x:v>Built; UAT pending</x:v>
      </x:c>
      <x:c r="H203" s="25" t="str">
        <x:v>Definition present in WIP _Measures. Reconcile against refreshed Gold and approved business rules.</x:v>
      </x:c>
      <x:c r="I203" s="25" t="str">
        <x:v>CALCULATE (
			    DISTINCTCOUNT ( 'dim_provider_submission_document'[home_id] ),
			    FILTER (
			        'dim_provider_submission_document',
			        NOT ISBLANK ( 'dim_provider_submission_document'[expiry_date] )
			            &amp;&amp; 'dim_provider_submission_document'[expiry_date] &lt; TODAY ()
			    )
			)
Python/Spark SQL: 05_gold_dimensions.py:239
Full logic: KPI_CALCULATION_TRACEABILITY.md#dax-business-provider-homes-with-expired-documents</x:v>
      </x:c>
    </x:row>
    <x:row r="204" ht="202" customHeight="1">
      <x:c r="A204" s="25" t="str">
        <x:v>GOLD-KPI-095</x:v>
      </x:c>
      <x:c r="B204" s="25" t="str">
        <x:v>IPA, cost and lifecycle</x:v>
      </x:c>
      <x:c r="C204" s="25" t="str">
        <x:v>IPAs Issued This Month</x:v>
      </x:c>
      <x:c r="D204" s="25" t="str">
        <x:v>New Gold KPI</x:v>
      </x:c>
      <x:c r="E204" s="25" t="str">
        <x:v>—</x:v>
      </x:c>
      <x:c r="F204" s="25" t="str">
        <x:v>dim_date; fact_ipa; fact_referral</x:v>
      </x:c>
      <x:c r="G204" s="25" t="str">
        <x:v>Built; UAT pending</x:v>
      </x:c>
      <x:c r="H204" s="25" t="str">
        <x:v>Definition present in WIP _Measures. Reconcile against refreshed Gold and approved business rules.</x:v>
      </x:c>
      <x:c r="I204" s="25" t="str">
        <x:v>VAR as_of = MAX ( 'fact_ipa'[as_of_date] )
			RETURN IF ( NOT ISBLANK ( as_of ),
			    CALCULATE ( [IPAs Created],
			        CROSSFILTER ( 'dim_date'[date], 'fact_referral'[referral_created_date], NONE ),
			        USERELATIONSHIP ( 'dim_date'[date], 'fact_ipa'[ipa_issued_date] ),
			        DATESBETWEEN ( 'dim_date'[date], DATE ( YEAR ( as_of ), MONTH ( as_of ), 1 ), as_of )
			    )
			)
Python/Spark SQL: 05_gold_dimensions.py:128; 04_gold_model.py:817; 04_gold_model.py:232
Full logic: KPI_CALCULATION_TRACEABILITY.md#dax-business-ipas-issued-this-month</x:v>
      </x:c>
    </x:row>
    <x:row r="205" ht="72" customHeight="1">
      <x:c r="A205" s="25" t="str">
        <x:v>GOLD-KPI-096</x:v>
      </x:c>
      <x:c r="B205" s="25" t="str">
        <x:v>IPA, cost and lifecycle</x:v>
      </x:c>
      <x:c r="C205" s="25" t="str">
        <x:v>Closed IPAs</x:v>
      </x:c>
      <x:c r="D205" s="25" t="str">
        <x:v>New Gold KPI</x:v>
      </x:c>
      <x:c r="E205" s="25" t="str">
        <x:v>—</x:v>
      </x:c>
      <x:c r="F205" s="25" t="str">
        <x:v>fact_ipa</x:v>
      </x:c>
      <x:c r="G205" s="25" t="str">
        <x:v>Built; UAT pending</x:v>
      </x:c>
      <x:c r="H205" s="25" t="str">
        <x:v>Definition present in WIP _Measures. Reconcile against refreshed Gold and approved business rules.</x:v>
      </x:c>
      <x:c r="I205" s="25" t="str">
        <x:v>CALCULATE ( [IPAs Created], 'fact_ipa'[is_placement_closed] = TRUE () )
Python/Spark SQL: 04_gold_model.py:817
Full logic: KPI_CALCULATION_TRACEABILITY.md#dax-business-closed-ipas</x:v>
      </x:c>
    </x:row>
    <x:row r="206" ht="59" customHeight="1">
      <x:c r="A206" s="25" t="str">
        <x:v>GOLD-KPI-097</x:v>
      </x:c>
      <x:c r="B206" s="25" t="str">
        <x:v>IPA, cost and lifecycle</x:v>
      </x:c>
      <x:c r="C206" s="25" t="str">
        <x:v>Average Active IPA Weekly Cost</x:v>
      </x:c>
      <x:c r="D206" s="25" t="str">
        <x:v>New Gold KPI</x:v>
      </x:c>
      <x:c r="E206" s="25" t="str">
        <x:v>—</x:v>
      </x:c>
      <x:c r="F206" s="25" t="str">
        <x:v>fact_ipa</x:v>
      </x:c>
      <x:c r="G206" s="25" t="str">
        <x:v>Built; UAT pending</x:v>
      </x:c>
      <x:c r="H206" s="25" t="str">
        <x:v>Definition present in WIP _Measures. Reconcile against refreshed Gold and approved business rules.</x:v>
      </x:c>
      <x:c r="I206" s="25" t="str">
        <x:v>DIVIDE ( [Estimated Active Weekly Cost], [Active IPAs] )
Python/Spark SQL: 04_gold_model.py:817
Full logic: KPI_CALCULATION_TRACEABILITY.md#dax-business-average-active-ipa-weekly-cost</x:v>
      </x:c>
    </x:row>
    <x:row r="207" ht="59" customHeight="1">
      <x:c r="A207" s="25" t="str">
        <x:v>GOLD-KPI-098</x:v>
      </x:c>
      <x:c r="B207" s="25" t="str">
        <x:v>IPA, cost and lifecycle</x:v>
      </x:c>
      <x:c r="C207" s="25" t="str">
        <x:v>Total IPA Weekly Cost</x:v>
      </x:c>
      <x:c r="D207" s="25" t="str">
        <x:v>New Gold KPI</x:v>
      </x:c>
      <x:c r="E207" s="25" t="str">
        <x:v>—</x:v>
      </x:c>
      <x:c r="F207" s="25" t="str">
        <x:v>fact_ipa</x:v>
      </x:c>
      <x:c r="G207" s="25" t="str">
        <x:v>Built; UAT pending</x:v>
      </x:c>
      <x:c r="H207" s="25" t="str">
        <x:v>Definition present in WIP _Measures. Reconcile against refreshed Gold and approved business rules.</x:v>
      </x:c>
      <x:c r="I207" s="25" t="str">
        <x:v>SUM ( 'fact_ipa'[estimated_weekly_cost] )
Python/Spark SQL: 04_gold_model.py:817
Full logic: KPI_CALCULATION_TRACEABILITY.md#dax-business-total-ipa-weekly-cost</x:v>
      </x:c>
    </x:row>
    <x:row r="208" ht="111" customHeight="1">
      <x:c r="A208" s="25" t="str">
        <x:v>GOLD-KPI-099</x:v>
      </x:c>
      <x:c r="B208" s="25" t="str">
        <x:v>IPA conversion</x:v>
      </x:c>
      <x:c r="C208" s="25" t="str">
        <x:v>Accepted Offers With IPA</x:v>
      </x:c>
      <x:c r="D208" s="25" t="str">
        <x:v>KPI-79 replacement</x:v>
      </x:c>
      <x:c r="E208" s="25" t="str">
        <x:v>R35</x:v>
      </x:c>
      <x:c r="F208" s="25" t="str">
        <x:v>fact_ipa; fact_offer</x:v>
      </x:c>
      <x:c r="G208" s="25" t="str">
        <x:v>Built; UAT pending</x:v>
      </x:c>
      <x:c r="H208" s="25" t="str">
        <x:v>Definition present in WIP _Measures. Reconcile against refreshed Gold and approved business rules.</x:v>
      </x:c>
      <x:c r="I208" s="25" t="str">
        <x:v>VAR linked_offers = VALUES ( 'fact_ipa'[accepted_offer_id] )
			RETURN CALCULATE ( [Accepted Offers], KEEPFILTERS ( TREATAS ( linked_offers, 'fact_offer'[offer_id] ) ) )
Python/Spark SQL: 04_gold_model.py:817; 04_gold_model.py:712
Full logic: KPI_CALCULATION_TRACEABILITY.md#dax-business-accepted-offers-with-ipa</x:v>
      </x:c>
    </x:row>
    <x:row r="209" ht="72" customHeight="1">
      <x:c r="A209" s="25" t="str">
        <x:v>GOLD-KPI-100</x:v>
      </x:c>
      <x:c r="B209" s="25" t="str">
        <x:v>IPA conversion</x:v>
      </x:c>
      <x:c r="C209" s="25" t="str">
        <x:v>Offers Awaiting IPA Creation</x:v>
      </x:c>
      <x:c r="D209" s="25" t="str">
        <x:v>KPI-79</x:v>
      </x:c>
      <x:c r="E209" s="25" t="str">
        <x:v>R35</x:v>
      </x:c>
      <x:c r="F209" s="25" t="str">
        <x:v>fact_offer</x:v>
      </x:c>
      <x:c r="G209" s="25" t="str">
        <x:v>Built; UAT pending</x:v>
      </x:c>
      <x:c r="H209" s="25" t="str">
        <x:v>Definition present in WIP _Measures. Reconcile against refreshed Gold and approved business rules.</x:v>
      </x:c>
      <x:c r="I209" s="25" t="str">
        <x:v>CALCULATE ( [Offers Submitted], 'fact_offer'[is_awaiting_ipa_creation] = TRUE ())
Python/Spark SQL: 04_gold_model.py:712
Full logic: KPI_CALCULATION_TRACEABILITY.md#dax-business-offers-awaiting-ipa-creation</x:v>
      </x:c>
    </x:row>
    <x:row r="210" ht="72" customHeight="1">
      <x:c r="A210" s="25" t="str">
        <x:v>GOLD-KPI-101</x:v>
      </x:c>
      <x:c r="B210" s="25" t="str">
        <x:v>IPA conversion</x:v>
      </x:c>
      <x:c r="C210" s="25" t="str">
        <x:v>Accepted Offer to IPA Conversion %</x:v>
      </x:c>
      <x:c r="D210" s="25" t="str">
        <x:v>KPI-83</x:v>
      </x:c>
      <x:c r="E210" s="25" t="str">
        <x:v>R35</x:v>
      </x:c>
      <x:c r="F210" s="25" t="str">
        <x:v>fact_ipa; fact_offer</x:v>
      </x:c>
      <x:c r="G210" s="25" t="str">
        <x:v>Built; UAT pending</x:v>
      </x:c>
      <x:c r="H210" s="25" t="str">
        <x:v>Definition present in WIP _Measures. Reconcile against refreshed Gold and approved business rules.</x:v>
      </x:c>
      <x:c r="I210" s="25" t="str">
        <x:v>DIVIDE ( [IPAs Created], [Accepted Offers] )
Python/Spark SQL: 04_gold_model.py:817; 04_gold_model.py:712
Full logic: KPI_CALCULATION_TRACEABILITY.md#dax-business-accepted-offer-to-ipa-conversion-percent</x:v>
      </x:c>
    </x:row>
    <x:row r="211" ht="85" customHeight="1">
      <x:c r="A211" s="25" t="str">
        <x:v>GOLD-KPI-102</x:v>
      </x:c>
      <x:c r="B211" s="25" t="str">
        <x:v>IPA conversion</x:v>
      </x:c>
      <x:c r="C211" s="25" t="str">
        <x:v>Offers Still to Progress to IPA %</x:v>
      </x:c>
      <x:c r="D211" s="25" t="str">
        <x:v>KPI-84</x:v>
      </x:c>
      <x:c r="E211" s="25" t="str">
        <x:v>R35</x:v>
      </x:c>
      <x:c r="F211" s="25" t="str">
        <x:v>fact_ipa; fact_offer</x:v>
      </x:c>
      <x:c r="G211" s="25" t="str">
        <x:v>Built; UAT pending</x:v>
      </x:c>
      <x:c r="H211" s="25" t="str">
        <x:v>Definition present in WIP _Measures. Reconcile against refreshed Gold and approved business rules.</x:v>
      </x:c>
      <x:c r="I211" s="25" t="str">
        <x:v>IF ( NOT ISBLANK ( [Accepted Offer to IPA Conversion %] ), 1 - [Accepted Offer to IPA Conversion %] )
Python/Spark SQL: 04_gold_model.py:817; 04_gold_model.py:712
Full logic: KPI_CALCULATION_TRACEABILITY.md#dax-business-offers-still-to-progress-to-ipa-percent</x:v>
      </x:c>
    </x:row>
    <x:row r="212" ht="72" customHeight="1">
      <x:c r="A212" s="25" t="str">
        <x:v>GOLD-KPI-103</x:v>
      </x:c>
      <x:c r="B212" s="25" t="str">
        <x:v>IPA, cost and lifecycle</x:v>
      </x:c>
      <x:c r="C212" s="25" t="str">
        <x:v>Referrals With Fully Signed IPA</x:v>
      </x:c>
      <x:c r="D212" s="25" t="str">
        <x:v>New Gold KPI</x:v>
      </x:c>
      <x:c r="E212" s="25" t="str">
        <x:v>—</x:v>
      </x:c>
      <x:c r="F212" s="25" t="str">
        <x:v>fact_ipa</x:v>
      </x:c>
      <x:c r="G212" s="25" t="str">
        <x:v>Built; UAT pending</x:v>
      </x:c>
      <x:c r="H212" s="25" t="str">
        <x:v>Distinct referral IDs with at least one completed IPA; not a count of IPAs.</x:v>
      </x:c>
      <x:c r="I212" s="25" t="str">
        <x:v>CALCULATE ( DISTINCTCOUNT ( 'fact_ipa'[referral_id] ), KEEPFILTERS ( 'fact_ipa'[is_ipa_completed] = TRUE () ) )
Python/Spark SQL: 04_gold_model.py:817
Full logic: KPI_CALCULATION_TRACEABILITY.md#dax-business-referrals-with-fully-signed-ipa</x:v>
      </x:c>
    </x:row>
    <x:row r="213" ht="59" customHeight="1">
      <x:c r="A213" s="25" t="str">
        <x:v>GOLD-KPI-104</x:v>
      </x:c>
      <x:c r="B213" s="25" t="str">
        <x:v>IPA, cost and lifecycle</x:v>
      </x:c>
      <x:c r="C213" s="25" t="str">
        <x:v>IPA Signature Completion Rate</x:v>
      </x:c>
      <x:c r="D213" s="25" t="str">
        <x:v>New Gold KPI</x:v>
      </x:c>
      <x:c r="E213" s="25" t="str">
        <x:v>—</x:v>
      </x:c>
      <x:c r="F213" s="25" t="str">
        <x:v>fact_ipa</x:v>
      </x:c>
      <x:c r="G213" s="25" t="str">
        <x:v>Built; UAT pending</x:v>
      </x:c>
      <x:c r="H213" s="25" t="str">
        <x:v>IPA Completed / IPAs Created at IPA grain; both signature flags required.</x:v>
      </x:c>
      <x:c r="I213" s="25" t="str">
        <x:v>DIVIDE ( [IPA Completed], [IPAs Created] )
Python/Spark SQL: 04_gold_model.py:817
Full logic: KPI_CALCULATION_TRACEABILITY.md#dax-business-ipa-signature-completion-rate</x:v>
      </x:c>
    </x:row>
    <x:row r="214" ht="72" customHeight="1">
      <x:c r="A214" s="25" t="str">
        <x:v>GOLD-KPI-105</x:v>
      </x:c>
      <x:c r="B214" s="25" t="str">
        <x:v>IPA, cost and lifecycle</x:v>
      </x:c>
      <x:c r="C214" s="25" t="str">
        <x:v>Referral Lifecycle Events</x:v>
      </x:c>
      <x:c r="D214" s="25" t="str">
        <x:v>KPI-113</x:v>
      </x:c>
      <x:c r="E214" s="25" t="str">
        <x:v>R20</x:v>
      </x:c>
      <x:c r="F214" s="25" t="str">
        <x:v>fact_referral_lifecycle_event</x:v>
      </x:c>
      <x:c r="G214" s="25" t="str">
        <x:v>Proxy; UAT pending</x:v>
      </x:c>
      <x:c r="H214" s="25" t="str">
        <x:v>Derived activity roll-up, not a complete source audit trail.</x:v>
      </x:c>
      <x:c r="I214" s="25" t="str">
        <x:v>DISTINCTCOUNT ( 'fact_referral_lifecycle_event'[event_id] )
Python/Spark SQL: 04_gold_model.py:698
Full logic: KPI_CALCULATION_TRACEABILITY.md#dax-business-referral-lifecycle-events</x:v>
      </x:c>
    </x:row>
    <x:row r="215" ht="72" customHeight="1">
      <x:c r="A215" s="25" t="str">
        <x:v>GOLD-KPI-106</x:v>
      </x:c>
      <x:c r="B215" s="25" t="str">
        <x:v>IPA, cost and lifecycle</x:v>
      </x:c>
      <x:c r="C215" s="25" t="str">
        <x:v>Referrals With Lifecycle Activity</x:v>
      </x:c>
      <x:c r="D215" s="25" t="str">
        <x:v>New Gold KPI</x:v>
      </x:c>
      <x:c r="E215" s="25" t="str">
        <x:v>—</x:v>
      </x:c>
      <x:c r="F215" s="25" t="str">
        <x:v>fact_referral_lifecycle_event</x:v>
      </x:c>
      <x:c r="G215" s="25" t="str">
        <x:v>Built; UAT pending</x:v>
      </x:c>
      <x:c r="H215" s="25" t="str">
        <x:v>Definition present in WIP _Measures. Reconcile against refreshed Gold and approved business rules.</x:v>
      </x:c>
      <x:c r="I215" s="25" t="str">
        <x:v>DISTINCTCOUNT ( 'fact_referral_lifecycle_event'[referral_id] )
Python/Spark SQL: 04_gold_model.py:698
Full logic: KPI_CALCULATION_TRACEABILITY.md#dax-business-referrals-with-lifecycle-activity</x:v>
      </x:c>
    </x:row>
    <x:row r="216" ht="72" customHeight="1">
      <x:c r="A216" s="25" t="str">
        <x:v>GOLD-KPI-107</x:v>
      </x:c>
      <x:c r="B216" s="25" t="str">
        <x:v>IPA, cost and lifecycle</x:v>
      </x:c>
      <x:c r="C216" s="25" t="str">
        <x:v>Average Lifecycle Events per Referral</x:v>
      </x:c>
      <x:c r="D216" s="25" t="str">
        <x:v>New Gold KPI</x:v>
      </x:c>
      <x:c r="E216" s="25" t="str">
        <x:v>—</x:v>
      </x:c>
      <x:c r="F216" s="25" t="str">
        <x:v>fact_referral_lifecycle_event</x:v>
      </x:c>
      <x:c r="G216" s="25" t="str">
        <x:v>Built; UAT pending</x:v>
      </x:c>
      <x:c r="H216" s="25" t="str">
        <x:v>Definition present in WIP _Measures. Reconcile against refreshed Gold and approved business rules.</x:v>
      </x:c>
      <x:c r="I216" s="25" t="str">
        <x:v>DIVIDE ( [Referral Lifecycle Events], [Referrals With Lifecycle Activity] )
Python/Spark SQL: 04_gold_model.py:698
Full logic: KPI_CALCULATION_TRACEABILITY.md#dax-business-average-lifecycle-events-per-referral</x:v>
      </x:c>
    </x:row>
    <x:row r="217" ht="59" customHeight="1">
      <x:c r="A217" s="25" t="str">
        <x:v>GOLD-KPI-108</x:v>
      </x:c>
      <x:c r="B217" s="25" t="str">
        <x:v>IPA, cost and lifecycle</x:v>
      </x:c>
      <x:c r="C217" s="25" t="str">
        <x:v>Gold Model Last Refreshed</x:v>
      </x:c>
      <x:c r="D217" s="25" t="str">
        <x:v>KPI-87</x:v>
      </x:c>
      <x:c r="E217" s="25" t="str">
        <x:v>R82</x:v>
      </x:c>
      <x:c r="F217" s="25" t="str">
        <x:v>fact_referral</x:v>
      </x:c>
      <x:c r="G217" s="25" t="str">
        <x:v>Built; UAT pending</x:v>
      </x:c>
      <x:c r="H217" s="25" t="str">
        <x:v>Persisted Gold build timestamp; not source completeness or service-performance evidence.</x:v>
      </x:c>
      <x:c r="I217" s="25" t="str">
        <x:v>MAX ( 'fact_referral'[gold_modelled_at] )
Python/Spark SQL: 04_gold_model.py:232
Full logic: KPI_CALCULATION_TRACEABILITY.md#dax-business-gold-model-last-refreshed</x:v>
      </x:c>
    </x:row>
    <x:row r="218" ht="111" customHeight="1">
      <x:c r="A218" s="25" t="str">
        <x:v>GOLD-KPI-109</x:v>
      </x:c>
      <x:c r="B218" s="25" t="str">
        <x:v>Message activity proxy</x:v>
      </x:c>
      <x:c r="C218" s="25" t="str">
        <x:v>Provider Messages Sent</x:v>
      </x:c>
      <x:c r="D218" s="25" t="str">
        <x:v>KPI-110 proxy</x:v>
      </x:c>
      <x:c r="E218" s="25" t="str">
        <x:v>R14</x:v>
      </x:c>
      <x:c r="F218" s="25" t="str">
        <x:v>fact_referral_lifecycle_event</x:v>
      </x:c>
      <x:c r="G218" s="25" t="str">
        <x:v>Proxy; UAT pending</x:v>
      </x:c>
      <x:c r="H218" s="25" t="str">
        <x:v>Counts ProviderMessageSent lifecycle events; either sender may be represented. Not provider-authored response time.</x:v>
      </x:c>
      <x:c r="I218" s="25" t="str">
        <x:v>CALCULATE (
			    [Referral Lifecycle Events],
			    'fact_referral_lifecycle_event'[event_type] = "ProviderMessageSent"
			)
Python/Spark SQL: 04_gold_model.py:698
Full logic: KPI_CALCULATION_TRACEABILITY.md#dax-business-provider-messages-sent</x:v>
      </x:c>
    </x:row>
    <x:row r="219" ht="85" customHeight="1">
      <x:c r="A219" s="25" t="str">
        <x:v>GOLD-KPI-110</x:v>
      </x:c>
      <x:c r="B219" s="25" t="str">
        <x:v>Demographics</x:v>
      </x:c>
      <x:c r="C219" s="25" t="str">
        <x:v>Male Referrals</x:v>
      </x:c>
      <x:c r="D219" s="25" t="str">
        <x:v>WIP addition</x:v>
      </x:c>
      <x:c r="E219" s="25" t="str">
        <x:v>R51 (proposed)</x:v>
      </x:c>
      <x:c r="F219" s="25" t="str">
        <x:v>dim_person; fact_referral</x:v>
      </x:c>
      <x:c r="G219" s="25" t="str">
        <x:v>Built; UAT pending</x:v>
      </x:c>
      <x:c r="H219" s="25" t="str">
        <x:v>Gender-based referral analysis; reconcile unknowns and validate access controls.</x:v>
      </x:c>
      <x:c r="I219" s="25" t="str">
        <x:v>CALCULATE ( [Total Referrals], 'dim_person'[gender_clean] = "Male" )
Python/Spark SQL: 05_gold_dimensions.py:194; 04_gold_model.py:232
Full logic: KPI_CALCULATION_TRACEABILITY.md#dax-business-male-referrals</x:v>
      </x:c>
    </x:row>
    <x:row r="220" ht="85" customHeight="1">
      <x:c r="A220" s="25" t="str">
        <x:v>GOLD-KPI-111</x:v>
      </x:c>
      <x:c r="B220" s="25" t="str">
        <x:v>Demographics</x:v>
      </x:c>
      <x:c r="C220" s="25" t="str">
        <x:v>Female Referrals</x:v>
      </x:c>
      <x:c r="D220" s="25" t="str">
        <x:v>WIP addition</x:v>
      </x:c>
      <x:c r="E220" s="25" t="str">
        <x:v>R51 (proposed)</x:v>
      </x:c>
      <x:c r="F220" s="25" t="str">
        <x:v>dim_person; fact_referral</x:v>
      </x:c>
      <x:c r="G220" s="25" t="str">
        <x:v>Built; UAT pending</x:v>
      </x:c>
      <x:c r="H220" s="25" t="str">
        <x:v>Gender-based referral analysis; reconcile unknowns and validate access controls.</x:v>
      </x:c>
      <x:c r="I220" s="25" t="str">
        <x:v>CALCULATE ( [Total Referrals], 'dim_person'[gender_clean] = "Female" )
Python/Spark SQL: 05_gold_dimensions.py:194; 04_gold_model.py:232
Full logic: KPI_CALCULATION_TRACEABILITY.md#dax-business-female-referrals</x:v>
      </x:c>
    </x:row>
    <x:row r="221" ht="85" customHeight="1">
      <x:c r="A221" s="25" t="str">
        <x:v>GOLD-KPI-112</x:v>
      </x:c>
      <x:c r="B221" s="25" t="str">
        <x:v>Demographics</x:v>
      </x:c>
      <x:c r="C221" s="25" t="str">
        <x:v>Other Gender Referrals</x:v>
      </x:c>
      <x:c r="D221" s="25" t="str">
        <x:v>WIP addition</x:v>
      </x:c>
      <x:c r="E221" s="25" t="str">
        <x:v>R51 (proposed)</x:v>
      </x:c>
      <x:c r="F221" s="25" t="str">
        <x:v>dim_person; fact_referral</x:v>
      </x:c>
      <x:c r="G221" s="25" t="str">
        <x:v>Built; UAT pending</x:v>
      </x:c>
      <x:c r="H221" s="25" t="str">
        <x:v>Gender-based referral analysis; reconcile unknowns and validate access controls.</x:v>
      </x:c>
      <x:c r="I221" s="25" t="str">
        <x:v>CALCULATE ( [Total Referrals], 'dim_person'[gender_clean] = "Other" )
Python/Spark SQL: 05_gold_dimensions.py:194; 04_gold_model.py:232
Full logic: KPI_CALCULATION_TRACEABILITY.md#dax-business-other-gender-referrals</x:v>
      </x:c>
    </x:row>
    <x:row r="222" ht="98" customHeight="1">
      <x:c r="A222" s="25" t="str">
        <x:v>GOLD-KPI-113</x:v>
      </x:c>
      <x:c r="B222" s="25" t="str">
        <x:v>Demographics</x:v>
      </x:c>
      <x:c r="C222" s="25" t="str">
        <x:v>Total Gendered Referrals</x:v>
      </x:c>
      <x:c r="D222" s="25" t="str">
        <x:v>WIP addition</x:v>
      </x:c>
      <x:c r="E222" s="25" t="str">
        <x:v>R51 (proposed)</x:v>
      </x:c>
      <x:c r="F222" s="25" t="str">
        <x:v>dim_person; fact_referral</x:v>
      </x:c>
      <x:c r="G222" s="25" t="str">
        <x:v>Built; UAT pending</x:v>
      </x:c>
      <x:c r="H222" s="25" t="str">
        <x:v>Gender-based referral analysis; reconcile unknowns and validate access controls.</x:v>
      </x:c>
      <x:c r="I222" s="25" t="str">
        <x:v>CALCULATE ( [Total Referrals], KEEPFILTERS ( FILTER ( 'dim_person', NOT ISBLANK ( 'dim_person'[gender_clean] ) &amp;&amp; 'dim_person'[gender_clean] &lt;&gt; "Unknown" ) ) )
Python/Spark SQL: 05_gold_dimensions.py:194; 04_gold_model.py:232
Full logic: KPI_CALCULATION_TRACEABILITY.md#dax-business-total-gendered-referrals</x:v>
      </x:c>
    </x:row>
    <x:row r="223" ht="72" customHeight="1">
      <x:c r="A223" s="25" t="str">
        <x:v>GOLD-KPI-114</x:v>
      </x:c>
      <x:c r="B223" s="25" t="str">
        <x:v>IPA signatures</x:v>
      </x:c>
      <x:c r="C223" s="25" t="str">
        <x:v>IPA Completed</x:v>
      </x:c>
      <x:c r="D223" s="25" t="str">
        <x:v>WIP addition</x:v>
      </x:c>
      <x:c r="E223" s="25" t="str">
        <x:v>R15, R35, R62 (proposed)</x:v>
      </x:c>
      <x:c r="F223" s="25" t="str">
        <x:v>fact_ipa</x:v>
      </x:c>
      <x:c r="G223" s="25" t="str">
        <x:v>Built; UAT pending</x:v>
      </x:c>
      <x:c r="H223" s="25" t="str">
        <x:v>IPA-grain completion/signing backlog; completed includes closed signed records; pending excludes closed unsigned records.</x:v>
      </x:c>
      <x:c r="I223" s="25" t="str">
        <x:v>CALCULATE ( [IPAs Created], KEEPFILTERS ( 'fact_ipa'[is_ipa_completed] = TRUE () ) )
Python/Spark SQL: 04_gold_model.py:817
Full logic: KPI_CALCULATION_TRACEABILITY.md#dax-business-ipa-completed</x:v>
      </x:c>
    </x:row>
    <x:row r="224" ht="72" customHeight="1">
      <x:c r="A224" s="25" t="str">
        <x:v>GOLD-KPI-115</x:v>
      </x:c>
      <x:c r="B224" s="25" t="str">
        <x:v>IPA signatures</x:v>
      </x:c>
      <x:c r="C224" s="25" t="str">
        <x:v>IPAs Pending Completion</x:v>
      </x:c>
      <x:c r="D224" s="25" t="str">
        <x:v>WIP addition</x:v>
      </x:c>
      <x:c r="E224" s="25" t="str">
        <x:v>R15, R35, R62 (proposed)</x:v>
      </x:c>
      <x:c r="F224" s="25" t="str">
        <x:v>fact_ipa</x:v>
      </x:c>
      <x:c r="G224" s="25" t="str">
        <x:v>Built; UAT pending</x:v>
      </x:c>
      <x:c r="H224" s="25" t="str">
        <x:v>IPA-grain completion/signing backlog; completed includes closed signed records; pending excludes closed unsigned records.</x:v>
      </x:c>
      <x:c r="I224" s="25" t="str">
        <x:v>CALCULATE ( [IPAs Created], KEEPFILTERS ( 'fact_ipa'[is_ipa_pending] = TRUE () ) )
Python/Spark SQL: 04_gold_model.py:817
Full logic: KPI_CALCULATION_TRACEABILITY.md#dax-business-ipas-pending-completion</x:v>
      </x:c>
    </x:row>
    <x:row r="225" ht="72" customHeight="1">
      <x:c r="A225" s="25" t="str">
        <x:v>GOLD-KPI-116</x:v>
      </x:c>
      <x:c r="B225" s="25" t="str">
        <x:v>IPA signatures</x:v>
      </x:c>
      <x:c r="C225" s="25" t="str">
        <x:v>IPAs Signed by Provider</x:v>
      </x:c>
      <x:c r="D225" s="25" t="str">
        <x:v>WIP addition</x:v>
      </x:c>
      <x:c r="E225" s="25" t="str">
        <x:v>R15, R35, R62 (proposed)</x:v>
      </x:c>
      <x:c r="F225" s="25" t="str">
        <x:v>fact_ipa</x:v>
      </x:c>
      <x:c r="G225" s="25" t="str">
        <x:v>Built; UAT pending</x:v>
      </x:c>
      <x:c r="H225" s="25" t="str">
        <x:v>IPA-grain completion/signing backlog; completed includes closed signed records; pending excludes closed unsigned records.</x:v>
      </x:c>
      <x:c r="I225" s="25" t="str">
        <x:v>CALCULATE ( [IPAs Created], KEEPFILTERS ( 'fact_ipa'[signed_by_provider] = TRUE () ) )
Python/Spark SQL: 04_gold_model.py:817
Full logic: KPI_CALCULATION_TRACEABILITY.md#dax-business-ipas-signed-by-provider</x:v>
      </x:c>
    </x:row>
    <x:row r="226" ht="72" customHeight="1">
      <x:c r="A226" s="25" t="str">
        <x:v>GOLD-KPI-117</x:v>
      </x:c>
      <x:c r="B226" s="25" t="str">
        <x:v>IPA signatures</x:v>
      </x:c>
      <x:c r="C226" s="25" t="str">
        <x:v>IPAs Signed by Local Authority</x:v>
      </x:c>
      <x:c r="D226" s="25" t="str">
        <x:v>WIP addition</x:v>
      </x:c>
      <x:c r="E226" s="25" t="str">
        <x:v>R15, R35, R62 (proposed)</x:v>
      </x:c>
      <x:c r="F226" s="25" t="str">
        <x:v>fact_ipa</x:v>
      </x:c>
      <x:c r="G226" s="25" t="str">
        <x:v>Built; UAT pending</x:v>
      </x:c>
      <x:c r="H226" s="25" t="str">
        <x:v>IPA-grain completion/signing backlog; completed includes closed signed records; pending excludes closed unsigned records.</x:v>
      </x:c>
      <x:c r="I226" s="25" t="str">
        <x:v>CALCULATE ( [IPAs Created], KEEPFILTERS ( 'fact_ipa'[signed_by_local_authority] = TRUE () ) )
Python/Spark SQL: 04_gold_model.py:817
Full logic: KPI_CALCULATION_TRACEABILITY.md#dax-business-ipas-signed-by-local-authority</x:v>
      </x:c>
    </x:row>
    <x:row r="227" ht="124" customHeight="1">
      <x:c r="A227" s="25" t="str">
        <x:v>GOLD-KPI-118</x:v>
      </x:c>
      <x:c r="B227" s="25" t="str">
        <x:v>Snapshot trend</x:v>
      </x:c>
      <x:c r="C227" s="25" t="str">
        <x:v>Snapshot referrals previous month</x:v>
      </x:c>
      <x:c r="D227" s="25" t="str">
        <x:v>WIP addition</x:v>
      </x:c>
      <x:c r="E227" s="25" t="str">
        <x:v>R24, R51, R52 (proposed)</x:v>
      </x:c>
      <x:c r="F227" s="25" t="str">
        <x:v>dim_snapshot_month; fact_referral_snapshot</x:v>
      </x:c>
      <x:c r="G227" s="25" t="str">
        <x:v>Built; UAT pending</x:v>
      </x:c>
      <x:c r="H227" s="25" t="str">
        <x:v>Compare retained month-end state with the prior calendar month; missing prior data remains blank.</x:v>
      </x:c>
      <x:c r="I227" s="25" t="str">
        <x:v>VAR currentMonth = SELECTEDVALUE('dim_snapshot_month'[month_start])
			RETURN IF(NOT ISBLANK(currentMonth), CALCULATE([Snapshot Referrals], REMOVEFILTERS('dim_snapshot_month'), 'dim_snapshot_month'[month_start] = EDATE(currentMonth,-1)))
Python/Spark SQL: 05_gold_dimensions.py:390; 04_gold_model.py:567
Full logic: KPI_CALCULATION_TRACEABILITY.md#dax-business-snapshot-referrals-previous-month</x:v>
      </x:c>
    </x:row>
    <x:row r="228" ht="124" customHeight="1">
      <x:c r="A228" s="25" t="str">
        <x:v>GOLD-KPI-119</x:v>
      </x:c>
      <x:c r="B228" s="25" t="str">
        <x:v>Snapshot trend</x:v>
      </x:c>
      <x:c r="C228" s="25" t="str">
        <x:v>Snapshot referrals MoM change</x:v>
      </x:c>
      <x:c r="D228" s="25" t="str">
        <x:v>WIP addition</x:v>
      </x:c>
      <x:c r="E228" s="25" t="str">
        <x:v>R24, R51, R52 (proposed)</x:v>
      </x:c>
      <x:c r="F228" s="25" t="str">
        <x:v>dim_snapshot_month; fact_referral_snapshot</x:v>
      </x:c>
      <x:c r="G228" s="25" t="str">
        <x:v>Built; UAT pending</x:v>
      </x:c>
      <x:c r="H228" s="25" t="str">
        <x:v>Compare retained month-end state with the prior calendar month; missing prior data remains blank.</x:v>
      </x:c>
      <x:c r="I228" s="25" t="str">
        <x:v>VAR currentTotal = [Snapshot Referrals]
			VAR previousTotal = [Snapshot referrals previous month]
			RETURN IF(NOT ISBLANK(currentTotal) &amp;&amp; NOT ISBLANK(previousTotal), currentTotal - previousTotal)
Python/Spark SQL: 04_gold_model.py:567; 05_gold_dimensions.py:390
Full logic: KPI_CALCULATION_TRACEABILITY.md#dax-business-snapshot-referrals-mom-change</x:v>
      </x:c>
    </x:row>
    <x:row r="229" ht="85" customHeight="1">
      <x:c r="A229" s="25" t="str">
        <x:v>GOLD-KPI-120</x:v>
      </x:c>
      <x:c r="B229" s="25" t="str">
        <x:v>Snapshot trend</x:v>
      </x:c>
      <x:c r="C229" s="25" t="str">
        <x:v>Snapshot referrals MoM percent</x:v>
      </x:c>
      <x:c r="D229" s="25" t="str">
        <x:v>WIP addition</x:v>
      </x:c>
      <x:c r="E229" s="25" t="str">
        <x:v>R24, R51, R52 (proposed)</x:v>
      </x:c>
      <x:c r="F229" s="25" t="str">
        <x:v>dim_snapshot_month; fact_referral_snapshot</x:v>
      </x:c>
      <x:c r="G229" s="25" t="str">
        <x:v>Built; UAT pending</x:v>
      </x:c>
      <x:c r="H229" s="25" t="str">
        <x:v>Compare retained month-end state with the prior calendar month; missing prior data remains blank.</x:v>
      </x:c>
      <x:c r="I229" s="25" t="str">
        <x:v>DIVIDE([Snapshot referrals MoM change],[Snapshot referrals previous month])
Python/Spark SQL: 04_gold_model.py:567; 05_gold_dimensions.py:390
Full logic: KPI_CALCULATION_TRACEABILITY.md#dax-business-snapshot-referrals-mom-percent</x:v>
      </x:c>
    </x:row>
    <x:row r="230" ht="124" customHeight="1">
      <x:c r="A230" s="25" t="str">
        <x:v>GOLD-KPI-121</x:v>
      </x:c>
      <x:c r="B230" s="25" t="str">
        <x:v>Closure flow</x:v>
      </x:c>
      <x:c r="C230" s="25" t="str">
        <x:v>Referrals closed during month</x:v>
      </x:c>
      <x:c r="D230" s="25" t="str">
        <x:v>WIP addition</x:v>
      </x:c>
      <x:c r="E230" s="25" t="str">
        <x:v>R24, R51 (proposed)</x:v>
      </x:c>
      <x:c r="F230" s="25" t="str">
        <x:v>dim_date; fact_referral</x:v>
      </x:c>
      <x:c r="G230" s="25" t="str">
        <x:v>Built; UAT pending</x:v>
      </x:c>
      <x:c r="H230" s="25" t="str">
        <x:v>Distinct referrals by closure date in month; a flow measure, not closed state at snapshot. Closure date is derived.</x:v>
      </x:c>
      <x:c r="I230" s="25" t="str">
        <x:v>CALCULATE(DISTINCTCOUNT('fact_referral'[referral_id]), USERELATIONSHIP('fact_referral'[referral_closed_date],'dim_date'[date]), CROSSFILTER('fact_referral'[referral_created_date],'dim_date'[date],NONE), KEEPFILTERS(NOT ISBLANK('fact_referral'[referral_closed_date])))
Python/Spark SQL: 05_gold_dimensions.py:128; 04_gold_model.py:232
Full logic: KPI_CALCULATION_TRACEABILITY.md#dax-business-referrals-closed-during-month</x:v>
      </x:c>
    </x:row>
    <x:row r="231" ht="72" customHeight="1">
      <x:c r="A231" s="25" t="str">
        <x:v>GOLD-KPI-122</x:v>
      </x:c>
      <x:c r="B231" s="25" t="str">
        <x:v>Referral exploration</x:v>
      </x:c>
      <x:c r="C231" s="25" t="str">
        <x:v>Matching referrals</x:v>
      </x:c>
      <x:c r="D231" s="25" t="str">
        <x:v>WIP addition</x:v>
      </x:c>
      <x:c r="E231" s="25" t="str">
        <x:v>R13, R24, R25 (proposed)</x:v>
      </x:c>
      <x:c r="F231" s="25" t="str">
        <x:v>Referral Category; bridge_referral_framework_category; fact_offer; fact_referral</x:v>
      </x:c>
      <x:c r="G231" s="25" t="str">
        <x:v>Built; UAT pending</x:v>
      </x:c>
      <x:c r="H231" s="25" t="str">
        <x:v>Distinct referrals after category and matching-offer filters; category totals are not additive.</x:v>
      </x:c>
      <x:c r="I231" s="25" t="str">
        <x:v>[Explorer referrals]
Python/Spark SQL: 05_gold_dimensions.py:210; 04_gold_model.py:712; 04_gold_model.py:232
Full logic: KPI_CALCULATION_TRACEABILITY.md#dax-business-matching-referrals</x:v>
      </x:c>
    </x:row>
    <x:row r="232" ht="85" customHeight="1">
      <x:c r="A232" s="25" t="str">
        <x:v>GOLD-KPI-123</x:v>
      </x:c>
      <x:c r="B232" s="25" t="str">
        <x:v>Referral journey</x:v>
      </x:c>
      <x:c r="C232" s="25" t="str">
        <x:v>Journey referrals 1</x:v>
      </x:c>
      <x:c r="D232" s="25" t="str">
        <x:v>WIP addition</x:v>
      </x:c>
      <x:c r="E232" s="25" t="str">
        <x:v>R24, R25, R35, R51 (proposed)</x:v>
      </x:c>
      <x:c r="F232" s="25" t="str">
        <x:v>Referral Category; bridge_referral_framework_category; fact_offer; fact_referral</x:v>
      </x:c>
      <x:c r="G232" s="25" t="str">
        <x:v>Built; UAT pending</x:v>
      </x:c>
      <x:c r="H232" s="25" t="str">
        <x:v>Referral created. One current stage per referral at refresh. Closed status overrides milestones; counts are not historic funnel conversion.</x:v>
      </x:c>
      <x:c r="I232" s="25" t="str">
        <x:v>COALESCE(CALCULATE([Matching referrals], KEEPFILTERS('fact_referral'[Journey stage order] = 1)), 0)
Python/Spark SQL: 04_gold_model.py:232; 05_gold_dimensions.py:210; 04_gold_model.py:712
Full logic: KPI_CALCULATION_TRACEABILITY.md#dax-business-journey-referrals-1</x:v>
      </x:c>
    </x:row>
    <x:row r="233" ht="85" customHeight="1">
      <x:c r="A233" s="25" t="str">
        <x:v>GOLD-KPI-124</x:v>
      </x:c>
      <x:c r="B233" s="25" t="str">
        <x:v>Referral journey</x:v>
      </x:c>
      <x:c r="C233" s="25" t="str">
        <x:v>Journey referrals 2</x:v>
      </x:c>
      <x:c r="D233" s="25" t="str">
        <x:v>WIP addition</x:v>
      </x:c>
      <x:c r="E233" s="25" t="str">
        <x:v>R24, R25, R35, R51 (proposed)</x:v>
      </x:c>
      <x:c r="F233" s="25" t="str">
        <x:v>Referral Category; bridge_referral_framework_category; fact_offer; fact_referral</x:v>
      </x:c>
      <x:c r="G233" s="25" t="str">
        <x:v>Built; UAT pending</x:v>
      </x:c>
      <x:c r="H233" s="25" t="str">
        <x:v>Provider search. One current stage per referral at refresh. Closed status overrides milestones; counts are not historic funnel conversion.</x:v>
      </x:c>
      <x:c r="I233" s="25" t="str">
        <x:v>COALESCE(CALCULATE([Matching referrals], KEEPFILTERS('fact_referral'[Journey stage order] = 2)), 0)
Python/Spark SQL: 04_gold_model.py:232; 05_gold_dimensions.py:210; 04_gold_model.py:712
Full logic: KPI_CALCULATION_TRACEABILITY.md#dax-business-journey-referrals-2</x:v>
      </x:c>
    </x:row>
    <x:row r="234" ht="85" customHeight="1">
      <x:c r="A234" s="25" t="str">
        <x:v>GOLD-KPI-125</x:v>
      </x:c>
      <x:c r="B234" s="25" t="str">
        <x:v>Referral journey</x:v>
      </x:c>
      <x:c r="C234" s="25" t="str">
        <x:v>Journey referrals 3</x:v>
      </x:c>
      <x:c r="D234" s="25" t="str">
        <x:v>WIP addition</x:v>
      </x:c>
      <x:c r="E234" s="25" t="str">
        <x:v>R24, R25, R35, R51 (proposed)</x:v>
      </x:c>
      <x:c r="F234" s="25" t="str">
        <x:v>Referral Category; bridge_referral_framework_category; fact_offer; fact_referral</x:v>
      </x:c>
      <x:c r="G234" s="25" t="str">
        <x:v>Built; UAT pending</x:v>
      </x:c>
      <x:c r="H234" s="25" t="str">
        <x:v>Offers received. One current stage per referral at refresh. Closed status overrides milestones; counts are not historic funnel conversion.</x:v>
      </x:c>
      <x:c r="I234" s="25" t="str">
        <x:v>COALESCE(CALCULATE([Matching referrals], KEEPFILTERS('fact_referral'[Journey stage order] = 3)), 0)
Python/Spark SQL: 04_gold_model.py:232; 05_gold_dimensions.py:210; 04_gold_model.py:712
Full logic: KPI_CALCULATION_TRACEABILITY.md#dax-business-journey-referrals-3</x:v>
      </x:c>
    </x:row>
    <x:row r="235" ht="85" customHeight="1">
      <x:c r="A235" s="25" t="str">
        <x:v>GOLD-KPI-126</x:v>
      </x:c>
      <x:c r="B235" s="25" t="str">
        <x:v>Referral journey</x:v>
      </x:c>
      <x:c r="C235" s="25" t="str">
        <x:v>Journey referrals 4</x:v>
      </x:c>
      <x:c r="D235" s="25" t="str">
        <x:v>WIP addition</x:v>
      </x:c>
      <x:c r="E235" s="25" t="str">
        <x:v>R24, R25, R35, R51 (proposed)</x:v>
      </x:c>
      <x:c r="F235" s="25" t="str">
        <x:v>Referral Category; bridge_referral_framework_category; fact_offer; fact_referral</x:v>
      </x:c>
      <x:c r="G235" s="25" t="str">
        <x:v>Built; UAT pending</x:v>
      </x:c>
      <x:c r="H235" s="25" t="str">
        <x:v>Offer accepted. One current stage per referral at refresh. Closed status overrides milestones; counts are not historic funnel conversion.</x:v>
      </x:c>
      <x:c r="I235" s="25" t="str">
        <x:v>COALESCE(CALCULATE([Matching referrals], KEEPFILTERS('fact_referral'[Journey stage order] = 4)), 0)
Python/Spark SQL: 04_gold_model.py:232; 05_gold_dimensions.py:210; 04_gold_model.py:712
Full logic: KPI_CALCULATION_TRACEABILITY.md#dax-business-journey-referrals-4</x:v>
      </x:c>
    </x:row>
    <x:row r="236" ht="85" customHeight="1">
      <x:c r="A236" s="25" t="str">
        <x:v>GOLD-KPI-127</x:v>
      </x:c>
      <x:c r="B236" s="25" t="str">
        <x:v>Referral journey</x:v>
      </x:c>
      <x:c r="C236" s="25" t="str">
        <x:v>Journey referrals 5</x:v>
      </x:c>
      <x:c r="D236" s="25" t="str">
        <x:v>WIP addition</x:v>
      </x:c>
      <x:c r="E236" s="25" t="str">
        <x:v>R24, R25, R35, R51 (proposed)</x:v>
      </x:c>
      <x:c r="F236" s="25" t="str">
        <x:v>Referral Category; bridge_referral_framework_category; fact_offer; fact_referral</x:v>
      </x:c>
      <x:c r="G236" s="25" t="str">
        <x:v>Built; UAT pending</x:v>
      </x:c>
      <x:c r="H236" s="25" t="str">
        <x:v>IPA created. One current stage per referral at refresh. Closed status overrides milestones; counts are not historic funnel conversion.</x:v>
      </x:c>
      <x:c r="I236" s="25" t="str">
        <x:v>COALESCE(CALCULATE([Matching referrals], KEEPFILTERS('fact_referral'[Journey stage order] = 5)), 0)
Python/Spark SQL: 04_gold_model.py:232; 05_gold_dimensions.py:210; 04_gold_model.py:712
Full logic: KPI_CALCULATION_TRACEABILITY.md#dax-business-journey-referrals-5</x:v>
      </x:c>
    </x:row>
    <x:row r="237" ht="85" customHeight="1">
      <x:c r="A237" s="25" t="str">
        <x:v>GOLD-KPI-128</x:v>
      </x:c>
      <x:c r="B237" s="25" t="str">
        <x:v>Referral journey</x:v>
      </x:c>
      <x:c r="C237" s="25" t="str">
        <x:v>Journey referrals 6</x:v>
      </x:c>
      <x:c r="D237" s="25" t="str">
        <x:v>WIP addition</x:v>
      </x:c>
      <x:c r="E237" s="25" t="str">
        <x:v>R24, R25, R35, R51 (proposed)</x:v>
      </x:c>
      <x:c r="F237" s="25" t="str">
        <x:v>Referral Category; bridge_referral_framework_category; fact_offer; fact_referral</x:v>
      </x:c>
      <x:c r="G237" s="25" t="str">
        <x:v>Built; UAT pending</x:v>
      </x:c>
      <x:c r="H237" s="25" t="str">
        <x:v>IPA signed. One current stage per referral at refresh. Closed status overrides milestones; counts are not historic funnel conversion.</x:v>
      </x:c>
      <x:c r="I237" s="25" t="str">
        <x:v>COALESCE(CALCULATE([Matching referrals], KEEPFILTERS('fact_referral'[Journey stage order] = 6)), 0)
Python/Spark SQL: 04_gold_model.py:232; 05_gold_dimensions.py:210; 04_gold_model.py:712
Full logic: KPI_CALCULATION_TRACEABILITY.md#dax-business-journey-referrals-6</x:v>
      </x:c>
    </x:row>
    <x:row r="238" ht="85" customHeight="1">
      <x:c r="A238" s="25" t="str">
        <x:v>GOLD-KPI-129</x:v>
      </x:c>
      <x:c r="B238" s="25" t="str">
        <x:v>Referral journey</x:v>
      </x:c>
      <x:c r="C238" s="25" t="str">
        <x:v>Journey referrals 7</x:v>
      </x:c>
      <x:c r="D238" s="25" t="str">
        <x:v>WIP addition</x:v>
      </x:c>
      <x:c r="E238" s="25" t="str">
        <x:v>R24, R25, R35, R51 (proposed)</x:v>
      </x:c>
      <x:c r="F238" s="25" t="str">
        <x:v>Referral Category; bridge_referral_framework_category; fact_offer; fact_referral</x:v>
      </x:c>
      <x:c r="G238" s="25" t="str">
        <x:v>Built; UAT pending</x:v>
      </x:c>
      <x:c r="H238" s="25" t="str">
        <x:v>Closed / cancelled / withdrawn. One current stage per referral at refresh. Closed status overrides milestones; counts are not historic funnel conversion.</x:v>
      </x:c>
      <x:c r="I238" s="25" t="str">
        <x:v>COALESCE(CALCULATE([Matching referrals], KEEPFILTERS('fact_referral'[Journey stage order] = 7)), 0)
Python/Spark SQL: 04_gold_model.py:232; 05_gold_dimensions.py:210; 04_gold_model.py:712
Full logic: KPI_CALCULATION_TRACEABILITY.md#dax-business-journey-referrals-7</x:v>
      </x:c>
    </x:row>
    <x:row r="239" ht="85" customHeight="1">
      <x:c r="A239" s="25" t="str">
        <x:v>GOLD-KPI-130</x:v>
      </x:c>
      <x:c r="B239" s="25" t="str">
        <x:v>Referral journey</x:v>
      </x:c>
      <x:c r="C239" s="25" t="str">
        <x:v>Journey referrals 8</x:v>
      </x:c>
      <x:c r="D239" s="25" t="str">
        <x:v>WIP addition</x:v>
      </x:c>
      <x:c r="E239" s="25" t="str">
        <x:v>R24, R25, R35, R51 (proposed)</x:v>
      </x:c>
      <x:c r="F239" s="25" t="str">
        <x:v>Referral Category; bridge_referral_framework_category; fact_offer; fact_referral</x:v>
      </x:c>
      <x:c r="G239" s="25" t="str">
        <x:v>Built; UAT pending</x:v>
      </x:c>
      <x:c r="H239" s="25" t="str">
        <x:v>Needs review. One current stage per referral at refresh. Closed status overrides milestones; counts are not historic funnel conversion.</x:v>
      </x:c>
      <x:c r="I239" s="25" t="str">
        <x:v>COALESCE(CALCULATE([Matching referrals], KEEPFILTERS('fact_referral'[Journey stage order] = 8)), 0)
Python/Spark SQL: 04_gold_model.py:232; 05_gold_dimensions.py:210; 04_gold_model.py:712
Full logic: KPI_CALCULATION_TRACEABILITY.md#dax-business-journey-referrals-8</x:v>
      </x:c>
    </x:row>
    <x:row r="240" ht="124" customHeight="1">
      <x:c r="A240" s="25" t="str">
        <x:v>GOLD-KPI-131</x:v>
      </x:c>
      <x:c r="B240" s="25" t="str">
        <x:v>Provider journey</x:v>
      </x:c>
      <x:c r="C240" s="25" t="str">
        <x:v>Journey providers 0</x:v>
      </x:c>
      <x:c r="D240" s="25" t="str">
        <x:v>WIP addition</x:v>
      </x:c>
      <x:c r="E240" s="25" t="str">
        <x:v>R24, R26, R28, R35 (proposed)</x:v>
      </x:c>
      <x:c r="F240" s="25" t="str">
        <x:v>dim_provider; dim_provider_home; fact_ipa; fact_offer</x:v>
      </x:c>
      <x:c r="G240" s="25" t="str">
        <x:v>Built; UAT pending</x:v>
      </x:c>
      <x:c r="H240" s="25" t="str">
        <x:v>Assigned / draft / unclear. Distinct provider at furthest evidenced stage in current cohort; not additive offer counts. No browsing evidence.</x:v>
      </x:c>
      <x:c r="I240" s="25" t="str">
        <x:v>COALESCE(COUNTROWS(FILTER(VALUES('dim_provider'[provider_id]), NOT ISBLANK('dim_provider'[provider_id]) &amp;&amp; CALCULATE([Provider matches offer status]) = 1 &amp;&amp; CALCULATE([Journey provider stage]) == 0)), 0)
Python/Spark SQL: 05_gold_dimensions.py:155; 05_gold_dimensions.py:163; 04_gold_model.py:712; 05_gold_dimensions.py:253; 04_gold_model.py:817; 04_gold_model.py:847
Full logic: KPI_CALCULATION_TRACEABILITY.md#dax-business-journey-providers-0</x:v>
      </x:c>
    </x:row>
    <x:row r="241" ht="124" customHeight="1">
      <x:c r="A241" s="25" t="str">
        <x:v>GOLD-KPI-132</x:v>
      </x:c>
      <x:c r="B241" s="25" t="str">
        <x:v>Provider journey</x:v>
      </x:c>
      <x:c r="C241" s="25" t="str">
        <x:v>Journey providers 1</x:v>
      </x:c>
      <x:c r="D241" s="25" t="str">
        <x:v>WIP addition</x:v>
      </x:c>
      <x:c r="E241" s="25" t="str">
        <x:v>R24, R26, R28, R35 (proposed)</x:v>
      </x:c>
      <x:c r="F241" s="25" t="str">
        <x:v>dim_provider; dim_provider_home; fact_ipa; fact_offer</x:v>
      </x:c>
      <x:c r="G241" s="25" t="str">
        <x:v>Built; UAT pending</x:v>
      </x:c>
      <x:c r="H241" s="25" t="str">
        <x:v>Message activity only. Distinct provider at furthest evidenced stage in current cohort; not additive offer counts. No browsing evidence.</x:v>
      </x:c>
      <x:c r="I241" s="25" t="str">
        <x:v>COALESCE(COUNTROWS(FILTER(VALUES('dim_provider'[provider_id]), NOT ISBLANK('dim_provider'[provider_id]) &amp;&amp; CALCULATE([Provider matches offer status]) = 1 &amp;&amp; CALCULATE([Journey provider stage]) == 1)), 0)
Python/Spark SQL: 05_gold_dimensions.py:155; 05_gold_dimensions.py:163; 04_gold_model.py:712; 05_gold_dimensions.py:253; 04_gold_model.py:817; 04_gold_model.py:847
Full logic: KPI_CALCULATION_TRACEABILITY.md#dax-business-journey-providers-1</x:v>
      </x:c>
    </x:row>
    <x:row r="242" ht="124" customHeight="1">
      <x:c r="A242" s="25" t="str">
        <x:v>GOLD-KPI-133</x:v>
      </x:c>
      <x:c r="B242" s="25" t="str">
        <x:v>Provider journey</x:v>
      </x:c>
      <x:c r="C242" s="25" t="str">
        <x:v>Journey providers 2</x:v>
      </x:c>
      <x:c r="D242" s="25" t="str">
        <x:v>WIP addition</x:v>
      </x:c>
      <x:c r="E242" s="25" t="str">
        <x:v>R24, R26, R28, R35 (proposed)</x:v>
      </x:c>
      <x:c r="F242" s="25" t="str">
        <x:v>dim_provider; dim_provider_home; fact_ipa; fact_offer</x:v>
      </x:c>
      <x:c r="G242" s="25" t="str">
        <x:v>Built; UAT pending</x:v>
      </x:c>
      <x:c r="H242" s="25" t="str">
        <x:v>Offers made. Distinct provider at furthest evidenced stage in current cohort; not additive offer counts. No browsing evidence.</x:v>
      </x:c>
      <x:c r="I242" s="25" t="str">
        <x:v>COALESCE(COUNTROWS(FILTER(VALUES('dim_provider'[provider_id]), NOT ISBLANK('dim_provider'[provider_id]) &amp;&amp; CALCULATE([Provider matches offer status]) = 1 &amp;&amp; CALCULATE([Journey provider stage]) == 2)), 0)
Python/Spark SQL: 05_gold_dimensions.py:155; 05_gold_dimensions.py:163; 04_gold_model.py:712; 05_gold_dimensions.py:253; 04_gold_model.py:817; 04_gold_model.py:847
Full logic: KPI_CALCULATION_TRACEABILITY.md#dax-business-journey-providers-2</x:v>
      </x:c>
    </x:row>
    <x:row r="243" ht="124" customHeight="1">
      <x:c r="A243" s="25" t="str">
        <x:v>GOLD-KPI-134</x:v>
      </x:c>
      <x:c r="B243" s="25" t="str">
        <x:v>Provider journey</x:v>
      </x:c>
      <x:c r="C243" s="25" t="str">
        <x:v>Journey providers 3</x:v>
      </x:c>
      <x:c r="D243" s="25" t="str">
        <x:v>WIP addition</x:v>
      </x:c>
      <x:c r="E243" s="25" t="str">
        <x:v>R24, R26, R28, R35 (proposed)</x:v>
      </x:c>
      <x:c r="F243" s="25" t="str">
        <x:v>dim_provider; dim_provider_home; fact_ipa; fact_offer</x:v>
      </x:c>
      <x:c r="G243" s="25" t="str">
        <x:v>Built; UAT pending</x:v>
      </x:c>
      <x:c r="H243" s="25" t="str">
        <x:v>Offer accepted. Distinct provider at furthest evidenced stage in current cohort; not additive offer counts. No browsing evidence.</x:v>
      </x:c>
      <x:c r="I243" s="25" t="str">
        <x:v>COALESCE(COUNTROWS(FILTER(VALUES('dim_provider'[provider_id]), NOT ISBLANK('dim_provider'[provider_id]) &amp;&amp; CALCULATE([Provider matches offer status]) = 1 &amp;&amp; CALCULATE([Journey provider stage]) == 3)), 0)
Python/Spark SQL: 05_gold_dimensions.py:155; 05_gold_dimensions.py:163; 04_gold_model.py:712; 05_gold_dimensions.py:253; 04_gold_model.py:817; 04_gold_model.py:847
Full logic: KPI_CALCULATION_TRACEABILITY.md#dax-business-journey-providers-3</x:v>
      </x:c>
    </x:row>
    <x:row r="244" ht="124" customHeight="1">
      <x:c r="A244" s="25" t="str">
        <x:v>GOLD-KPI-135</x:v>
      </x:c>
      <x:c r="B244" s="25" t="str">
        <x:v>Provider journey</x:v>
      </x:c>
      <x:c r="C244" s="25" t="str">
        <x:v>Journey providers 5</x:v>
      </x:c>
      <x:c r="D244" s="25" t="str">
        <x:v>WIP addition</x:v>
      </x:c>
      <x:c r="E244" s="25" t="str">
        <x:v>R24, R26, R28, R35 (proposed)</x:v>
      </x:c>
      <x:c r="F244" s="25" t="str">
        <x:v>dim_provider; dim_provider_home; fact_ipa; fact_offer</x:v>
      </x:c>
      <x:c r="G244" s="25" t="str">
        <x:v>Built; UAT pending</x:v>
      </x:c>
      <x:c r="H244" s="25" t="str">
        <x:v>Provider signed. Distinct provider at furthest evidenced stage in current cohort; not additive offer counts. No browsing evidence.</x:v>
      </x:c>
      <x:c r="I244" s="25" t="str">
        <x:v>COALESCE(COUNTROWS(FILTER(VALUES('dim_provider'[provider_id]), NOT ISBLANK('dim_provider'[provider_id]) &amp;&amp; CALCULATE([Provider matches offer status]) = 1 &amp;&amp; CALCULATE([Journey provider stage]) == 5)), 0)
Python/Spark SQL: 05_gold_dimensions.py:155; 05_gold_dimensions.py:163; 04_gold_model.py:712; 05_gold_dimensions.py:253; 04_gold_model.py:817; 04_gold_model.py:847
Full logic: KPI_CALCULATION_TRACEABILITY.md#dax-business-journey-providers-5</x:v>
      </x:c>
    </x:row>
    <x:row r="245" ht="202" customHeight="1">
      <x:c r="A245" s="25" t="str">
        <x:v>GOLD-KPI-136</x:v>
      </x:c>
      <x:c r="B245" s="25" t="str">
        <x:v>Provider journey</x:v>
      </x:c>
      <x:c r="C245" s="25" t="str">
        <x:v>Journey providers both signed</x:v>
      </x:c>
      <x:c r="D245" s="25" t="str">
        <x:v>WIP addition</x:v>
      </x:c>
      <x:c r="E245" s="25" t="str">
        <x:v>R35, R62 (proposed)</x:v>
      </x:c>
      <x:c r="F245" s="25" t="str">
        <x:v>dim_provider; fact_ipa; fact_offer</x:v>
      </x:c>
      <x:c r="G245" s="25" t="str">
        <x:v>Built; UAT pending</x:v>
      </x:c>
      <x:c r="H245" s="25" t="str">
        <x:v>Providers with both-signed IPA evidence; subset of provider-signed, not a further stage.</x:v>
      </x:c>
      <x:c r="I245" s="25" t="str">
        <x:v>COALESCE(COUNTROWS(FILTER(VALUES('dim_provider'[provider_id]),
			VAR offerIDs = CALCULATETABLE(VALUES('fact_offer'[offer_id]))
			VAR signedIPAs = CALCULATETABLE('fact_ipa', KEEPFILTERS(TREATAS(offerIDs, 'fact_ipa'[accepted_offer_id])))
			RETURN NOT ISBLANK('dim_provider'[provider_id]) &amp;&amp; CALCULATE([Provider matches offer status]) = 1 &amp;&amp; COUNTROWS(FILTER(signedIPAs, 'fact_ipa'[signed_by_provider] == TRUE() &amp;&amp; 'fact_ipa'[signed_by_local_authority] == TRUE())) &gt; 0)),0)
Python/Spark SQL: 05_gold_dimensions.py:155; 04_gold_model.py:817; 04_gold_model.py:712; 05_gold_dimensions.py:163
Full logic: KPI_CALCULATION_TRACEABILITY.md#dax-business-journey-providers-both-signed</x:v>
      </x:c>
    </x:row>
    <x:row r="246" ht="72" customHeight="1">
      <x:c r="A246" s="25" t="str">
        <x:v>GOLD-KPI-137</x:v>
      </x:c>
      <x:c r="B246" s="25" t="str">
        <x:v>Provider performance</x:v>
      </x:c>
      <x:c r="C246" s="25" t="str">
        <x:v>Provider Response Rate</x:v>
      </x:c>
      <x:c r="D246" s="25" t="str">
        <x:v>WIP addition</x:v>
      </x:c>
      <x:c r="E246" s="25" t="str">
        <x:v>R26, R51 (proposed)</x:v>
      </x:c>
      <x:c r="F246" s="25" t="str">
        <x:v>fact_provider_kpi_monthly</x:v>
      </x:c>
      <x:c r="G246" s="25" t="str">
        <x:v>Built; UAT pending</x:v>
      </x:c>
      <x:c r="H246" s="25" t="str">
        <x:v>Assignment-cohort component based on qualifying offers/reasons. Not a message SLA, composite score or suitability rating.</x:v>
      </x:c>
      <x:c r="I246" s="25" t="str">
        <x:v>DIVIDE ( [Provider Qualifying Responses], [Provider Response Opportunities] )
Python/Spark SQL: 04_gold_model.py:935
Full logic: KPI_CALCULATION_TRACEABILITY.md#dax-business-provider-response-rate</x:v>
      </x:c>
    </x:row>
    <x:row r="247" ht="176" customHeight="1">
      <x:c r="A247" s="25" t="str">
        <x:v>GOLD-KPI-138</x:v>
      </x:c>
      <x:c r="B247" s="25" t="str">
        <x:v>Provider performance</x:v>
      </x:c>
      <x:c r="C247" s="25" t="str">
        <x:v>Provider Average Response Hours</x:v>
      </x:c>
      <x:c r="D247" s="25" t="str">
        <x:v>WIP addition</x:v>
      </x:c>
      <x:c r="E247" s="25" t="str">
        <x:v>R26, R51 (proposed)</x:v>
      </x:c>
      <x:c r="F247" s="25" t="str">
        <x:v>fact_provider_kpi_monthly</x:v>
      </x:c>
      <x:c r="G247" s="25" t="str">
        <x:v>Built; UAT pending</x:v>
      </x:c>
      <x:c r="H247" s="25" t="str">
        <x:v>Assignment-cohort component based on qualifying offers/reasons. Not a message SLA, composite score or suitability rating.</x:v>
      </x:c>
      <x:c r="I247" s="25" t="str">
        <x:v>DIVIDE (
				SUMX (
					'fact_provider_kpi_monthly',
					'fact_provider_kpi_monthly'[average_response_minutes]
						* 'fact_provider_kpi_monthly'[qualifying_response_count]
				),
				[Provider Qualifying Responses] * 60
			)
Python/Spark SQL: 04_gold_model.py:935
Full logic: KPI_CALCULATION_TRACEABILITY.md#dax-business-provider-average-response-hours</x:v>
      </x:c>
    </x:row>
    <x:row r="248" ht="124" customHeight="1">
      <x:c r="A248" s="25" t="str">
        <x:v>GOLD-KPI-139</x:v>
      </x:c>
      <x:c r="B248" s="25" t="str">
        <x:v>Provider performance</x:v>
      </x:c>
      <x:c r="C248" s="25" t="str">
        <x:v>Provider Offer Conversion Rate</x:v>
      </x:c>
      <x:c r="D248" s="25" t="str">
        <x:v>WIP addition</x:v>
      </x:c>
      <x:c r="E248" s="25" t="str">
        <x:v>R26, R51 (proposed)</x:v>
      </x:c>
      <x:c r="F248" s="25" t="str">
        <x:v>fact_provider_kpi_monthly</x:v>
      </x:c>
      <x:c r="G248" s="25" t="str">
        <x:v>Built; UAT pending</x:v>
      </x:c>
      <x:c r="H248" s="25" t="str">
        <x:v>Assignment-cohort component based on qualifying offers/reasons. Not a message SLA, composite score or suitability rating.</x:v>
      </x:c>
      <x:c r="I248" s="25" t="str">
        <x:v>DIVIDE (
				SUM ( 'fact_provider_kpi_monthly'[accepted_offer_count] ),
				SUM ( 'fact_provider_kpi_monthly'[offers_submitted_count] )
			)
Python/Spark SQL: 04_gold_model.py:935
Full logic: KPI_CALCULATION_TRACEABILITY.md#dax-business-provider-offer-conversion-rate</x:v>
      </x:c>
    </x:row>
    <x:row r="249" ht="124" customHeight="1">
      <x:c r="A249" s="25" t="str">
        <x:v>GOLD-KPI-140</x:v>
      </x:c>
      <x:c r="B249" s="25" t="str">
        <x:v>Provider performance</x:v>
      </x:c>
      <x:c r="C249" s="25" t="str">
        <x:v>Provider Target Placement Rate</x:v>
      </x:c>
      <x:c r="D249" s="25" t="str">
        <x:v>WIP addition</x:v>
      </x:c>
      <x:c r="E249" s="25" t="str">
        <x:v>R26, R51 (proposed)</x:v>
      </x:c>
      <x:c r="F249" s="25" t="str">
        <x:v>fact_provider_kpi_monthly</x:v>
      </x:c>
      <x:c r="G249" s="25" t="str">
        <x:v>Built; UAT pending</x:v>
      </x:c>
      <x:c r="H249" s="25" t="str">
        <x:v>Assignment-cohort component based on qualifying offers/reasons. Not a message SLA, composite score or suitability rating.</x:v>
      </x:c>
      <x:c r="I249" s="25" t="str">
        <x:v>DIVIDE (
				SUM ( 'fact_provider_kpi_monthly'[placed_by_target_count] ),
				SUM ( 'fact_provider_kpi_monthly'[successful_referral_count] )
			)
Python/Spark SQL: 04_gold_model.py:935
Full logic: KPI_CALCULATION_TRACEABILITY.md#dax-business-provider-target-placement-rate</x:v>
      </x:c>
    </x:row>
    <x:row r="250" ht="72" customHeight="1">
      <x:c r="A250" s="25" t="str">
        <x:v>GOLD-KPI-141</x:v>
      </x:c>
      <x:c r="B250" s="25" t="str">
        <x:v>Location coverage</x:v>
      </x:c>
      <x:c r="C250" s="25" t="str">
        <x:v>Preferred-city distance coverage</x:v>
      </x:c>
      <x:c r="D250" s="25" t="str">
        <x:v>WIP addition</x:v>
      </x:c>
      <x:c r="E250" s="25" t="str">
        <x:v>R13, R51 (proposed)</x:v>
      </x:c>
      <x:c r="F250" s="25" t="str">
        <x:v>fact_offer</x:v>
      </x:c>
      <x:c r="G250" s="25" t="str">
        <x:v>Built; UAT pending</x:v>
      </x:c>
      <x:c r="H250" s="25" t="str">
        <x:v>Share of offers with preference-city distance evidence. Missing coordinates are not zero distance.</x:v>
      </x:c>
      <x:c r="I250" s="25" t="str">
        <x:v>DIVIDE([Offers with preferred-city distance],[Offers Submitted])
Python/Spark SQL: 04_gold_model.py:712
Full logic: KPI_CALCULATION_TRACEABILITY.md#dax-business-preferred-city-distance-coverage</x:v>
      </x:c>
    </x:row>
    <x:row r="251" ht="98" customHeight="1">
      <x:c r="A251" s="25" t="str">
        <x:v>GOLD-KPI-142</x:v>
      </x:c>
      <x:c r="B251" s="25" t="str">
        <x:v>Location distance</x:v>
      </x:c>
      <x:c r="C251" s="25" t="str">
        <x:v>Median preferred-city distance km</x:v>
      </x:c>
      <x:c r="D251" s="25" t="str">
        <x:v>WIP addition</x:v>
      </x:c>
      <x:c r="E251" s="25" t="str">
        <x:v>R13, R51 (proposed)</x:v>
      </x:c>
      <x:c r="F251" s="25" t="str">
        <x:v>fact_offer</x:v>
      </x:c>
      <x:c r="G251" s="25" t="str">
        <x:v>Built; UAT pending</x:v>
      </x:c>
      <x:c r="H251" s="25" t="str">
        <x:v>City-centroid to postcode straight-line estimate, not child-address or road distance; approved coordinates required.</x:v>
      </x:c>
      <x:c r="I251" s="25" t="str">
        <x:v>MEDIANX(FILTER('fact_offer','fact_offer'[referral_to_home_distance_status]="APPROXIMATE_PREFERENCE_CITY" &amp;&amp; NOT ISBLANK('fact_offer'[referral_to_home_distance_km])),'fact_offer'[referral_to_home_distance_km])
Python/Spark SQL: 04_gold_model.py:712
Full logic: KPI_CALCULATION_TRACEABILITY.md#dax-business-median-preferred-city-distance-km</x:v>
      </x:c>
    </x:row>
    <x:row r="252" ht="111" customHeight="1">
      <x:c r="A252" s="25" t="str">
        <x:v>GOLD-KPI-143</x:v>
      </x:c>
      <x:c r="B252" s="25" t="str">
        <x:v>Placement supply</x:v>
      </x:c>
      <x:c r="C252" s="25" t="str">
        <x:v>Homes Offered</x:v>
      </x:c>
      <x:c r="D252" s="25" t="str">
        <x:v>WIP addition</x:v>
      </x:c>
      <x:c r="E252" s="25" t="str">
        <x:v>R26, R51, R93 (proposed)</x:v>
      </x:c>
      <x:c r="F252" s="25" t="str">
        <x:v>fact_offer</x:v>
      </x:c>
      <x:c r="G252" s="25" t="str">
        <x:v>Built; UAT pending</x:v>
      </x:c>
      <x:c r="H252" s="25" t="str">
        <x:v>Distinct offered homes in current context; not spare capacity or available beds.</x:v>
      </x:c>
      <x:c r="I252" s="25" t="str">
        <x:v>CALCULATE ( DISTINCTCOUNT ( 'fact_offer'[provider_home_id] ),
			    KEEPFILTERS ( FILTER ( 'fact_offer', NOT ISBLANK ( 'fact_offer'[provider_home_id] ) &amp;&amp; 'fact_offer'[provider_home_id] &lt;&gt; "" ) ) )
Python/Spark SQL: 04_gold_model.py:712
Full logic: KPI_CALCULATION_TRACEABILITY.md#dax-business-homes-offered</x:v>
      </x:c>
    </x:row>
    <x:row r="253" ht="85" customHeight="1">
      <x:c r="A253" s="25" t="str">
        <x:v>GOLD-KPI-144</x:v>
      </x:c>
      <x:c r="B253" s="25" t="str">
        <x:v>Urgency</x:v>
      </x:c>
      <x:c r="C253" s="25" t="str">
        <x:v>Critical Overdue Referrals</x:v>
      </x:c>
      <x:c r="D253" s="25" t="str">
        <x:v>WIP addition</x:v>
      </x:c>
      <x:c r="E253" s="25" t="str">
        <x:v>R16, R24 (proposed)</x:v>
      </x:c>
      <x:c r="F253" s="25" t="str">
        <x:v>fact_referral</x:v>
      </x:c>
      <x:c r="G253" s="25" t="str">
        <x:v>Built; UAT pending</x:v>
      </x:c>
      <x:c r="H253" s="25" t="str">
        <x:v>Operational overdue/critical cohort; validate urgency rule with owner before escalation.</x:v>
      </x:c>
      <x:c r="I253" s="25" t="str">
        <x:v>CALCULATE ( [Open Overdue Referrals],
			    KEEPFILTERS ( 'fact_referral'[placement_urgency_band] = "Critical" ) )
Python/Spark SQL: 04_gold_model.py:232
Full logic: KPI_CALCULATION_TRACEABILITY.md#dax-business-critical-overdue-referrals</x:v>
      </x:c>
    </x:row>
    <x:row r="256" ht="25" customHeight="1">
      <x:c r="A256" s="22" t="str">
        <x:v>Mission Control current Im package — saved measures including helpers</x:v>
      </x:c>
      <x:c r="B256" s="22"/>
      <x:c r="C256" s="22"/>
      <x:c r="D256" s="22"/>
      <x:c r="E256" s="22"/>
      <x:c r="F256" s="22"/>
      <x:c r="G256" s="22"/>
      <x:c r="H256" s="22"/>
      <x:c r="I256" s="22"/>
    </x:row>
    <x:row r="257" ht="35" customHeight="1">
      <x:c r="A257" s="27" t="str">
        <x:v>Measure</x:v>
      </x:c>
      <x:c r="B257" s="27" t="str">
        <x:v>Measure container</x:v>
      </x:c>
      <x:c r="C257" s="27" t="str">
        <x:v>DAX calculation</x:v>
      </x:c>
      <x:c r="D257" s="27" t="str">
        <x:v>Physical/model sources</x:v>
      </x:c>
      <x:c r="E257" s="27" t="str">
        <x:v>Direct visible-page bindings</x:v>
      </x:c>
      <x:c r="F257" s="27" t="str">
        <x:v>Req ID support (proposed)</x:v>
      </x:c>
      <x:c r="G257" s="27" t="str">
        <x:v>Python / Spark SQL producer</x:v>
      </x:c>
      <x:c r="H257" s="27" t="str">
        <x:v>Assessment boundary</x:v>
      </x:c>
      <x:c r="I257" s="27" t="str">
        <x:v>Definition evidence</x:v>
      </x:c>
    </x:row>
    <x:row r="258" ht="46" customHeight="1">
      <x:c r="A258" s="25" t="str">
        <x:v>Runs</x:v>
      </x:c>
      <x:c r="B258" s="25" t="str">
        <x:v>_Load Experience</x:v>
      </x:c>
      <x:c r="C258" s="25" t="str">
        <x:v>DISTINCTCOUNT(rpt_job_run_summary[job_run_id])</x:v>
      </x:c>
      <x:c r="D258" s="25" t="str">
        <x:v>monitoring.rpt_job_run_summary</x:v>
      </x:c>
      <x:c r="E258" s="25" t="str">
        <x:v>No direct visible binding verified</x:v>
      </x:c>
      <x:c r="F258" s="25" t="str">
        <x:v>No requirement mapping asserted</x:v>
      </x:c>
      <x:c r="G258" s="25" t="str">
        <x:v>06_reports.py:141</x:v>
      </x:c>
      <x:c r="H258" s="25" t="str">
        <x:v>Saved definition only; includes display/selector helpers. Not an accepted business KPI or proof of runtime/DR/SLA.</x:v>
      </x:c>
      <x:c r="I258" s="25" t="str">
        <x:v>SM WMPP Mission Control Import/SM WMPP Mission Control.SemanticModel/definition/tables/_Load Experience.tmdl:4
Full code: KPI_CALCULATION_TRACEABILITY.md</x:v>
      </x:c>
    </x:row>
    <x:row r="259" ht="46" customHeight="1">
      <x:c r="A259" s="25" t="str">
        <x:v>Successful</x:v>
      </x:c>
      <x:c r="B259" s="25" t="str">
        <x:v>_Load Experience</x:v>
      </x:c>
      <x:c r="C259" s="25" t="str">
        <x:v>CALCULATE([Runs], KEEPFILTERS(rpt_job_run_summary[Outcome]="Successful"))</x:v>
      </x:c>
      <x:c r="D259" s="25" t="str">
        <x:v>monitoring.rpt_job_run_summary</x:v>
      </x:c>
      <x:c r="E259" s="25" t="str">
        <x:v>No direct visible binding verified</x:v>
      </x:c>
      <x:c r="F259" s="25" t="str">
        <x:v>No requirement mapping asserted</x:v>
      </x:c>
      <x:c r="G259" s="25" t="str">
        <x:v>06_reports.py:141</x:v>
      </x:c>
      <x:c r="H259" s="25" t="str">
        <x:v>Saved definition only; includes display/selector helpers. Not an accepted business KPI or proof of runtime/DR/SLA.</x:v>
      </x:c>
      <x:c r="I259" s="25" t="str">
        <x:v>SM WMPP Mission Control Import/SM WMPP Mission Control.SemanticModel/definition/tables/_Load Experience.tmdl:9
Full code: KPI_CALCULATION_TRACEABILITY.md</x:v>
      </x:c>
    </x:row>
    <x:row r="260" ht="46" customHeight="1">
      <x:c r="A260" s="25" t="str">
        <x:v>Failures</x:v>
      </x:c>
      <x:c r="B260" s="25" t="str">
        <x:v>_Load Experience</x:v>
      </x:c>
      <x:c r="C260" s="25" t="str">
        <x:v>CALCULATE([Runs], KEEPFILTERS(rpt_job_run_summary[Outcome]="Failed"))</x:v>
      </x:c>
      <x:c r="D260" s="25" t="str">
        <x:v>monitoring.rpt_job_run_summary</x:v>
      </x:c>
      <x:c r="E260" s="25" t="str">
        <x:v>No direct visible binding verified</x:v>
      </x:c>
      <x:c r="F260" s="25" t="str">
        <x:v>No requirement mapping asserted</x:v>
      </x:c>
      <x:c r="G260" s="25" t="str">
        <x:v>06_reports.py:141</x:v>
      </x:c>
      <x:c r="H260" s="25" t="str">
        <x:v>Saved definition only; includes display/selector helpers. Not an accepted business KPI or proof of runtime/DR/SLA.</x:v>
      </x:c>
      <x:c r="I260" s="25" t="str">
        <x:v>SM WMPP Mission Control Import/SM WMPP Mission Control.SemanticModel/definition/tables/_Load Experience.tmdl:14
Full code: KPI_CALCULATION_TRACEABILITY.md</x:v>
      </x:c>
    </x:row>
    <x:row r="261" ht="46" customHeight="1">
      <x:c r="A261" s="25" t="str">
        <x:v>In progress or other</x:v>
      </x:c>
      <x:c r="B261" s="25" t="str">
        <x:v>_Load Experience</x:v>
      </x:c>
      <x:c r="C261" s="25" t="str">
        <x:v>CALCULATE([Runs], KEEPFILTERS(rpt_job_run_summary[Outcome] IN {"Running","Other"}))</x:v>
      </x:c>
      <x:c r="D261" s="25" t="str">
        <x:v>monitoring.rpt_job_run_summary</x:v>
      </x:c>
      <x:c r="E261" s="25" t="str">
        <x:v>No direct visible binding verified</x:v>
      </x:c>
      <x:c r="F261" s="25" t="str">
        <x:v>No requirement mapping asserted</x:v>
      </x:c>
      <x:c r="G261" s="25" t="str">
        <x:v>06_reports.py:141</x:v>
      </x:c>
      <x:c r="H261" s="25" t="str">
        <x:v>Saved definition only; includes display/selector helpers. Not an accepted business KPI or proof of runtime/DR/SLA.</x:v>
      </x:c>
      <x:c r="I261" s="25" t="str">
        <x:v>SM WMPP Mission Control Import/SM WMPP Mission Control.SemanticModel/definition/tables/_Load Experience.tmdl:19
Full code: KPI_CALCULATION_TRACEABILITY.md</x:v>
      </x:c>
    </x:row>
    <x:row r="262" ht="46" customHeight="1">
      <x:c r="A262" s="25" t="str">
        <x:v>Success rate</x:v>
      </x:c>
      <x:c r="B262" s="25" t="str">
        <x:v>_Load Experience</x:v>
      </x:c>
      <x:c r="C262" s="25" t="str">
        <x:v>DIVIDE([Successful],[Successful]+[Failures])</x:v>
      </x:c>
      <x:c r="D262" s="25" t="str">
        <x:v>monitoring.rpt_job_run_summary</x:v>
      </x:c>
      <x:c r="E262" s="25" t="str">
        <x:v>No direct visible binding verified</x:v>
      </x:c>
      <x:c r="F262" s="25" t="str">
        <x:v>No requirement mapping asserted</x:v>
      </x:c>
      <x:c r="G262" s="25" t="str">
        <x:v>06_reports.py:141</x:v>
      </x:c>
      <x:c r="H262" s="25" t="str">
        <x:v>Saved definition only; includes display/selector helpers. Not an accepted business KPI or proof of runtime/DR/SLA.</x:v>
      </x:c>
      <x:c r="I262" s="25" t="str">
        <x:v>SM WMPP Mission Control Import/SM WMPP Mission Control.SemanticModel/definition/tables/_Load Experience.tmdl:24
Full code: KPI_CALCULATION_TRACEABILITY.md</x:v>
      </x:c>
    </x:row>
    <x:row r="263" ht="85" customHeight="1">
      <x:c r="A263" s="25" t="str">
        <x:v>P95 duration min</x:v>
      </x:c>
      <x:c r="B263" s="25" t="str">
        <x:v>_Load Experience</x:v>
      </x:c>
      <x:c r="C263" s="25" t="str">
        <x:v>PERCENTILEX.INC(FILTER(rpt_job_run_summary, NOT ISBLANK(rpt_job_run_summary[ended_at]) &amp;&amp; rpt_job_run_summary[job_duration_seconds]&gt;=0), DIVIDE(rpt_job_run_summary[job_duration_seconds],60),0.95)</x:v>
      </x:c>
      <x:c r="D263" s="25" t="str">
        <x:v>monitoring.rpt_job_run_summary</x:v>
      </x:c>
      <x:c r="E263" s="25" t="str">
        <x:v>No direct visible binding verified</x:v>
      </x:c>
      <x:c r="F263" s="25" t="str">
        <x:v>No requirement mapping asserted</x:v>
      </x:c>
      <x:c r="G263" s="25" t="str">
        <x:v>06_reports.py:141</x:v>
      </x:c>
      <x:c r="H263" s="25" t="str">
        <x:v>Saved definition only; includes display/selector helpers. Not an accepted business KPI or proof of runtime/DR/SLA.</x:v>
      </x:c>
      <x:c r="I263" s="25" t="str">
        <x:v>SM WMPP Mission Control Import/SM WMPP Mission Control.SemanticModel/definition/tables/_Load Experience.tmdl:29
Full code: KPI_CALCULATION_TRACEABILITY.md</x:v>
      </x:c>
    </x:row>
    <x:row r="264" ht="46" customHeight="1">
      <x:c r="A264" s="25" t="str">
        <x:v>Rows written</x:v>
      </x:c>
      <x:c r="B264" s="25" t="str">
        <x:v>_Load Experience</x:v>
      </x:c>
      <x:c r="C264" s="25" t="str">
        <x:v>SUM(rpt_job_run_summary[rows_written])</x:v>
      </x:c>
      <x:c r="D264" s="25" t="str">
        <x:v>monitoring.rpt_job_run_summary</x:v>
      </x:c>
      <x:c r="E264" s="25" t="str">
        <x:v>No direct visible binding verified</x:v>
      </x:c>
      <x:c r="F264" s="25" t="str">
        <x:v>No requirement mapping asserted</x:v>
      </x:c>
      <x:c r="G264" s="25" t="str">
        <x:v>06_reports.py:141</x:v>
      </x:c>
      <x:c r="H264" s="25" t="str">
        <x:v>Saved definition only; includes display/selector helpers. Not an accepted business KPI or proof of runtime/DR/SLA.</x:v>
      </x:c>
      <x:c r="I264" s="25" t="str">
        <x:v>SM WMPP Mission Control Import/SM WMPP Mission Control.SemanticModel/definition/tables/_Load Experience.tmdl:34
Full code: KPI_CALCULATION_TRACEABILITY.md</x:v>
      </x:c>
    </x:row>
    <x:row r="265" ht="137" customHeight="1">
      <x:c r="A265" s="25" t="str">
        <x:v>Day tile</x:v>
      </x:c>
      <x:c r="B265" s="25" t="str">
        <x:v>_Load Experience</x:v>
      </x:c>
      <x:c r="C265" s="25" t="str">
        <x:v>VAR d=SELECTEDVALUE('Load Calendar'[Date])
			VAR n=COALESCE([Runs],0)
			RETURN IF(NOT ISBLANK(d), FORMAT(d,"d") &amp; UNICHAR(10) &amp; IF(d&gt;TODAY(),"Future",SWITCH(TRUE(),[Failures]&gt;0,"! " &amp; FORMAT([Failures],"0") &amp; " failed",[In progress or other]&gt;0,"~ " &amp; FORMAT(n,"0") &amp; " runs",n&gt;0,FORMAT(n,"0") &amp; " OK","No loads")))</x:v>
      </x:c>
      <x:c r="D265" s="25" t="str">
        <x:v>Load Calendar (local/calculated model object; no direct notebook producer asserted); monitoring.rpt_job_run_summary</x:v>
      </x:c>
      <x:c r="E265" s="25" t="str">
        <x:v>Load Calendar</x:v>
      </x:c>
      <x:c r="F265" s="25" t="str">
        <x:v>No requirement mapping asserted</x:v>
      </x:c>
      <x:c r="G265" s="25" t="str">
        <x:v>06_reports.py:141</x:v>
      </x:c>
      <x:c r="H265" s="25" t="str">
        <x:v>Saved definition only; includes display/selector helpers. Not an accepted business KPI or proof of runtime/DR/SLA.</x:v>
      </x:c>
      <x:c r="I265" s="25" t="str">
        <x:v>SM WMPP Mission Control Import/SM WMPP Mission Control.SemanticModel/definition/tables/_Load Experience.tmdl:39
Full code: KPI_CALCULATION_TRACEABILITY.md</x:v>
      </x:c>
    </x:row>
    <x:row r="266" ht="59" customHeight="1">
      <x:c r="A266" s="25" t="str">
        <x:v>Day colour</x:v>
      </x:c>
      <x:c r="B266" s="25" t="str">
        <x:v>_Load Experience</x:v>
      </x:c>
      <x:c r="C266" s="25" t="str">
        <x:v>SWITCH(TRUE(),[Failures]&gt;0,"#A43C49",[In progress or other]&gt;0,"#66512B",[Successful]&gt;=10,"#4C854F",[Successful]&gt;0,"#345B3D","#242F28")</x:v>
      </x:c>
      <x:c r="D266" s="25" t="str">
        <x:v>monitoring.rpt_job_run_summary</x:v>
      </x:c>
      <x:c r="E266" s="25" t="str">
        <x:v>Load Calendar</x:v>
      </x:c>
      <x:c r="F266" s="25" t="str">
        <x:v>No requirement mapping asserted</x:v>
      </x:c>
      <x:c r="G266" s="25" t="str">
        <x:v>06_reports.py:141</x:v>
      </x:c>
      <x:c r="H266" s="25" t="str">
        <x:v>Saved definition only; includes display/selector helpers. Not an accepted business KPI or proof of runtime/DR/SLA.</x:v>
      </x:c>
      <x:c r="I266" s="25" t="str">
        <x:v>SM WMPP Mission Control Import/SM WMPP Mission Control.SemanticModel/definition/tables/_Load Experience.tmdl:46
Full code: KPI_CALCULATION_TRACEABILITY.md</x:v>
      </x:c>
    </x:row>
    <x:row r="267" ht="46" customHeight="1">
      <x:c r="A267" s="25" t="str">
        <x:v>Day text colour</x:v>
      </x:c>
      <x:c r="B267" s="25" t="str">
        <x:v>_Load Experience</x:v>
      </x:c>
      <x:c r="C267" s="25" t="str">
        <x:v>"#F3F7EF"</x:v>
      </x:c>
      <x:c r="D267" s="25" t="str"/>
      <x:c r="E267" s="25" t="str">
        <x:v>Load Calendar</x:v>
      </x:c>
      <x:c r="F267" s="25" t="str">
        <x:v>No requirement mapping asserted</x:v>
      </x:c>
      <x:c r="G267" s="25" t="str">
        <x:v>Local semantic calculation; inspect dependencies</x:v>
      </x:c>
      <x:c r="H267" s="25" t="str">
        <x:v>Saved definition only; includes display/selector helpers. Not an accepted business KPI or proof of runtime/DR/SLA.</x:v>
      </x:c>
      <x:c r="I267" s="25" t="str">
        <x:v>SM WMPP Mission Control Import/SM WMPP Mission Control.SemanticModel/definition/tables/_Load Experience.tmdl:50
Full code: KPI_CALCULATION_TRACEABILITY.md</x:v>
      </x:c>
    </x:row>
    <x:row r="268" ht="59" customHeight="1">
      <x:c r="A268" s="25" t="str">
        <x:v>Pipeline Runs</x:v>
      </x:c>
      <x:c r="B268" s="25" t="str">
        <x:v>_MissionControl_Measures</x:v>
      </x:c>
      <x:c r="C268" s="25" t="str">
        <x:v>DISTINCTCOUNT ( 'cfg_pipeline_run'[run_id] )</x:v>
      </x:c>
      <x:c r="D268" s="25" t="str">
        <x:v>monitoring.cfg_pipeline_run</x:v>
      </x:c>
      <x:c r="E268" s="25" t="str">
        <x:v>No direct visible binding verified</x:v>
      </x:c>
      <x:c r="F268" s="25" t="str">
        <x:v>No requirement mapping asserted</x:v>
      </x:c>
      <x:c r="G268" s="25" t="str">
        <x:v>03_silver_business_rules.py:119</x:v>
      </x:c>
      <x:c r="H268" s="25" t="str">
        <x:v>Saved definition only; includes display/selector helpers. Not an accepted business KPI or proof of runtime/DR/SLA.</x:v>
      </x:c>
      <x:c r="I268" s="25" t="str">
        <x:v>SM WMPP Mission Control Import/SM WMPP Mission Control.SemanticModel/definition/tables/_MissionControl_Measures.tmdl:4
Full code: KPI_CALCULATION_TRACEABILITY.md</x:v>
      </x:c>
    </x:row>
    <x:row r="269" ht="59" customHeight="1">
      <x:c r="A269" s="25" t="str">
        <x:v>Successful Pipeline Runs</x:v>
      </x:c>
      <x:c r="B269" s="25" t="str">
        <x:v>_MissionControl_Measures</x:v>
      </x:c>
      <x:c r="C269" s="25" t="str">
        <x:v>CALCULATE ( [Pipeline Runs], FILTER ( 'cfg_pipeline_run', UPPER ( COALESCE ( 'cfg_pipeline_run'[status], "" ) ) IN { "SUCCESS", "SUCCEEDED" } ) )</x:v>
      </x:c>
      <x:c r="D269" s="25" t="str">
        <x:v>monitoring.cfg_pipeline_run</x:v>
      </x:c>
      <x:c r="E269" s="25" t="str">
        <x:v>No direct visible binding verified</x:v>
      </x:c>
      <x:c r="F269" s="25" t="str">
        <x:v>No requirement mapping asserted</x:v>
      </x:c>
      <x:c r="G269" s="25" t="str">
        <x:v>03_silver_business_rules.py:119</x:v>
      </x:c>
      <x:c r="H269" s="25" t="str">
        <x:v>Saved definition only; includes display/selector helpers. Not an accepted business KPI or proof of runtime/DR/SLA.</x:v>
      </x:c>
      <x:c r="I269" s="25" t="str">
        <x:v>SM WMPP Mission Control Import/SM WMPP Mission Control.SemanticModel/definition/tables/_MissionControl_Measures.tmdl:13
Full code: KPI_CALCULATION_TRACEABILITY.md</x:v>
      </x:c>
    </x:row>
    <x:row r="270" ht="72" customHeight="1">
      <x:c r="A270" s="25" t="str">
        <x:v>Failed Pipeline Runs</x:v>
      </x:c>
      <x:c r="B270" s="25" t="str">
        <x:v>_MissionControl_Measures</x:v>
      </x:c>
      <x:c r="C270" s="25" t="str">
        <x:v>CALCULATE ( [Pipeline Runs], FILTER ( 'cfg_pipeline_run', UPPER ( COALESCE ( 'cfg_pipeline_run'[status], "" ) ) IN { "FAILED", "FAIL", "ERROR" } ) )</x:v>
      </x:c>
      <x:c r="D270" s="25" t="str">
        <x:v>monitoring.cfg_pipeline_run</x:v>
      </x:c>
      <x:c r="E270" s="25" t="str">
        <x:v>No direct visible binding verified</x:v>
      </x:c>
      <x:c r="F270" s="25" t="str">
        <x:v>R87</x:v>
      </x:c>
      <x:c r="G270" s="25" t="str">
        <x:v>03_silver_business_rules.py:119</x:v>
      </x:c>
      <x:c r="H270" s="25" t="str">
        <x:v>Saved definition only; includes display/selector helpers. Not an accepted business KPI or proof of runtime/DR/SLA.</x:v>
      </x:c>
      <x:c r="I270" s="25" t="str">
        <x:v>SM WMPP Mission Control Import/SM WMPP Mission Control.SemanticModel/definition/tables/_MissionControl_Measures.tmdl:22
Full code: KPI_CALCULATION_TRACEABILITY.md</x:v>
      </x:c>
    </x:row>
    <x:row r="271" ht="72" customHeight="1">
      <x:c r="A271" s="25" t="str">
        <x:v>Running Pipeline Runs</x:v>
      </x:c>
      <x:c r="B271" s="25" t="str">
        <x:v>_MissionControl_Measures</x:v>
      </x:c>
      <x:c r="C271" s="25" t="str">
        <x:v>CALCULATE ( [Pipeline Runs], FILTER ( 'cfg_pipeline_run', UPPER ( COALESCE ( 'cfg_pipeline_run'[status], "" ) ) IN { "RUNNING", "IN_PROGRESS", "STARTED" } ) )</x:v>
      </x:c>
      <x:c r="D271" s="25" t="str">
        <x:v>monitoring.cfg_pipeline_run</x:v>
      </x:c>
      <x:c r="E271" s="25" t="str">
        <x:v>No direct visible binding verified</x:v>
      </x:c>
      <x:c r="F271" s="25" t="str">
        <x:v>No requirement mapping asserted</x:v>
      </x:c>
      <x:c r="G271" s="25" t="str">
        <x:v>03_silver_business_rules.py:119</x:v>
      </x:c>
      <x:c r="H271" s="25" t="str">
        <x:v>Saved definition only; includes display/selector helpers. Not an accepted business KPI or proof of runtime/DR/SLA.</x:v>
      </x:c>
      <x:c r="I271" s="25" t="str">
        <x:v>SM WMPP Mission Control Import/SM WMPP Mission Control.SemanticModel/definition/tables/_MissionControl_Measures.tmdl:31
Full code: KPI_CALCULATION_TRACEABILITY.md</x:v>
      </x:c>
    </x:row>
    <x:row r="272" ht="59" customHeight="1">
      <x:c r="A272" s="25" t="str">
        <x:v>Completed Pipeline Runs</x:v>
      </x:c>
      <x:c r="B272" s="25" t="str">
        <x:v>_MissionControl_Measures</x:v>
      </x:c>
      <x:c r="C272" s="25" t="str">
        <x:v>[Successful Pipeline Runs] + [Failed Pipeline Runs]</x:v>
      </x:c>
      <x:c r="D272" s="25" t="str">
        <x:v>monitoring.cfg_pipeline_run</x:v>
      </x:c>
      <x:c r="E272" s="25" t="str">
        <x:v>No direct visible binding verified</x:v>
      </x:c>
      <x:c r="F272" s="25" t="str">
        <x:v>No requirement mapping asserted</x:v>
      </x:c>
      <x:c r="G272" s="25" t="str">
        <x:v>03_silver_business_rules.py:119</x:v>
      </x:c>
      <x:c r="H272" s="25" t="str">
        <x:v>Saved definition only; includes display/selector helpers. Not an accepted business KPI or proof of runtime/DR/SLA.</x:v>
      </x:c>
      <x:c r="I272" s="25" t="str">
        <x:v>SM WMPP Mission Control Import/SM WMPP Mission Control.SemanticModel/definition/tables/_MissionControl_Measures.tmdl:40
Full code: KPI_CALCULATION_TRACEABILITY.md</x:v>
      </x:c>
    </x:row>
    <x:row r="273" ht="59" customHeight="1">
      <x:c r="A273" s="25" t="str">
        <x:v>Pipeline Success Rate</x:v>
      </x:c>
      <x:c r="B273" s="25" t="str">
        <x:v>_MissionControl_Measures</x:v>
      </x:c>
      <x:c r="C273" s="25" t="str">
        <x:v>DIVIDE ( [Successful Pipeline Runs], [Completed Pipeline Runs] )</x:v>
      </x:c>
      <x:c r="D273" s="25" t="str">
        <x:v>monitoring.cfg_pipeline_run</x:v>
      </x:c>
      <x:c r="E273" s="25" t="str">
        <x:v>No direct visible binding verified</x:v>
      </x:c>
      <x:c r="F273" s="25" t="str">
        <x:v>No requirement mapping asserted</x:v>
      </x:c>
      <x:c r="G273" s="25" t="str">
        <x:v>03_silver_business_rules.py:119</x:v>
      </x:c>
      <x:c r="H273" s="25" t="str">
        <x:v>Saved definition only; includes display/selector helpers. Not an accepted business KPI or proof of runtime/DR/SLA.</x:v>
      </x:c>
      <x:c r="I273" s="25" t="str">
        <x:v>SM WMPP Mission Control Import/SM WMPP Mission Control.SemanticModel/definition/tables/_MissionControl_Measures.tmdl:49
Full code: KPI_CALCULATION_TRACEABILITY.md</x:v>
      </x:c>
    </x:row>
    <x:row r="274" ht="59" customHeight="1">
      <x:c r="A274" s="25" t="str">
        <x:v>Live Pipeline Runs</x:v>
      </x:c>
      <x:c r="B274" s="25" t="str">
        <x:v>_MissionControl_Measures</x:v>
      </x:c>
      <x:c r="C274" s="25" t="str">
        <x:v>CALCULATE ( [Pipeline Runs], 'cfg_pipeline_run'[pipeline_name] = "90_run_live_pipeline" )</x:v>
      </x:c>
      <x:c r="D274" s="25" t="str">
        <x:v>monitoring.cfg_pipeline_run</x:v>
      </x:c>
      <x:c r="E274" s="25" t="str">
        <x:v>No direct visible binding verified</x:v>
      </x:c>
      <x:c r="F274" s="25" t="str">
        <x:v>No requirement mapping asserted</x:v>
      </x:c>
      <x:c r="G274" s="25" t="str">
        <x:v>03_silver_business_rules.py:119</x:v>
      </x:c>
      <x:c r="H274" s="25" t="str">
        <x:v>Saved definition only; includes display/selector helpers. Not an accepted business KPI or proof of runtime/DR/SLA.</x:v>
      </x:c>
      <x:c r="I274" s="25" t="str">
        <x:v>SM WMPP Mission Control Import/SM WMPP Mission Control.SemanticModel/definition/tables/_MissionControl_Measures.tmdl:58
Full code: KPI_CALCULATION_TRACEABILITY.md</x:v>
      </x:c>
    </x:row>
    <x:row r="275" ht="59" customHeight="1">
      <x:c r="A275" s="25" t="str">
        <x:v>Archive Pipeline Runs</x:v>
      </x:c>
      <x:c r="B275" s="25" t="str">
        <x:v>_MissionControl_Measures</x:v>
      </x:c>
      <x:c r="C275" s="25" t="str">
        <x:v>CALCULATE ( [Pipeline Runs], 'cfg_pipeline_run'[pipeline_name] = "90_run_archive_pipeline" )</x:v>
      </x:c>
      <x:c r="D275" s="25" t="str">
        <x:v>monitoring.cfg_pipeline_run</x:v>
      </x:c>
      <x:c r="E275" s="25" t="str">
        <x:v>No direct visible binding verified</x:v>
      </x:c>
      <x:c r="F275" s="25" t="str">
        <x:v>No requirement mapping asserted</x:v>
      </x:c>
      <x:c r="G275" s="25" t="str">
        <x:v>03_silver_business_rules.py:119</x:v>
      </x:c>
      <x:c r="H275" s="25" t="str">
        <x:v>Saved definition only; includes display/selector helpers. Not an accepted business KPI or proof of runtime/DR/SLA.</x:v>
      </x:c>
      <x:c r="I275" s="25" t="str">
        <x:v>SM WMPP Mission Control Import/SM WMPP Mission Control.SemanticModel/definition/tables/_MissionControl_Measures.tmdl:67
Full code: KPI_CALCULATION_TRACEABILITY.md</x:v>
      </x:c>
    </x:row>
    <x:row r="276" ht="59" customHeight="1">
      <x:c r="A276" s="25" t="str">
        <x:v>Live Pipeline Failures</x:v>
      </x:c>
      <x:c r="B276" s="25" t="str">
        <x:v>_MissionControl_Measures</x:v>
      </x:c>
      <x:c r="C276" s="25" t="str">
        <x:v>CALCULATE ( [Failed Pipeline Runs], 'cfg_pipeline_run'[pipeline_name] = "90_run_live_pipeline" )</x:v>
      </x:c>
      <x:c r="D276" s="25" t="str">
        <x:v>monitoring.cfg_pipeline_run</x:v>
      </x:c>
      <x:c r="E276" s="25" t="str">
        <x:v>No direct visible binding verified</x:v>
      </x:c>
      <x:c r="F276" s="25" t="str">
        <x:v>No requirement mapping asserted</x:v>
      </x:c>
      <x:c r="G276" s="25" t="str">
        <x:v>03_silver_business_rules.py:119</x:v>
      </x:c>
      <x:c r="H276" s="25" t="str">
        <x:v>Saved definition only; includes display/selector helpers. Not an accepted business KPI or proof of runtime/DR/SLA.</x:v>
      </x:c>
      <x:c r="I276" s="25" t="str">
        <x:v>SM WMPP Mission Control Import/SM WMPP Mission Control.SemanticModel/definition/tables/_MissionControl_Measures.tmdl:76
Full code: KPI_CALCULATION_TRACEABILITY.md</x:v>
      </x:c>
    </x:row>
    <x:row r="277" ht="59" customHeight="1">
      <x:c r="A277" s="25" t="str">
        <x:v>Archive Pipeline Failures</x:v>
      </x:c>
      <x:c r="B277" s="25" t="str">
        <x:v>_MissionControl_Measures</x:v>
      </x:c>
      <x:c r="C277" s="25" t="str">
        <x:v>CALCULATE ( [Failed Pipeline Runs], 'cfg_pipeline_run'[pipeline_name] = "90_run_archive_pipeline" )</x:v>
      </x:c>
      <x:c r="D277" s="25" t="str">
        <x:v>monitoring.cfg_pipeline_run</x:v>
      </x:c>
      <x:c r="E277" s="25" t="str">
        <x:v>No direct visible binding verified</x:v>
      </x:c>
      <x:c r="F277" s="25" t="str">
        <x:v>No requirement mapping asserted</x:v>
      </x:c>
      <x:c r="G277" s="25" t="str">
        <x:v>03_silver_business_rules.py:119</x:v>
      </x:c>
      <x:c r="H277" s="25" t="str">
        <x:v>Saved definition only; includes display/selector helpers. Not an accepted business KPI or proof of runtime/DR/SLA.</x:v>
      </x:c>
      <x:c r="I277" s="25" t="str">
        <x:v>SM WMPP Mission Control Import/SM WMPP Mission Control.SemanticModel/definition/tables/_MissionControl_Measures.tmdl:85
Full code: KPI_CALCULATION_TRACEABILITY.md</x:v>
      </x:c>
    </x:row>
    <x:row r="278" ht="59" customHeight="1">
      <x:c r="A278" s="25" t="str">
        <x:v>Pipeline Tables Succeeded</x:v>
      </x:c>
      <x:c r="B278" s="25" t="str">
        <x:v>_MissionControl_Measures</x:v>
      </x:c>
      <x:c r="C278" s="25" t="str">
        <x:v>SUM ( 'cfg_pipeline_run'[tables_succeeded] )</x:v>
      </x:c>
      <x:c r="D278" s="25" t="str">
        <x:v>monitoring.cfg_pipeline_run</x:v>
      </x:c>
      <x:c r="E278" s="25" t="str">
        <x:v>No direct visible binding verified</x:v>
      </x:c>
      <x:c r="F278" s="25" t="str">
        <x:v>No requirement mapping asserted</x:v>
      </x:c>
      <x:c r="G278" s="25" t="str">
        <x:v>03_silver_business_rules.py:119</x:v>
      </x:c>
      <x:c r="H278" s="25" t="str">
        <x:v>Saved definition only; includes display/selector helpers. Not an accepted business KPI or proof of runtime/DR/SLA.</x:v>
      </x:c>
      <x:c r="I278" s="25" t="str">
        <x:v>SM WMPP Mission Control Import/SM WMPP Mission Control.SemanticModel/definition/tables/_MissionControl_Measures.tmdl:94
Full code: KPI_CALCULATION_TRACEABILITY.md</x:v>
      </x:c>
    </x:row>
    <x:row r="279" ht="59" customHeight="1">
      <x:c r="A279" s="25" t="str">
        <x:v>Pipeline Tables Failed</x:v>
      </x:c>
      <x:c r="B279" s="25" t="str">
        <x:v>_MissionControl_Measures</x:v>
      </x:c>
      <x:c r="C279" s="25" t="str">
        <x:v>SUM ( 'cfg_pipeline_run'[tables_failed] )</x:v>
      </x:c>
      <x:c r="D279" s="25" t="str">
        <x:v>monitoring.cfg_pipeline_run</x:v>
      </x:c>
      <x:c r="E279" s="25" t="str">
        <x:v>No direct visible binding verified</x:v>
      </x:c>
      <x:c r="F279" s="25" t="str">
        <x:v>No requirement mapping asserted</x:v>
      </x:c>
      <x:c r="G279" s="25" t="str">
        <x:v>03_silver_business_rules.py:119</x:v>
      </x:c>
      <x:c r="H279" s="25" t="str">
        <x:v>Saved definition only; includes display/selector helpers. Not an accepted business KPI or proof of runtime/DR/SLA.</x:v>
      </x:c>
      <x:c r="I279" s="25" t="str">
        <x:v>SM WMPP Mission Control Import/SM WMPP Mission Control.SemanticModel/definition/tables/_MissionControl_Measures.tmdl:103
Full code: KPI_CALCULATION_TRACEABILITY.md</x:v>
      </x:c>
    </x:row>
    <x:row r="280" ht="59" customHeight="1">
      <x:c r="A280" s="25" t="str">
        <x:v>Pipeline Rows Read</x:v>
      </x:c>
      <x:c r="B280" s="25" t="str">
        <x:v>_MissionControl_Measures</x:v>
      </x:c>
      <x:c r="C280" s="25" t="str">
        <x:v>SUM ( 'cfg_pipeline_run'[rows_read] )</x:v>
      </x:c>
      <x:c r="D280" s="25" t="str">
        <x:v>monitoring.cfg_pipeline_run</x:v>
      </x:c>
      <x:c r="E280" s="25" t="str">
        <x:v>No direct visible binding verified</x:v>
      </x:c>
      <x:c r="F280" s="25" t="str">
        <x:v>No requirement mapping asserted</x:v>
      </x:c>
      <x:c r="G280" s="25" t="str">
        <x:v>03_silver_business_rules.py:119</x:v>
      </x:c>
      <x:c r="H280" s="25" t="str">
        <x:v>Saved definition only; includes display/selector helpers. Not an accepted business KPI or proof of runtime/DR/SLA.</x:v>
      </x:c>
      <x:c r="I280" s="25" t="str">
        <x:v>SM WMPP Mission Control Import/SM WMPP Mission Control.SemanticModel/definition/tables/_MissionControl_Measures.tmdl:112
Full code: KPI_CALCULATION_TRACEABILITY.md</x:v>
      </x:c>
    </x:row>
    <x:row r="281" ht="59" customHeight="1">
      <x:c r="A281" s="25" t="str">
        <x:v>Pipeline Rows Written</x:v>
      </x:c>
      <x:c r="B281" s="25" t="str">
        <x:v>_MissionControl_Measures</x:v>
      </x:c>
      <x:c r="C281" s="25" t="str">
        <x:v>SUM ( 'cfg_pipeline_run'[rows_written] )</x:v>
      </x:c>
      <x:c r="D281" s="25" t="str">
        <x:v>monitoring.cfg_pipeline_run</x:v>
      </x:c>
      <x:c r="E281" s="25" t="str">
        <x:v>No direct visible binding verified</x:v>
      </x:c>
      <x:c r="F281" s="25" t="str">
        <x:v>No requirement mapping asserted</x:v>
      </x:c>
      <x:c r="G281" s="25" t="str">
        <x:v>03_silver_business_rules.py:119</x:v>
      </x:c>
      <x:c r="H281" s="25" t="str">
        <x:v>Saved definition only; includes display/selector helpers. Not an accepted business KPI or proof of runtime/DR/SLA.</x:v>
      </x:c>
      <x:c r="I281" s="25" t="str">
        <x:v>SM WMPP Mission Control Import/SM WMPP Mission Control.SemanticModel/definition/tables/_MissionControl_Measures.tmdl:121
Full code: KPI_CALCULATION_TRACEABILITY.md</x:v>
      </x:c>
    </x:row>
    <x:row r="282" ht="59" customHeight="1">
      <x:c r="A282" s="25" t="str">
        <x:v>Pipeline Runs With Error</x:v>
      </x:c>
      <x:c r="B282" s="25" t="str">
        <x:v>_MissionControl_Measures</x:v>
      </x:c>
      <x:c r="C282" s="25" t="str">
        <x:v>COUNTROWS ( FILTER ( 'cfg_pipeline_run', NOT ISBLANK ( 'cfg_pipeline_run'[error_message] ) ) )</x:v>
      </x:c>
      <x:c r="D282" s="25" t="str">
        <x:v>monitoring.cfg_pipeline_run</x:v>
      </x:c>
      <x:c r="E282" s="25" t="str">
        <x:v>No direct visible binding verified</x:v>
      </x:c>
      <x:c r="F282" s="25" t="str">
        <x:v>No requirement mapping asserted</x:v>
      </x:c>
      <x:c r="G282" s="25" t="str">
        <x:v>03_silver_business_rules.py:119</x:v>
      </x:c>
      <x:c r="H282" s="25" t="str">
        <x:v>Saved definition only; includes display/selector helpers. Not an accepted business KPI or proof of runtime/DR/SLA.</x:v>
      </x:c>
      <x:c r="I282" s="25" t="str">
        <x:v>SM WMPP Mission Control Import/SM WMPP Mission Control.SemanticModel/definition/tables/_MissionControl_Measures.tmdl:130
Full code: KPI_CALCULATION_TRACEABILITY.md</x:v>
      </x:c>
    </x:row>
    <x:row r="283" ht="98" customHeight="1">
      <x:c r="A283" s="25" t="str">
        <x:v>Average Pipeline Duration (min)</x:v>
      </x:c>
      <x:c r="B283" s="25" t="str">
        <x:v>_MissionControl_Measures</x:v>
      </x:c>
      <x:c r="C283" s="25" t="str">
        <x:v>AVERAGEX ( FILTER ( 'cfg_pipeline_run', NOT ISBLANK ( 'cfg_pipeline_run'[started_at] ) &amp;&amp; NOT ISBLANK ( 'cfg_pipeline_run'[ended_at] ) ), DIVIDE ( DATEDIFF ( 'cfg_pipeline_run'[started_at], 'cfg_pipeline_run'[ended_at], SECOND ), 60.0 ) )</x:v>
      </x:c>
      <x:c r="D283" s="25" t="str">
        <x:v>monitoring.cfg_pipeline_run</x:v>
      </x:c>
      <x:c r="E283" s="25" t="str">
        <x:v>No direct visible binding verified</x:v>
      </x:c>
      <x:c r="F283" s="25" t="str">
        <x:v>No requirement mapping asserted</x:v>
      </x:c>
      <x:c r="G283" s="25" t="str">
        <x:v>03_silver_business_rules.py:119</x:v>
      </x:c>
      <x:c r="H283" s="25" t="str">
        <x:v>Saved definition only; includes display/selector helpers. Not an accepted business KPI or proof of runtime/DR/SLA.</x:v>
      </x:c>
      <x:c r="I283" s="25" t="str">
        <x:v>SM WMPP Mission Control Import/SM WMPP Mission Control.SemanticModel/definition/tables/_MissionControl_Measures.tmdl:139
Full code: KPI_CALCULATION_TRACEABILITY.md</x:v>
      </x:c>
    </x:row>
    <x:row r="284" ht="98" customHeight="1">
      <x:c r="A284" s="25" t="str">
        <x:v>P95 Pipeline Duration (min)</x:v>
      </x:c>
      <x:c r="B284" s="25" t="str">
        <x:v>_MissionControl_Measures</x:v>
      </x:c>
      <x:c r="C284" s="25" t="str">
        <x:v>PERCENTILEX.INC ( FILTER ( 'cfg_pipeline_run', NOT ISBLANK ( 'cfg_pipeline_run'[started_at] ) &amp;&amp; NOT ISBLANK ( 'cfg_pipeline_run'[ended_at] ) ), DIVIDE ( DATEDIFF ( 'cfg_pipeline_run'[started_at], 'cfg_pipeline_run'[ended_at], SECOND ), 60.0 ), 0.95 )</x:v>
      </x:c>
      <x:c r="D284" s="25" t="str">
        <x:v>monitoring.cfg_pipeline_run</x:v>
      </x:c>
      <x:c r="E284" s="25" t="str">
        <x:v>No direct visible binding verified</x:v>
      </x:c>
      <x:c r="F284" s="25" t="str">
        <x:v>R75; R82</x:v>
      </x:c>
      <x:c r="G284" s="25" t="str">
        <x:v>03_silver_business_rules.py:119</x:v>
      </x:c>
      <x:c r="H284" s="25" t="str">
        <x:v>Saved definition only; includes display/selector helpers. Not an accepted business KPI or proof of runtime/DR/SLA.</x:v>
      </x:c>
      <x:c r="I284" s="25" t="str">
        <x:v>SM WMPP Mission Control Import/SM WMPP Mission Control.SemanticModel/definition/tables/_MissionControl_Measures.tmdl:148
Full code: KPI_CALCULATION_TRACEABILITY.md</x:v>
      </x:c>
    </x:row>
    <x:row r="285" ht="98" customHeight="1">
      <x:c r="A285" s="25" t="str">
        <x:v>Total Pipeline Duration (min)</x:v>
      </x:c>
      <x:c r="B285" s="25" t="str">
        <x:v>_MissionControl_Measures</x:v>
      </x:c>
      <x:c r="C285" s="25" t="str">
        <x:v>SUMX ( FILTER ( 'cfg_pipeline_run', NOT ISBLANK ( 'cfg_pipeline_run'[started_at] ) &amp;&amp; NOT ISBLANK ( 'cfg_pipeline_run'[ended_at] ) ), DIVIDE ( DATEDIFF ( 'cfg_pipeline_run'[started_at], 'cfg_pipeline_run'[ended_at], SECOND ), 60.0 ) )</x:v>
      </x:c>
      <x:c r="D285" s="25" t="str">
        <x:v>monitoring.cfg_pipeline_run</x:v>
      </x:c>
      <x:c r="E285" s="25" t="str">
        <x:v>No direct visible binding verified</x:v>
      </x:c>
      <x:c r="F285" s="25" t="str">
        <x:v>No requirement mapping asserted</x:v>
      </x:c>
      <x:c r="G285" s="25" t="str">
        <x:v>03_silver_business_rules.py:119</x:v>
      </x:c>
      <x:c r="H285" s="25" t="str">
        <x:v>Saved definition only; includes display/selector helpers. Not an accepted business KPI or proof of runtime/DR/SLA.</x:v>
      </x:c>
      <x:c r="I285" s="25" t="str">
        <x:v>SM WMPP Mission Control Import/SM WMPP Mission Control.SemanticModel/definition/tables/_MissionControl_Measures.tmdl:157
Full code: KPI_CALCULATION_TRACEABILITY.md</x:v>
      </x:c>
    </x:row>
    <x:row r="286" ht="59" customHeight="1">
      <x:c r="A286" s="25" t="str">
        <x:v>Pipeline Rows per Minute</x:v>
      </x:c>
      <x:c r="B286" s="25" t="str">
        <x:v>_MissionControl_Measures</x:v>
      </x:c>
      <x:c r="C286" s="25" t="str">
        <x:v>DIVIDE ( [Pipeline Rows Written], [Total Pipeline Duration (min)] )</x:v>
      </x:c>
      <x:c r="D286" s="25" t="str">
        <x:v>monitoring.cfg_pipeline_run</x:v>
      </x:c>
      <x:c r="E286" s="25" t="str">
        <x:v>No direct visible binding verified</x:v>
      </x:c>
      <x:c r="F286" s="25" t="str">
        <x:v>R82</x:v>
      </x:c>
      <x:c r="G286" s="25" t="str">
        <x:v>03_silver_business_rules.py:119</x:v>
      </x:c>
      <x:c r="H286" s="25" t="str">
        <x:v>Saved definition only; includes display/selector helpers. Not an accepted business KPI or proof of runtime/DR/SLA.</x:v>
      </x:c>
      <x:c r="I286" s="25" t="str">
        <x:v>SM WMPP Mission Control Import/SM WMPP Mission Control.SemanticModel/definition/tables/_MissionControl_Measures.tmdl:166
Full code: KPI_CALCULATION_TRACEABILITY.md</x:v>
      </x:c>
    </x:row>
    <x:row r="287" ht="59" customHeight="1">
      <x:c r="A287" s="25" t="str">
        <x:v>Latest Pipeline End</x:v>
      </x:c>
      <x:c r="B287" s="25" t="str">
        <x:v>_MissionControl_Measures</x:v>
      </x:c>
      <x:c r="C287" s="25" t="str">
        <x:v>MAX ( 'cfg_pipeline_run'[ended_at] )</x:v>
      </x:c>
      <x:c r="D287" s="25" t="str">
        <x:v>monitoring.cfg_pipeline_run</x:v>
      </x:c>
      <x:c r="E287" s="25" t="str">
        <x:v>No direct visible binding verified</x:v>
      </x:c>
      <x:c r="F287" s="25" t="str">
        <x:v>No requirement mapping asserted</x:v>
      </x:c>
      <x:c r="G287" s="25" t="str">
        <x:v>03_silver_business_rules.py:119</x:v>
      </x:c>
      <x:c r="H287" s="25" t="str">
        <x:v>Saved definition only; includes display/selector helpers. Not an accepted business KPI or proof of runtime/DR/SLA.</x:v>
      </x:c>
      <x:c r="I287" s="25" t="str">
        <x:v>SM WMPP Mission Control Import/SM WMPP Mission Control.SemanticModel/definition/tables/_MissionControl_Measures.tmdl:175
Full code: KPI_CALCULATION_TRACEABILITY.md</x:v>
      </x:c>
    </x:row>
    <x:row r="288" ht="111" customHeight="1">
      <x:c r="A288" s="25" t="str">
        <x:v>Latest Pipeline Status</x:v>
      </x:c>
      <x:c r="B288" s="25" t="str">
        <x:v>_MissionControl_Measures</x:v>
      </x:c>
      <x:c r="C288" s="25" t="str">
        <x:v>VAR latest_end = [Latest Pipeline End]
			RETURN
			    CALCULATE ( CONCATENATEX ( VALUES ( 'cfg_pipeline_run'[status] ), 'cfg_pipeline_run'[status], ", " ), 'cfg_pipeline_run'[ended_at] = latest_end )</x:v>
      </x:c>
      <x:c r="D288" s="25" t="str">
        <x:v>monitoring.cfg_pipeline_run</x:v>
      </x:c>
      <x:c r="E288" s="25" t="str">
        <x:v>No direct visible binding verified</x:v>
      </x:c>
      <x:c r="F288" s="25" t="str">
        <x:v>No requirement mapping asserted</x:v>
      </x:c>
      <x:c r="G288" s="25" t="str">
        <x:v>03_silver_business_rules.py:119</x:v>
      </x:c>
      <x:c r="H288" s="25" t="str">
        <x:v>Saved definition only; includes display/selector helpers. Not an accepted business KPI or proof of runtime/DR/SLA.</x:v>
      </x:c>
      <x:c r="I288" s="25" t="str">
        <x:v>SM WMPP Mission Control Import/SM WMPP Mission Control.SemanticModel/definition/tables/_MissionControl_Measures.tmdl:184
Full code: KPI_CALCULATION_TRACEABILITY.md</x:v>
      </x:c>
    </x:row>
    <x:row r="289" ht="59" customHeight="1">
      <x:c r="A289" s="25" t="str">
        <x:v>Archive ZIP Batches</x:v>
      </x:c>
      <x:c r="B289" s="25" t="str">
        <x:v>_MissionControl_Measures</x:v>
      </x:c>
      <x:c r="C289" s="25" t="str">
        <x:v>COUNTROWS ( 'cfg_archive_zip_load' )</x:v>
      </x:c>
      <x:c r="D289" s="25" t="str">
        <x:v>monitoring.cfg_archive_zip_load</x:v>
      </x:c>
      <x:c r="E289" s="25" t="str">
        <x:v>No direct visible binding verified</x:v>
      </x:c>
      <x:c r="F289" s="25" t="str">
        <x:v>No requirement mapping asserted</x:v>
      </x:c>
      <x:c r="G289" s="25" t="str">
        <x:v>00_archive_load.py:653</x:v>
      </x:c>
      <x:c r="H289" s="25" t="str">
        <x:v>Saved definition only; includes display/selector helpers. Not an accepted business KPI or proof of runtime/DR/SLA.</x:v>
      </x:c>
      <x:c r="I289" s="25" t="str">
        <x:v>SM WMPP Mission Control Import/SM WMPP Mission Control.SemanticModel/definition/tables/_MissionControl_Measures.tmdl:194
Full code: KPI_CALCULATION_TRACEABILITY.md</x:v>
      </x:c>
    </x:row>
    <x:row r="290" ht="59" customHeight="1">
      <x:c r="A290" s="25" t="str">
        <x:v>Successful Archive ZIP Batches</x:v>
      </x:c>
      <x:c r="B290" s="25" t="str">
        <x:v>_MissionControl_Measures</x:v>
      </x:c>
      <x:c r="C290" s="25" t="str">
        <x:v>COUNTROWS ( FILTER ( 'cfg_archive_zip_load', UPPER ( COALESCE ( 'cfg_archive_zip_load'[status], "" ) ) IN { "SUCCESS", "SUCCEEDED" } ) )</x:v>
      </x:c>
      <x:c r="D290" s="25" t="str">
        <x:v>monitoring.cfg_archive_zip_load</x:v>
      </x:c>
      <x:c r="E290" s="25" t="str">
        <x:v>No direct visible binding verified</x:v>
      </x:c>
      <x:c r="F290" s="25" t="str">
        <x:v>No requirement mapping asserted</x:v>
      </x:c>
      <x:c r="G290" s="25" t="str">
        <x:v>00_archive_load.py:653</x:v>
      </x:c>
      <x:c r="H290" s="25" t="str">
        <x:v>Saved definition only; includes display/selector helpers. Not an accepted business KPI or proof of runtime/DR/SLA.</x:v>
      </x:c>
      <x:c r="I290" s="25" t="str">
        <x:v>SM WMPP Mission Control Import/SM WMPP Mission Control.SemanticModel/definition/tables/_MissionControl_Measures.tmdl:203
Full code: KPI_CALCULATION_TRACEABILITY.md</x:v>
      </x:c>
    </x:row>
    <x:row r="291" ht="59" customHeight="1">
      <x:c r="A291" s="25" t="str">
        <x:v>Failed Archive ZIP Batches</x:v>
      </x:c>
      <x:c r="B291" s="25" t="str">
        <x:v>_MissionControl_Measures</x:v>
      </x:c>
      <x:c r="C291" s="25" t="str">
        <x:v>COUNTROWS ( FILTER ( 'cfg_archive_zip_load', UPPER ( COALESCE ( 'cfg_archive_zip_load'[status], "" ) ) IN { "FAILED", "FAIL", "ERROR" } ) )</x:v>
      </x:c>
      <x:c r="D291" s="25" t="str">
        <x:v>monitoring.cfg_archive_zip_load</x:v>
      </x:c>
      <x:c r="E291" s="25" t="str">
        <x:v>No direct visible binding verified</x:v>
      </x:c>
      <x:c r="F291" s="25" t="str">
        <x:v>No requirement mapping asserted</x:v>
      </x:c>
      <x:c r="G291" s="25" t="str">
        <x:v>00_archive_load.py:653</x:v>
      </x:c>
      <x:c r="H291" s="25" t="str">
        <x:v>Saved definition only; includes display/selector helpers. Not an accepted business KPI or proof of runtime/DR/SLA.</x:v>
      </x:c>
      <x:c r="I291" s="25" t="str">
        <x:v>SM WMPP Mission Control Import/SM WMPP Mission Control.SemanticModel/definition/tables/_MissionControl_Measures.tmdl:212
Full code: KPI_CALCULATION_TRACEABILITY.md</x:v>
      </x:c>
    </x:row>
    <x:row r="292" ht="59" customHeight="1">
      <x:c r="A292" s="25" t="str">
        <x:v>Archive ZIP Batches Awaiting Reload</x:v>
      </x:c>
      <x:c r="B292" s="25" t="str">
        <x:v>_MissionControl_Measures</x:v>
      </x:c>
      <x:c r="C292" s="25" t="str">
        <x:v>CALCULATE ( [Archive ZIP Batches], 'cfg_archive_zip_load'[reload] = TRUE () )</x:v>
      </x:c>
      <x:c r="D292" s="25" t="str">
        <x:v>monitoring.cfg_archive_zip_load</x:v>
      </x:c>
      <x:c r="E292" s="25" t="str">
        <x:v>No direct visible binding verified</x:v>
      </x:c>
      <x:c r="F292" s="25" t="str">
        <x:v>No requirement mapping asserted</x:v>
      </x:c>
      <x:c r="G292" s="25" t="str">
        <x:v>00_archive_load.py:653</x:v>
      </x:c>
      <x:c r="H292" s="25" t="str">
        <x:v>Saved definition only; includes display/selector helpers. Not an accepted business KPI or proof of runtime/DR/SLA.</x:v>
      </x:c>
      <x:c r="I292" s="25" t="str">
        <x:v>SM WMPP Mission Control Import/SM WMPP Mission Control.SemanticModel/definition/tables/_MissionControl_Measures.tmdl:221
Full code: KPI_CALCULATION_TRACEABILITY.md</x:v>
      </x:c>
    </x:row>
    <x:row r="293" ht="59" customHeight="1">
      <x:c r="A293" s="25" t="str">
        <x:v>Archive ZIP Files Declared</x:v>
      </x:c>
      <x:c r="B293" s="25" t="str">
        <x:v>_MissionControl_Measures</x:v>
      </x:c>
      <x:c r="C293" s="25" t="str">
        <x:v>SUM ( 'cfg_archive_zip_load'[file_count] )</x:v>
      </x:c>
      <x:c r="D293" s="25" t="str">
        <x:v>monitoring.cfg_archive_zip_load</x:v>
      </x:c>
      <x:c r="E293" s="25" t="str">
        <x:v>No direct visible binding verified</x:v>
      </x:c>
      <x:c r="F293" s="25" t="str">
        <x:v>No requirement mapping asserted</x:v>
      </x:c>
      <x:c r="G293" s="25" t="str">
        <x:v>00_archive_load.py:653</x:v>
      </x:c>
      <x:c r="H293" s="25" t="str">
        <x:v>Saved definition only; includes display/selector helpers. Not an accepted business KPI or proof of runtime/DR/SLA.</x:v>
      </x:c>
      <x:c r="I293" s="25" t="str">
        <x:v>SM WMPP Mission Control Import/SM WMPP Mission Control.SemanticModel/definition/tables/_MissionControl_Measures.tmdl:230
Full code: KPI_CALCULATION_TRACEABILITY.md</x:v>
      </x:c>
    </x:row>
    <x:row r="294" ht="111" customHeight="1">
      <x:c r="A294" s="25" t="str">
        <x:v>Average Archive ZIP Duration (min)</x:v>
      </x:c>
      <x:c r="B294" s="25" t="str">
        <x:v>_MissionControl_Measures</x:v>
      </x:c>
      <x:c r="C294" s="25" t="str">
        <x:v>AVERAGEX ( FILTER ( 'cfg_archive_zip_load', NOT ISBLANK ( 'cfg_archive_zip_load'[started_at] ) &amp;&amp; NOT ISBLANK ( 'cfg_archive_zip_load'[ended_at] ) ), DIVIDE ( DATEDIFF ( 'cfg_archive_zip_load'[started_at], 'cfg_archive_zip_load'[ended_at], SECOND ), 60.0 ) )</x:v>
      </x:c>
      <x:c r="D294" s="25" t="str">
        <x:v>monitoring.cfg_archive_zip_load</x:v>
      </x:c>
      <x:c r="E294" s="25" t="str">
        <x:v>No direct visible binding verified</x:v>
      </x:c>
      <x:c r="F294" s="25" t="str">
        <x:v>No requirement mapping asserted</x:v>
      </x:c>
      <x:c r="G294" s="25" t="str">
        <x:v>00_archive_load.py:653</x:v>
      </x:c>
      <x:c r="H294" s="25" t="str">
        <x:v>Saved definition only; includes display/selector helpers. Not an accepted business KPI or proof of runtime/DR/SLA.</x:v>
      </x:c>
      <x:c r="I294" s="25" t="str">
        <x:v>SM WMPP Mission Control Import/SM WMPP Mission Control.SemanticModel/definition/tables/_MissionControl_Measures.tmdl:239
Full code: KPI_CALCULATION_TRACEABILITY.md</x:v>
      </x:c>
    </x:row>
    <x:row r="295" ht="59" customHeight="1">
      <x:c r="A295" s="25" t="str">
        <x:v>Archive Files Processed</x:v>
      </x:c>
      <x:c r="B295" s="25" t="str">
        <x:v>_MissionControl_Measures</x:v>
      </x:c>
      <x:c r="C295" s="25" t="str">
        <x:v>COUNTROWS ( 'cfg_archive_file_load' )</x:v>
      </x:c>
      <x:c r="D295" s="25" t="str">
        <x:v>monitoring.cfg_archive_file_load</x:v>
      </x:c>
      <x:c r="E295" s="25" t="str">
        <x:v>No direct visible binding verified</x:v>
      </x:c>
      <x:c r="F295" s="25" t="str">
        <x:v>No requirement mapping asserted</x:v>
      </x:c>
      <x:c r="G295" s="25" t="str">
        <x:v>00_archive_load.py:798</x:v>
      </x:c>
      <x:c r="H295" s="25" t="str">
        <x:v>Saved definition only; includes display/selector helpers. Not an accepted business KPI or proof of runtime/DR/SLA.</x:v>
      </x:c>
      <x:c r="I295" s="25" t="str">
        <x:v>SM WMPP Mission Control Import/SM WMPP Mission Control.SemanticModel/definition/tables/_MissionControl_Measures.tmdl:248
Full code: KPI_CALCULATION_TRACEABILITY.md</x:v>
      </x:c>
    </x:row>
    <x:row r="296" ht="59" customHeight="1">
      <x:c r="A296" s="25" t="str">
        <x:v>Successful Archive Files</x:v>
      </x:c>
      <x:c r="B296" s="25" t="str">
        <x:v>_MissionControl_Measures</x:v>
      </x:c>
      <x:c r="C296" s="25" t="str">
        <x:v>COUNTROWS ( FILTER ( 'cfg_archive_file_load', UPPER ( COALESCE ( 'cfg_archive_file_load'[status], "" ) ) IN { "SUCCESS", "SUCCEEDED" } ) )</x:v>
      </x:c>
      <x:c r="D296" s="25" t="str">
        <x:v>monitoring.cfg_archive_file_load</x:v>
      </x:c>
      <x:c r="E296" s="25" t="str">
        <x:v>No direct visible binding verified</x:v>
      </x:c>
      <x:c r="F296" s="25" t="str">
        <x:v>No requirement mapping asserted</x:v>
      </x:c>
      <x:c r="G296" s="25" t="str">
        <x:v>00_archive_load.py:798</x:v>
      </x:c>
      <x:c r="H296" s="25" t="str">
        <x:v>Saved definition only; includes display/selector helpers. Not an accepted business KPI or proof of runtime/DR/SLA.</x:v>
      </x:c>
      <x:c r="I296" s="25" t="str">
        <x:v>SM WMPP Mission Control Import/SM WMPP Mission Control.SemanticModel/definition/tables/_MissionControl_Measures.tmdl:257
Full code: KPI_CALCULATION_TRACEABILITY.md</x:v>
      </x:c>
    </x:row>
    <x:row r="297" ht="59" customHeight="1">
      <x:c r="A297" s="25" t="str">
        <x:v>Archive File Failures</x:v>
      </x:c>
      <x:c r="B297" s="25" t="str">
        <x:v>_MissionControl_Measures</x:v>
      </x:c>
      <x:c r="C297" s="25" t="str">
        <x:v>COUNTROWS ( FILTER ( 'cfg_archive_file_load', UPPER ( COALESCE ( 'cfg_archive_file_load'[status], "" ) ) IN { "FAILED", "FAIL", "ERROR" } ) )</x:v>
      </x:c>
      <x:c r="D297" s="25" t="str">
        <x:v>monitoring.cfg_archive_file_load</x:v>
      </x:c>
      <x:c r="E297" s="25" t="str">
        <x:v>No direct visible binding verified</x:v>
      </x:c>
      <x:c r="F297" s="25" t="str">
        <x:v>No requirement mapping asserted</x:v>
      </x:c>
      <x:c r="G297" s="25" t="str">
        <x:v>00_archive_load.py:798</x:v>
      </x:c>
      <x:c r="H297" s="25" t="str">
        <x:v>Saved definition only; includes display/selector helpers. Not an accepted business KPI or proof of runtime/DR/SLA.</x:v>
      </x:c>
      <x:c r="I297" s="25" t="str">
        <x:v>SM WMPP Mission Control Import/SM WMPP Mission Control.SemanticModel/definition/tables/_MissionControl_Measures.tmdl:266
Full code: KPI_CALCULATION_TRACEABILITY.md</x:v>
      </x:c>
    </x:row>
    <x:row r="298" ht="59" customHeight="1">
      <x:c r="A298" s="25" t="str">
        <x:v>Archive Files Awaiting Reload</x:v>
      </x:c>
      <x:c r="B298" s="25" t="str">
        <x:v>_MissionControl_Measures</x:v>
      </x:c>
      <x:c r="C298" s="25" t="str">
        <x:v>CALCULATE ( [Archive Files Processed], 'cfg_archive_file_load'[reload] = TRUE () )</x:v>
      </x:c>
      <x:c r="D298" s="25" t="str">
        <x:v>monitoring.cfg_archive_file_load</x:v>
      </x:c>
      <x:c r="E298" s="25" t="str">
        <x:v>No direct visible binding verified</x:v>
      </x:c>
      <x:c r="F298" s="25" t="str">
        <x:v>No requirement mapping asserted</x:v>
      </x:c>
      <x:c r="G298" s="25" t="str">
        <x:v>00_archive_load.py:798</x:v>
      </x:c>
      <x:c r="H298" s="25" t="str">
        <x:v>Saved definition only; includes display/selector helpers. Not an accepted business KPI or proof of runtime/DR/SLA.</x:v>
      </x:c>
      <x:c r="I298" s="25" t="str">
        <x:v>SM WMPP Mission Control Import/SM WMPP Mission Control.SemanticModel/definition/tables/_MissionControl_Measures.tmdl:275
Full code: KPI_CALCULATION_TRACEABILITY.md</x:v>
      </x:c>
    </x:row>
    <x:row r="299" ht="59" customHeight="1">
      <x:c r="A299" s="25" t="str">
        <x:v>Archive File Rows Read</x:v>
      </x:c>
      <x:c r="B299" s="25" t="str">
        <x:v>_MissionControl_Measures</x:v>
      </x:c>
      <x:c r="C299" s="25" t="str">
        <x:v>SUM ( 'cfg_archive_file_load'[rows_read] )</x:v>
      </x:c>
      <x:c r="D299" s="25" t="str">
        <x:v>monitoring.cfg_archive_file_load</x:v>
      </x:c>
      <x:c r="E299" s="25" t="str">
        <x:v>No direct visible binding verified</x:v>
      </x:c>
      <x:c r="F299" s="25" t="str">
        <x:v>No requirement mapping asserted</x:v>
      </x:c>
      <x:c r="G299" s="25" t="str">
        <x:v>00_archive_load.py:798</x:v>
      </x:c>
      <x:c r="H299" s="25" t="str">
        <x:v>Saved definition only; includes display/selector helpers. Not an accepted business KPI or proof of runtime/DR/SLA.</x:v>
      </x:c>
      <x:c r="I299" s="25" t="str">
        <x:v>SM WMPP Mission Control Import/SM WMPP Mission Control.SemanticModel/definition/tables/_MissionControl_Measures.tmdl:284
Full code: KPI_CALCULATION_TRACEABILITY.md</x:v>
      </x:c>
    </x:row>
    <x:row r="300" ht="59" customHeight="1">
      <x:c r="A300" s="25" t="str">
        <x:v>Archive File Rows Written</x:v>
      </x:c>
      <x:c r="B300" s="25" t="str">
        <x:v>_MissionControl_Measures</x:v>
      </x:c>
      <x:c r="C300" s="25" t="str">
        <x:v>SUM ( 'cfg_archive_file_load'[rows_written] )</x:v>
      </x:c>
      <x:c r="D300" s="25" t="str">
        <x:v>monitoring.cfg_archive_file_load</x:v>
      </x:c>
      <x:c r="E300" s="25" t="str">
        <x:v>No direct visible binding verified</x:v>
      </x:c>
      <x:c r="F300" s="25" t="str">
        <x:v>R83</x:v>
      </x:c>
      <x:c r="G300" s="25" t="str">
        <x:v>00_archive_load.py:798</x:v>
      </x:c>
      <x:c r="H300" s="25" t="str">
        <x:v>Saved definition only; includes display/selector helpers. Not an accepted business KPI or proof of runtime/DR/SLA.</x:v>
      </x:c>
      <x:c r="I300" s="25" t="str">
        <x:v>SM WMPP Mission Control Import/SM WMPP Mission Control.SemanticModel/definition/tables/_MissionControl_Measures.tmdl:293
Full code: KPI_CALCULATION_TRACEABILITY.md</x:v>
      </x:c>
    </x:row>
    <x:row r="301" ht="59" customHeight="1">
      <x:c r="A301" s="25" t="str">
        <x:v>Archive Table Exports</x:v>
      </x:c>
      <x:c r="B301" s="25" t="str">
        <x:v>_MissionControl_Measures</x:v>
      </x:c>
      <x:c r="C301" s="25" t="str">
        <x:v>COUNTROWS ( 'cfg_archive_table_export_load' )</x:v>
      </x:c>
      <x:c r="D301" s="25" t="str">
        <x:v>monitoring.cfg_archive_table_export_load</x:v>
      </x:c>
      <x:c r="E301" s="25" t="str">
        <x:v>No direct visible binding verified</x:v>
      </x:c>
      <x:c r="F301" s="25" t="str">
        <x:v>No requirement mapping asserted</x:v>
      </x:c>
      <x:c r="G301" s="25" t="str">
        <x:v>Local semantic calculation; inspect dependencies</x:v>
      </x:c>
      <x:c r="H301" s="25" t="str">
        <x:v>Saved definition only; includes display/selector helpers. Not an accepted business KPI or proof of runtime/DR/SLA.</x:v>
      </x:c>
      <x:c r="I301" s="25" t="str">
        <x:v>SM WMPP Mission Control Import/SM WMPP Mission Control.SemanticModel/definition/tables/_MissionControl_Measures.tmdl:302
Full code: KPI_CALCULATION_TRACEABILITY.md</x:v>
      </x:c>
    </x:row>
    <x:row r="302" ht="72" customHeight="1">
      <x:c r="A302" s="25" t="str">
        <x:v>Failed Archive Table Exports</x:v>
      </x:c>
      <x:c r="B302" s="25" t="str">
        <x:v>_MissionControl_Measures</x:v>
      </x:c>
      <x:c r="C302" s="25" t="str">
        <x:v>COUNTROWS ( FILTER ( 'cfg_archive_table_export_load', UPPER ( COALESCE ( 'cfg_archive_table_export_load'[status], "" ) ) IN { "FAILED", "FAIL", "ERROR" } ) )</x:v>
      </x:c>
      <x:c r="D302" s="25" t="str">
        <x:v>monitoring.cfg_archive_table_export_load</x:v>
      </x:c>
      <x:c r="E302" s="25" t="str">
        <x:v>No direct visible binding verified</x:v>
      </x:c>
      <x:c r="F302" s="25" t="str">
        <x:v>No requirement mapping asserted</x:v>
      </x:c>
      <x:c r="G302" s="25" t="str">
        <x:v>Local semantic calculation; inspect dependencies</x:v>
      </x:c>
      <x:c r="H302" s="25" t="str">
        <x:v>Saved definition only; includes display/selector helpers. Not an accepted business KPI or proof of runtime/DR/SLA.</x:v>
      </x:c>
      <x:c r="I302" s="25" t="str">
        <x:v>SM WMPP Mission Control Import/SM WMPP Mission Control.SemanticModel/definition/tables/_MissionControl_Measures.tmdl:311
Full code: KPI_CALCULATION_TRACEABILITY.md</x:v>
      </x:c>
    </x:row>
    <x:row r="303" ht="59" customHeight="1">
      <x:c r="A303" s="25" t="str">
        <x:v>Archive Table Exports Awaiting Reload</x:v>
      </x:c>
      <x:c r="B303" s="25" t="str">
        <x:v>_MissionControl_Measures</x:v>
      </x:c>
      <x:c r="C303" s="25" t="str">
        <x:v>CALCULATE ( [Archive Table Exports], 'cfg_archive_table_export_load'[reload] = TRUE () )</x:v>
      </x:c>
      <x:c r="D303" s="25" t="str">
        <x:v>monitoring.cfg_archive_table_export_load</x:v>
      </x:c>
      <x:c r="E303" s="25" t="str">
        <x:v>No direct visible binding verified</x:v>
      </x:c>
      <x:c r="F303" s="25" t="str">
        <x:v>No requirement mapping asserted</x:v>
      </x:c>
      <x:c r="G303" s="25" t="str">
        <x:v>Local semantic calculation; inspect dependencies</x:v>
      </x:c>
      <x:c r="H303" s="25" t="str">
        <x:v>Saved definition only; includes display/selector helpers. Not an accepted business KPI or proof of runtime/DR/SLA.</x:v>
      </x:c>
      <x:c r="I303" s="25" t="str">
        <x:v>SM WMPP Mission Control Import/SM WMPP Mission Control.SemanticModel/definition/tables/_MissionControl_Measures.tmdl:320
Full code: KPI_CALCULATION_TRACEABILITY.md</x:v>
      </x:c>
    </x:row>
    <x:row r="304" ht="59" customHeight="1">
      <x:c r="A304" s="25" t="str">
        <x:v>Archive Export Rows</x:v>
      </x:c>
      <x:c r="B304" s="25" t="str">
        <x:v>_MissionControl_Measures</x:v>
      </x:c>
      <x:c r="C304" s="25" t="str">
        <x:v>SUM ( 'cfg_archive_table_export_load'[row_count] )</x:v>
      </x:c>
      <x:c r="D304" s="25" t="str">
        <x:v>monitoring.cfg_archive_table_export_load</x:v>
      </x:c>
      <x:c r="E304" s="25" t="str">
        <x:v>No direct visible binding verified</x:v>
      </x:c>
      <x:c r="F304" s="25" t="str">
        <x:v>No requirement mapping asserted</x:v>
      </x:c>
      <x:c r="G304" s="25" t="str">
        <x:v>Local semantic calculation; inspect dependencies</x:v>
      </x:c>
      <x:c r="H304" s="25" t="str">
        <x:v>Saved definition only; includes display/selector helpers. Not an accepted business KPI or proof of runtime/DR/SLA.</x:v>
      </x:c>
      <x:c r="I304" s="25" t="str">
        <x:v>SM WMPP Mission Control Import/SM WMPP Mission Control.SemanticModel/definition/tables/_MissionControl_Measures.tmdl:329
Full code: KPI_CALCULATION_TRACEABILITY.md</x:v>
      </x:c>
    </x:row>
    <x:row r="305" ht="59" customHeight="1">
      <x:c r="A305" s="25" t="str">
        <x:v>Gold Snapshot Runs</x:v>
      </x:c>
      <x:c r="B305" s="25" t="str">
        <x:v>_MissionControl_Measures</x:v>
      </x:c>
      <x:c r="C305" s="25" t="str">
        <x:v>COUNTROWS ( 'cfg_month_end_gold_run' )</x:v>
      </x:c>
      <x:c r="D305" s="25" t="str">
        <x:v>monitoring.cfg_month_end_gold_run</x:v>
      </x:c>
      <x:c r="E305" s="25" t="str">
        <x:v>No direct visible binding verified</x:v>
      </x:c>
      <x:c r="F305" s="25" t="str">
        <x:v>R83</x:v>
      </x:c>
      <x:c r="G305" s="25" t="str">
        <x:v>02a_archive_silver.py:611</x:v>
      </x:c>
      <x:c r="H305" s="25" t="str">
        <x:v>Saved definition only; includes display/selector helpers. Not an accepted business KPI or proof of runtime/DR/SLA.</x:v>
      </x:c>
      <x:c r="I305" s="25" t="str">
        <x:v>SM WMPP Mission Control Import/SM WMPP Mission Control.SemanticModel/definition/tables/_MissionControl_Measures.tmdl:338
Full code: KPI_CALCULATION_TRACEABILITY.md</x:v>
      </x:c>
    </x:row>
    <x:row r="306" ht="59" customHeight="1">
      <x:c r="A306" s="25" t="str">
        <x:v>Successful Gold Snapshots</x:v>
      </x:c>
      <x:c r="B306" s="25" t="str">
        <x:v>_MissionControl_Measures</x:v>
      </x:c>
      <x:c r="C306" s="25" t="str">
        <x:v>COUNTROWS ( FILTER ( 'cfg_month_end_gold_run', UPPER ( COALESCE ( 'cfg_month_end_gold_run'[status], "" ) ) IN { "SUCCESS", "SUCCEEDED" } ) )</x:v>
      </x:c>
      <x:c r="D306" s="25" t="str">
        <x:v>monitoring.cfg_month_end_gold_run</x:v>
      </x:c>
      <x:c r="E306" s="25" t="str">
        <x:v>No direct visible binding verified</x:v>
      </x:c>
      <x:c r="F306" s="25" t="str">
        <x:v>No requirement mapping asserted</x:v>
      </x:c>
      <x:c r="G306" s="25" t="str">
        <x:v>02a_archive_silver.py:611</x:v>
      </x:c>
      <x:c r="H306" s="25" t="str">
        <x:v>Saved definition only; includes display/selector helpers. Not an accepted business KPI or proof of runtime/DR/SLA.</x:v>
      </x:c>
      <x:c r="I306" s="25" t="str">
        <x:v>SM WMPP Mission Control Import/SM WMPP Mission Control.SemanticModel/definition/tables/_MissionControl_Measures.tmdl:347
Full code: KPI_CALCULATION_TRACEABILITY.md</x:v>
      </x:c>
    </x:row>
    <x:row r="307" ht="59" customHeight="1">
      <x:c r="A307" s="25" t="str">
        <x:v>Failed Gold Snapshots</x:v>
      </x:c>
      <x:c r="B307" s="25" t="str">
        <x:v>_MissionControl_Measures</x:v>
      </x:c>
      <x:c r="C307" s="25" t="str">
        <x:v>COUNTROWS ( FILTER ( 'cfg_month_end_gold_run', UPPER ( COALESCE ( 'cfg_month_end_gold_run'[status], "" ) ) IN { "FAILED", "FAIL", "ERROR" } ) )</x:v>
      </x:c>
      <x:c r="D307" s="25" t="str">
        <x:v>monitoring.cfg_month_end_gold_run</x:v>
      </x:c>
      <x:c r="E307" s="25" t="str">
        <x:v>No direct visible binding verified</x:v>
      </x:c>
      <x:c r="F307" s="25" t="str">
        <x:v>No requirement mapping asserted</x:v>
      </x:c>
      <x:c r="G307" s="25" t="str">
        <x:v>02a_archive_silver.py:611</x:v>
      </x:c>
      <x:c r="H307" s="25" t="str">
        <x:v>Saved definition only; includes display/selector helpers. Not an accepted business KPI or proof of runtime/DR/SLA.</x:v>
      </x:c>
      <x:c r="I307" s="25" t="str">
        <x:v>SM WMPP Mission Control Import/SM WMPP Mission Control.SemanticModel/definition/tables/_MissionControl_Measures.tmdl:356
Full code: KPI_CALCULATION_TRACEABILITY.md</x:v>
      </x:c>
    </x:row>
    <x:row r="308" ht="59" customHeight="1">
      <x:c r="A308" s="25" t="str">
        <x:v>Gold Snapshots Awaiting Replay</x:v>
      </x:c>
      <x:c r="B308" s="25" t="str">
        <x:v>_MissionControl_Measures</x:v>
      </x:c>
      <x:c r="C308" s="25" t="str">
        <x:v>CALCULATE ( [Gold Snapshot Runs], 'cfg_month_end_gold_run'[reload] = TRUE () )</x:v>
      </x:c>
      <x:c r="D308" s="25" t="str">
        <x:v>monitoring.cfg_month_end_gold_run</x:v>
      </x:c>
      <x:c r="E308" s="25" t="str">
        <x:v>No direct visible binding verified</x:v>
      </x:c>
      <x:c r="F308" s="25" t="str">
        <x:v>No requirement mapping asserted</x:v>
      </x:c>
      <x:c r="G308" s="25" t="str">
        <x:v>02a_archive_silver.py:611</x:v>
      </x:c>
      <x:c r="H308" s="25" t="str">
        <x:v>Saved definition only; includes display/selector helpers. Not an accepted business KPI or proof of runtime/DR/SLA.</x:v>
      </x:c>
      <x:c r="I308" s="25" t="str">
        <x:v>SM WMPP Mission Control Import/SM WMPP Mission Control.SemanticModel/definition/tables/_MissionControl_Measures.tmdl:365
Full code: KPI_CALCULATION_TRACEABILITY.md</x:v>
      </x:c>
    </x:row>
    <x:row r="309" ht="59" customHeight="1">
      <x:c r="A309" s="25" t="str">
        <x:v>Gold Snapshot DQ Failures</x:v>
      </x:c>
      <x:c r="B309" s="25" t="str">
        <x:v>_MissionControl_Measures</x:v>
      </x:c>
      <x:c r="C309" s="25" t="str">
        <x:v>COUNTROWS ( FILTER ( 'cfg_month_end_gold_run', UPPER ( COALESCE ( 'cfg_month_end_gold_run'[dq_result], "" ) ) IN { "FAILED", "FAIL", "ERROR" } ) )</x:v>
      </x:c>
      <x:c r="D309" s="25" t="str">
        <x:v>monitoring.cfg_month_end_gold_run</x:v>
      </x:c>
      <x:c r="E309" s="25" t="str">
        <x:v>No direct visible binding verified</x:v>
      </x:c>
      <x:c r="F309" s="25" t="str">
        <x:v>No requirement mapping asserted</x:v>
      </x:c>
      <x:c r="G309" s="25" t="str">
        <x:v>02a_archive_silver.py:611</x:v>
      </x:c>
      <x:c r="H309" s="25" t="str">
        <x:v>Saved definition only; includes display/selector helpers. Not an accepted business KPI or proof of runtime/DR/SLA.</x:v>
      </x:c>
      <x:c r="I309" s="25" t="str">
        <x:v>SM WMPP Mission Control Import/SM WMPP Mission Control.SemanticModel/definition/tables/_MissionControl_Measures.tmdl:374
Full code: KPI_CALCULATION_TRACEABILITY.md</x:v>
      </x:c>
    </x:row>
    <x:row r="310" ht="59" customHeight="1">
      <x:c r="A310" s="25" t="str">
        <x:v>DQ Checks</x:v>
      </x:c>
      <x:c r="B310" s="25" t="str">
        <x:v>_MissionControl_Measures</x:v>
      </x:c>
      <x:c r="C310" s="25" t="str">
        <x:v>COUNTROWS ( 'cfg_data_quality_result' )</x:v>
      </x:c>
      <x:c r="D310" s="25" t="str">
        <x:v>monitoring.cfg_data_quality_result</x:v>
      </x:c>
      <x:c r="E310" s="25" t="str">
        <x:v>No direct visible binding verified</x:v>
      </x:c>
      <x:c r="F310" s="25" t="str">
        <x:v>No requirement mapping asserted</x:v>
      </x:c>
      <x:c r="G310" s="25" t="str">
        <x:v>03_silver_business_rules.py:208</x:v>
      </x:c>
      <x:c r="H310" s="25" t="str">
        <x:v>Saved definition only; includes display/selector helpers. Not an accepted business KPI or proof of runtime/DR/SLA.</x:v>
      </x:c>
      <x:c r="I310" s="25" t="str">
        <x:v>SM WMPP Mission Control Import/SM WMPP Mission Control.SemanticModel/definition/tables/_MissionControl_Measures.tmdl:383
Full code: KPI_CALCULATION_TRACEABILITY.md</x:v>
      </x:c>
    </x:row>
    <x:row r="311" ht="72" customHeight="1">
      <x:c r="A311" s="25" t="str">
        <x:v>DQ Evaluated Checks</x:v>
      </x:c>
      <x:c r="B311" s="25" t="str">
        <x:v>_MissionControl_Measures</x:v>
      </x:c>
      <x:c r="C311" s="25" t="str">
        <x:v>COUNTROWS ( FILTER ( 'cfg_data_quality_result', UPPER ( COALESCE ( 'cfg_data_quality_result'[status], "" ) ) IN { "PASS", "SUCCESS", "FAILED", "FAIL", "ERROR" } ) )</x:v>
      </x:c>
      <x:c r="D311" s="25" t="str">
        <x:v>monitoring.cfg_data_quality_result</x:v>
      </x:c>
      <x:c r="E311" s="25" t="str">
        <x:v>No direct visible binding verified</x:v>
      </x:c>
      <x:c r="F311" s="25" t="str">
        <x:v>No requirement mapping asserted</x:v>
      </x:c>
      <x:c r="G311" s="25" t="str">
        <x:v>03_silver_business_rules.py:208</x:v>
      </x:c>
      <x:c r="H311" s="25" t="str">
        <x:v>Saved definition only; includes display/selector helpers. Not an accepted business KPI or proof of runtime/DR/SLA.</x:v>
      </x:c>
      <x:c r="I311" s="25" t="str">
        <x:v>SM WMPP Mission Control Import/SM WMPP Mission Control.SemanticModel/definition/tables/_MissionControl_Measures.tmdl:392
Full code: KPI_CALCULATION_TRACEABILITY.md</x:v>
      </x:c>
    </x:row>
    <x:row r="312" ht="59" customHeight="1">
      <x:c r="A312" s="25" t="str">
        <x:v>DQ Failed Checks</x:v>
      </x:c>
      <x:c r="B312" s="25" t="str">
        <x:v>_MissionControl_Measures</x:v>
      </x:c>
      <x:c r="C312" s="25" t="str">
        <x:v>COUNTROWS ( FILTER ( 'cfg_data_quality_result', UPPER ( COALESCE ( 'cfg_data_quality_result'[status], "" ) ) IN { "FAILED", "FAIL", "ERROR" } ) )</x:v>
      </x:c>
      <x:c r="D312" s="25" t="str">
        <x:v>monitoring.cfg_data_quality_result</x:v>
      </x:c>
      <x:c r="E312" s="25" t="str">
        <x:v>No direct visible binding verified</x:v>
      </x:c>
      <x:c r="F312" s="25" t="str">
        <x:v>No requirement mapping asserted</x:v>
      </x:c>
      <x:c r="G312" s="25" t="str">
        <x:v>03_silver_business_rules.py:208</x:v>
      </x:c>
      <x:c r="H312" s="25" t="str">
        <x:v>Saved definition only; includes display/selector helpers. Not an accepted business KPI or proof of runtime/DR/SLA.</x:v>
      </x:c>
      <x:c r="I312" s="25" t="str">
        <x:v>SM WMPP Mission Control Import/SM WMPP Mission Control.SemanticModel/definition/tables/_MissionControl_Measures.tmdl:401
Full code: KPI_CALCULATION_TRACEABILITY.md</x:v>
      </x:c>
    </x:row>
    <x:row r="313" ht="59" customHeight="1">
      <x:c r="A313" s="25" t="str">
        <x:v>DQ Failure Rate</x:v>
      </x:c>
      <x:c r="B313" s="25" t="str">
        <x:v>_MissionControl_Measures</x:v>
      </x:c>
      <x:c r="C313" s="25" t="str">
        <x:v>DIVIDE ( [DQ Failed Checks], [DQ Evaluated Checks] )</x:v>
      </x:c>
      <x:c r="D313" s="25" t="str">
        <x:v>monitoring.cfg_data_quality_result</x:v>
      </x:c>
      <x:c r="E313" s="25" t="str">
        <x:v>No direct visible binding verified</x:v>
      </x:c>
      <x:c r="F313" s="25" t="str">
        <x:v>No requirement mapping asserted</x:v>
      </x:c>
      <x:c r="G313" s="25" t="str">
        <x:v>03_silver_business_rules.py:208</x:v>
      </x:c>
      <x:c r="H313" s="25" t="str">
        <x:v>Saved definition only; includes display/selector helpers. Not an accepted business KPI or proof of runtime/DR/SLA.</x:v>
      </x:c>
      <x:c r="I313" s="25" t="str">
        <x:v>SM WMPP Mission Control Import/SM WMPP Mission Control.SemanticModel/definition/tables/_MissionControl_Measures.tmdl:410
Full code: KPI_CALCULATION_TRACEABILITY.md</x:v>
      </x:c>
    </x:row>
    <x:row r="314" ht="59" customHeight="1">
      <x:c r="A314" s="25" t="str">
        <x:v>DQ Checked Rows</x:v>
      </x:c>
      <x:c r="B314" s="25" t="str">
        <x:v>_MissionControl_Measures</x:v>
      </x:c>
      <x:c r="C314" s="25" t="str">
        <x:v>SUM ( 'cfg_data_quality_result'[checked_row_count] )</x:v>
      </x:c>
      <x:c r="D314" s="25" t="str">
        <x:v>monitoring.cfg_data_quality_result</x:v>
      </x:c>
      <x:c r="E314" s="25" t="str">
        <x:v>No direct visible binding verified</x:v>
      </x:c>
      <x:c r="F314" s="25" t="str">
        <x:v>No requirement mapping asserted</x:v>
      </x:c>
      <x:c r="G314" s="25" t="str">
        <x:v>03_silver_business_rules.py:208</x:v>
      </x:c>
      <x:c r="H314" s="25" t="str">
        <x:v>Saved definition only; includes display/selector helpers. Not an accepted business KPI or proof of runtime/DR/SLA.</x:v>
      </x:c>
      <x:c r="I314" s="25" t="str">
        <x:v>SM WMPP Mission Control Import/SM WMPP Mission Control.SemanticModel/definition/tables/_MissionControl_Measures.tmdl:419
Full code: KPI_CALCULATION_TRACEABILITY.md</x:v>
      </x:c>
    </x:row>
    <x:row r="315" ht="59" customHeight="1">
      <x:c r="A315" s="25" t="str">
        <x:v>DQ Failed Rows</x:v>
      </x:c>
      <x:c r="B315" s="25" t="str">
        <x:v>_MissionControl_Measures</x:v>
      </x:c>
      <x:c r="C315" s="25" t="str">
        <x:v>SUM ( 'cfg_data_quality_result'[failed_row_count] )</x:v>
      </x:c>
      <x:c r="D315" s="25" t="str">
        <x:v>monitoring.cfg_data_quality_result</x:v>
      </x:c>
      <x:c r="E315" s="25" t="str">
        <x:v>No direct visible binding verified</x:v>
      </x:c>
      <x:c r="F315" s="25" t="str">
        <x:v>R53</x:v>
      </x:c>
      <x:c r="G315" s="25" t="str">
        <x:v>03_silver_business_rules.py:208</x:v>
      </x:c>
      <x:c r="H315" s="25" t="str">
        <x:v>Saved definition only; includes display/selector helpers. Not an accepted business KPI or proof of runtime/DR/SLA.</x:v>
      </x:c>
      <x:c r="I315" s="25" t="str">
        <x:v>SM WMPP Mission Control Import/SM WMPP Mission Control.SemanticModel/definition/tables/_MissionControl_Measures.tmdl:428
Full code: KPI_CALCULATION_TRACEABILITY.md</x:v>
      </x:c>
    </x:row>
    <x:row r="316" ht="59" customHeight="1">
      <x:c r="A316" s="25" t="str">
        <x:v>Weighted DQ Failure Percentage</x:v>
      </x:c>
      <x:c r="B316" s="25" t="str">
        <x:v>_MissionControl_Measures</x:v>
      </x:c>
      <x:c r="C316" s="25" t="str">
        <x:v>DIVIDE ( [DQ Failed Rows], [DQ Checked Rows] )</x:v>
      </x:c>
      <x:c r="D316" s="25" t="str">
        <x:v>monitoring.cfg_data_quality_result</x:v>
      </x:c>
      <x:c r="E316" s="25" t="str">
        <x:v>No direct visible binding verified</x:v>
      </x:c>
      <x:c r="F316" s="25" t="str">
        <x:v>R53</x:v>
      </x:c>
      <x:c r="G316" s="25" t="str">
        <x:v>03_silver_business_rules.py:208</x:v>
      </x:c>
      <x:c r="H316" s="25" t="str">
        <x:v>Saved definition only; includes display/selector helpers. Not an accepted business KPI or proof of runtime/DR/SLA.</x:v>
      </x:c>
      <x:c r="I316" s="25" t="str">
        <x:v>SM WMPP Mission Control Import/SM WMPP Mission Control.SemanticModel/definition/tables/_MissionControl_Measures.tmdl:437
Full code: KPI_CALCULATION_TRACEABILITY.md</x:v>
      </x:c>
    </x:row>
    <x:row r="317" ht="111" customHeight="1">
      <x:c r="A317" s="25" t="str">
        <x:v>Critical Rules Failing</x:v>
      </x:c>
      <x:c r="B317" s="25" t="str">
        <x:v>_MissionControl_Measures</x:v>
      </x:c>
      <x:c r="C317" s="25" t="str">
        <x:v>CALCULATE ( DISTINCTCOUNT ( 'cfg_data_quality_result'[rule_id] ), FILTER ( 'cfg_data_quality_result', UPPER ( COALESCE ( 'cfg_data_quality_result'[severity], "" ) ) = "CRITICAL" &amp;&amp; UPPER ( COALESCE ( 'cfg_data_quality_result'[status], "" ) ) IN { "FAILED", "FAIL", "ERROR" } ) )</x:v>
      </x:c>
      <x:c r="D317" s="25" t="str">
        <x:v>monitoring.cfg_data_quality_result</x:v>
      </x:c>
      <x:c r="E317" s="25" t="str">
        <x:v>No direct visible binding verified</x:v>
      </x:c>
      <x:c r="F317" s="25" t="str">
        <x:v>No requirement mapping asserted</x:v>
      </x:c>
      <x:c r="G317" s="25" t="str">
        <x:v>03_silver_business_rules.py:208</x:v>
      </x:c>
      <x:c r="H317" s="25" t="str">
        <x:v>Saved definition only; includes display/selector helpers. Not an accepted business KPI or proof of runtime/DR/SLA.</x:v>
      </x:c>
      <x:c r="I317" s="25" t="str">
        <x:v>SM WMPP Mission Control Import/SM WMPP Mission Control.SemanticModel/definition/tables/_MissionControl_Measures.tmdl:446
Full code: KPI_CALCULATION_TRACEABILITY.md</x:v>
      </x:c>
    </x:row>
    <x:row r="318" ht="111" customHeight="1">
      <x:c r="A318" s="25" t="str">
        <x:v>High or Critical Rules Failing</x:v>
      </x:c>
      <x:c r="B318" s="25" t="str">
        <x:v>_MissionControl_Measures</x:v>
      </x:c>
      <x:c r="C318" s="25" t="str">
        <x:v>CALCULATE ( DISTINCTCOUNT ( 'cfg_data_quality_result'[rule_id] ), FILTER ( 'cfg_data_quality_result', UPPER ( COALESCE ( 'cfg_data_quality_result'[severity], "" ) ) IN { "CRITICAL", "HIGH" } &amp;&amp; UPPER ( COALESCE ( 'cfg_data_quality_result'[status], "" ) ) IN { "FAILED", "FAIL", "ERROR" } ) )</x:v>
      </x:c>
      <x:c r="D318" s="25" t="str">
        <x:v>monitoring.cfg_data_quality_result</x:v>
      </x:c>
      <x:c r="E318" s="25" t="str">
        <x:v>No direct visible binding verified</x:v>
      </x:c>
      <x:c r="F318" s="25" t="str">
        <x:v>No requirement mapping asserted</x:v>
      </x:c>
      <x:c r="G318" s="25" t="str">
        <x:v>03_silver_business_rules.py:208</x:v>
      </x:c>
      <x:c r="H318" s="25" t="str">
        <x:v>Saved definition only; includes display/selector helpers. Not an accepted business KPI or proof of runtime/DR/SLA.</x:v>
      </x:c>
      <x:c r="I318" s="25" t="str">
        <x:v>SM WMPP Mission Control Import/SM WMPP Mission Control.SemanticModel/definition/tables/_MissionControl_Measures.tmdl:455
Full code: KPI_CALCULATION_TRACEABILITY.md</x:v>
      </x:c>
    </x:row>
    <x:row r="319" ht="85" customHeight="1">
      <x:c r="A319" s="25" t="str">
        <x:v>DQ Failures With Sample Keys</x:v>
      </x:c>
      <x:c r="B319" s="25" t="str">
        <x:v>_MissionControl_Measures</x:v>
      </x:c>
      <x:c r="C319" s="25" t="str">
        <x:v>COUNTROWS ( FILTER ( 'cfg_data_quality_result', UPPER ( COALESCE ( 'cfg_data_quality_result'[status], "" ) ) IN { "FAILED", "FAIL", "ERROR" } &amp;&amp; NOT ISBLANK ( 'cfg_data_quality_result'[sample_key_json] ) ) )</x:v>
      </x:c>
      <x:c r="D319" s="25" t="str">
        <x:v>monitoring.cfg_data_quality_result</x:v>
      </x:c>
      <x:c r="E319" s="25" t="str">
        <x:v>No direct visible binding verified</x:v>
      </x:c>
      <x:c r="F319" s="25" t="str">
        <x:v>No requirement mapping asserted</x:v>
      </x:c>
      <x:c r="G319" s="25" t="str">
        <x:v>03_silver_business_rules.py:208</x:v>
      </x:c>
      <x:c r="H319" s="25" t="str">
        <x:v>Saved definition only; includes display/selector helpers. Not an accepted business KPI or proof of runtime/DR/SLA.</x:v>
      </x:c>
      <x:c r="I319" s="25" t="str">
        <x:v>SM WMPP Mission Control Import/SM WMPP Mission Control.SemanticModel/definition/tables/_MissionControl_Measures.tmdl:464
Full code: KPI_CALCULATION_TRACEABILITY.md</x:v>
      </x:c>
    </x:row>
    <x:row r="320" ht="59" customHeight="1">
      <x:c r="A320" s="25" t="str">
        <x:v>Active DQ Rules</x:v>
      </x:c>
      <x:c r="B320" s="25" t="str">
        <x:v>_MissionControl_Measures</x:v>
      </x:c>
      <x:c r="C320" s="25" t="str">
        <x:v>COUNTROWS ( FILTER ( 'cfg_data_quality_rule', UPPER ( COALESCE ( 'cfg_data_quality_rule'[active], "" ) ) IN { "TRUE", "Y", "1" } ) )</x:v>
      </x:c>
      <x:c r="D320" s="25" t="str">
        <x:v>monitoring.cfg_data_quality_rule</x:v>
      </x:c>
      <x:c r="E320" s="25" t="str">
        <x:v>No direct visible binding verified</x:v>
      </x:c>
      <x:c r="F320" s="25" t="str">
        <x:v>No requirement mapping asserted</x:v>
      </x:c>
      <x:c r="G320" s="25" t="str">
        <x:v>03_silver_business_rules.py:133</x:v>
      </x:c>
      <x:c r="H320" s="25" t="str">
        <x:v>Saved definition only; includes display/selector helpers. Not an accepted business KPI or proof of runtime/DR/SLA.</x:v>
      </x:c>
      <x:c r="I320" s="25" t="str">
        <x:v>SM WMPP Mission Control Import/SM WMPP Mission Control.SemanticModel/definition/tables/_MissionControl_Measures.tmdl:473
Full code: KPI_CALCULATION_TRACEABILITY.md</x:v>
      </x:c>
    </x:row>
    <x:row r="321" ht="85" customHeight="1">
      <x:c r="A321" s="25" t="str">
        <x:v>Critical Active DQ Rules</x:v>
      </x:c>
      <x:c r="B321" s="25" t="str">
        <x:v>_MissionControl_Measures</x:v>
      </x:c>
      <x:c r="C321" s="25" t="str">
        <x:v>COUNTROWS ( FILTER ( 'cfg_data_quality_rule', UPPER ( COALESCE ( 'cfg_data_quality_rule'[active], "" ) ) IN { "TRUE", "Y", "1" } &amp;&amp; UPPER ( COALESCE ( 'cfg_data_quality_rule'[severity], "" ) ) = "CRITICAL" ) )</x:v>
      </x:c>
      <x:c r="D321" s="25" t="str">
        <x:v>monitoring.cfg_data_quality_rule</x:v>
      </x:c>
      <x:c r="E321" s="25" t="str">
        <x:v>No direct visible binding verified</x:v>
      </x:c>
      <x:c r="F321" s="25" t="str">
        <x:v>No requirement mapping asserted</x:v>
      </x:c>
      <x:c r="G321" s="25" t="str">
        <x:v>03_silver_business_rules.py:133</x:v>
      </x:c>
      <x:c r="H321" s="25" t="str">
        <x:v>Saved definition only; includes display/selector helpers. Not an accepted business KPI or proof of runtime/DR/SLA.</x:v>
      </x:c>
      <x:c r="I321" s="25" t="str">
        <x:v>SM WMPP Mission Control Import/SM WMPP Mission Control.SemanticModel/definition/tables/_MissionControl_Measures.tmdl:482
Full code: KPI_CALCULATION_TRACEABILITY.md</x:v>
      </x:c>
    </x:row>
    <x:row r="322" ht="111" customHeight="1">
      <x:c r="A322" s="25" t="str">
        <x:v>RI Rules Failing</x:v>
      </x:c>
      <x:c r="B322" s="25" t="str">
        <x:v>_MissionControl_Measures</x:v>
      </x:c>
      <x:c r="C322" s="25" t="str">
        <x:v>CALCULATE ( DISTINCTCOUNT ( 'cfg_data_quality_result'[rule_id] ), FILTER ( 'cfg_data_quality_result', UPPER ( COALESCE ( 'cfg_data_quality_result'[rule_type], "" ) ) = "REFERENTIAL_INTEGRITY" &amp;&amp; UPPER ( COALESCE ( 'cfg_data_quality_result'[status], "" ) ) IN { "FAILED", "FAIL", "ERROR" } ) )</x:v>
      </x:c>
      <x:c r="D322" s="25" t="str">
        <x:v>monitoring.cfg_data_quality_result</x:v>
      </x:c>
      <x:c r="E322" s="25" t="str">
        <x:v>No direct visible binding verified</x:v>
      </x:c>
      <x:c r="F322" s="25" t="str">
        <x:v>No requirement mapping asserted</x:v>
      </x:c>
      <x:c r="G322" s="25" t="str">
        <x:v>03_silver_business_rules.py:208</x:v>
      </x:c>
      <x:c r="H322" s="25" t="str">
        <x:v>Saved definition only; includes display/selector helpers. Not an accepted business KPI or proof of runtime/DR/SLA.</x:v>
      </x:c>
      <x:c r="I322" s="25" t="str">
        <x:v>SM WMPP Mission Control Import/SM WMPP Mission Control.SemanticModel/definition/tables/_MissionControl_Measures.tmdl:491
Full code: KPI_CALCULATION_TRACEABILITY.md</x:v>
      </x:c>
    </x:row>
    <x:row r="323" ht="72" customHeight="1">
      <x:c r="A323" s="25" t="str">
        <x:v>RI Checked Rows</x:v>
      </x:c>
      <x:c r="B323" s="25" t="str">
        <x:v>_MissionControl_Measures</x:v>
      </x:c>
      <x:c r="C323" s="25" t="str">
        <x:v>CALCULATE ( [DQ Checked Rows], FILTER ( 'cfg_data_quality_result', UPPER ( COALESCE ( 'cfg_data_quality_result'[rule_type], "" ) ) = "REFERENTIAL_INTEGRITY" ) )</x:v>
      </x:c>
      <x:c r="D323" s="25" t="str">
        <x:v>monitoring.cfg_data_quality_result</x:v>
      </x:c>
      <x:c r="E323" s="25" t="str">
        <x:v>No direct visible binding verified</x:v>
      </x:c>
      <x:c r="F323" s="25" t="str">
        <x:v>No requirement mapping asserted</x:v>
      </x:c>
      <x:c r="G323" s="25" t="str">
        <x:v>03_silver_business_rules.py:208</x:v>
      </x:c>
      <x:c r="H323" s="25" t="str">
        <x:v>Saved definition only; includes display/selector helpers. Not an accepted business KPI or proof of runtime/DR/SLA.</x:v>
      </x:c>
      <x:c r="I323" s="25" t="str">
        <x:v>SM WMPP Mission Control Import/SM WMPP Mission Control.SemanticModel/definition/tables/_MissionControl_Measures.tmdl:500
Full code: KPI_CALCULATION_TRACEABILITY.md</x:v>
      </x:c>
    </x:row>
    <x:row r="324" ht="72" customHeight="1">
      <x:c r="A324" s="25" t="str">
        <x:v>RI Failed Rows</x:v>
      </x:c>
      <x:c r="B324" s="25" t="str">
        <x:v>_MissionControl_Measures</x:v>
      </x:c>
      <x:c r="C324" s="25" t="str">
        <x:v>CALCULATE ( [DQ Failed Rows], FILTER ( 'cfg_data_quality_result', UPPER ( COALESCE ( 'cfg_data_quality_result'[rule_type], "" ) ) = "REFERENTIAL_INTEGRITY" ) )</x:v>
      </x:c>
      <x:c r="D324" s="25" t="str">
        <x:v>monitoring.cfg_data_quality_result</x:v>
      </x:c>
      <x:c r="E324" s="25" t="str">
        <x:v>No direct visible binding verified</x:v>
      </x:c>
      <x:c r="F324" s="25" t="str">
        <x:v>R84</x:v>
      </x:c>
      <x:c r="G324" s="25" t="str">
        <x:v>03_silver_business_rules.py:208</x:v>
      </x:c>
      <x:c r="H324" s="25" t="str">
        <x:v>Saved definition only; includes display/selector helpers. Not an accepted business KPI or proof of runtime/DR/SLA.</x:v>
      </x:c>
      <x:c r="I324" s="25" t="str">
        <x:v>SM WMPP Mission Control Import/SM WMPP Mission Control.SemanticModel/definition/tables/_MissionControl_Measures.tmdl:509
Full code: KPI_CALCULATION_TRACEABILITY.md</x:v>
      </x:c>
    </x:row>
    <x:row r="325" ht="59" customHeight="1">
      <x:c r="A325" s="25" t="str">
        <x:v>RI Failure Rate</x:v>
      </x:c>
      <x:c r="B325" s="25" t="str">
        <x:v>_MissionControl_Measures</x:v>
      </x:c>
      <x:c r="C325" s="25" t="str">
        <x:v>DIVIDE ( [RI Failed Rows], [RI Checked Rows] )</x:v>
      </x:c>
      <x:c r="D325" s="25" t="str">
        <x:v>monitoring.cfg_data_quality_result</x:v>
      </x:c>
      <x:c r="E325" s="25" t="str">
        <x:v>No direct visible binding verified</x:v>
      </x:c>
      <x:c r="F325" s="25" t="str">
        <x:v>No requirement mapping asserted</x:v>
      </x:c>
      <x:c r="G325" s="25" t="str">
        <x:v>03_silver_business_rules.py:208</x:v>
      </x:c>
      <x:c r="H325" s="25" t="str">
        <x:v>Saved definition only; includes display/selector helpers. Not an accepted business KPI or proof of runtime/DR/SLA.</x:v>
      </x:c>
      <x:c r="I325" s="25" t="str">
        <x:v>SM WMPP Mission Control Import/SM WMPP Mission Control.SemanticModel/definition/tables/_MissionControl_Measures.tmdl:518
Full code: KPI_CALCULATION_TRACEABILITY.md</x:v>
      </x:c>
    </x:row>
    <x:row r="326" ht="59" customHeight="1">
      <x:c r="A326" s="25" t="str">
        <x:v>Archived Schema Columns</x:v>
      </x:c>
      <x:c r="B326" s="25" t="str">
        <x:v>_MissionControl_Measures</x:v>
      </x:c>
      <x:c r="C326" s="25" t="str">
        <x:v>COUNTROWS ( 'cfg_archived_schema_live' )</x:v>
      </x:c>
      <x:c r="D326" s="25" t="str">
        <x:v>monitoring.cfg_archived_schema_live</x:v>
      </x:c>
      <x:c r="E326" s="25" t="str">
        <x:v>No direct visible binding verified</x:v>
      </x:c>
      <x:c r="F326" s="25" t="str">
        <x:v>No requirement mapping asserted</x:v>
      </x:c>
      <x:c r="G326" s="25" t="str">
        <x:v>01a_cfg_schema_capture_archive.py:107</x:v>
      </x:c>
      <x:c r="H326" s="25" t="str">
        <x:v>Saved definition only; includes display/selector helpers. Not an accepted business KPI or proof of runtime/DR/SLA.</x:v>
      </x:c>
      <x:c r="I326" s="25" t="str">
        <x:v>SM WMPP Mission Control Import/SM WMPP Mission Control.SemanticModel/definition/tables/_MissionControl_Measures.tmdl:527
Full code: KPI_CALCULATION_TRACEABILITY.md</x:v>
      </x:c>
    </x:row>
    <x:row r="327" ht="59" customHeight="1">
      <x:c r="A327" s="25" t="str">
        <x:v>Archived Schema Tables</x:v>
      </x:c>
      <x:c r="B327" s="25" t="str">
        <x:v>_MissionControl_Measures</x:v>
      </x:c>
      <x:c r="C327" s="25" t="str">
        <x:v>COUNTROWS ( SUMMARIZE ( 'cfg_archived_schema_live', 'cfg_archived_schema_live'[schema_name], 'cfg_archived_schema_live'[table_name] ) )</x:v>
      </x:c>
      <x:c r="D327" s="25" t="str">
        <x:v>monitoring.cfg_archived_schema_live</x:v>
      </x:c>
      <x:c r="E327" s="25" t="str">
        <x:v>No direct visible binding verified</x:v>
      </x:c>
      <x:c r="F327" s="25" t="str">
        <x:v>No requirement mapping asserted</x:v>
      </x:c>
      <x:c r="G327" s="25" t="str">
        <x:v>01a_cfg_schema_capture_archive.py:107</x:v>
      </x:c>
      <x:c r="H327" s="25" t="str">
        <x:v>Saved definition only; includes display/selector helpers. Not an accepted business KPI or proof of runtime/DR/SLA.</x:v>
      </x:c>
      <x:c r="I327" s="25" t="str">
        <x:v>SM WMPP Mission Control Import/SM WMPP Mission Control.SemanticModel/definition/tables/_MissionControl_Measures.tmdl:536
Full code: KPI_CALCULATION_TRACEABILITY.md</x:v>
      </x:c>
    </x:row>
    <x:row r="328" ht="59" customHeight="1">
      <x:c r="A328" s="25" t="str">
        <x:v>Latest Archived Schema Capture</x:v>
      </x:c>
      <x:c r="B328" s="25" t="str">
        <x:v>_MissionControl_Measures</x:v>
      </x:c>
      <x:c r="C328" s="25" t="str">
        <x:v>MAX ( 'cfg_archived_schema_live'[contract_loaded_at] )</x:v>
      </x:c>
      <x:c r="D328" s="25" t="str">
        <x:v>monitoring.cfg_archived_schema_live</x:v>
      </x:c>
      <x:c r="E328" s="25" t="str">
        <x:v>No direct visible binding verified</x:v>
      </x:c>
      <x:c r="F328" s="25" t="str">
        <x:v>No requirement mapping asserted</x:v>
      </x:c>
      <x:c r="G328" s="25" t="str">
        <x:v>01a_cfg_schema_capture_archive.py:107</x:v>
      </x:c>
      <x:c r="H328" s="25" t="str">
        <x:v>Saved definition only; includes display/selector helpers. Not an accepted business KPI or proof of runtime/DR/SLA.</x:v>
      </x:c>
      <x:c r="I328" s="25" t="str">
        <x:v>SM WMPP Mission Control Import/SM WMPP Mission Control.SemanticModel/definition/tables/_MissionControl_Measures.tmdl:545
Full code: KPI_CALCULATION_TRACEABILITY.md</x:v>
      </x:c>
    </x:row>
    <x:row r="329" ht="72" customHeight="1">
      <x:c r="A329" s="25" t="str">
        <x:v>Archived Nullable Columns</x:v>
      </x:c>
      <x:c r="B329" s="25" t="str">
        <x:v>_MissionControl_Measures</x:v>
      </x:c>
      <x:c r="C329" s="25" t="str">
        <x:v>COUNTROWS ( FILTER ( 'cfg_archived_schema_live', UPPER ( COALESCE ( 'cfg_archived_schema_live'[is_nullable], "" ) ) IN { "TRUE", "YES", "Y", "1" } ) )</x:v>
      </x:c>
      <x:c r="D329" s="25" t="str">
        <x:v>monitoring.cfg_archived_schema_live</x:v>
      </x:c>
      <x:c r="E329" s="25" t="str">
        <x:v>No direct visible binding verified</x:v>
      </x:c>
      <x:c r="F329" s="25" t="str">
        <x:v>No requirement mapping asserted</x:v>
      </x:c>
      <x:c r="G329" s="25" t="str">
        <x:v>01a_cfg_schema_capture_archive.py:107</x:v>
      </x:c>
      <x:c r="H329" s="25" t="str">
        <x:v>Saved definition only; includes display/selector helpers. Not an accepted business KPI or proof of runtime/DR/SLA.</x:v>
      </x:c>
      <x:c r="I329" s="25" t="str">
        <x:v>SM WMPP Mission Control Import/SM WMPP Mission Control.SemanticModel/definition/tables/_MissionControl_Measures.tmdl:554
Full code: KPI_CALCULATION_TRACEABILITY.md</x:v>
      </x:c>
    </x:row>
    <x:row r="330" ht="59" customHeight="1">
      <x:c r="A330" s="25" t="str">
        <x:v>Archived Schema Data Types</x:v>
      </x:c>
      <x:c r="B330" s="25" t="str">
        <x:v>_MissionControl_Measures</x:v>
      </x:c>
      <x:c r="C330" s="25" t="str">
        <x:v>DISTINCTCOUNT ( 'cfg_archived_schema_live'[data_type] )</x:v>
      </x:c>
      <x:c r="D330" s="25" t="str">
        <x:v>monitoring.cfg_archived_schema_live</x:v>
      </x:c>
      <x:c r="E330" s="25" t="str">
        <x:v>No direct visible binding verified</x:v>
      </x:c>
      <x:c r="F330" s="25" t="str">
        <x:v>No requirement mapping asserted</x:v>
      </x:c>
      <x:c r="G330" s="25" t="str">
        <x:v>01a_cfg_schema_capture_archive.py:107</x:v>
      </x:c>
      <x:c r="H330" s="25" t="str">
        <x:v>Saved definition only; includes display/selector helpers. Not an accepted business KPI or proof of runtime/DR/SLA.</x:v>
      </x:c>
      <x:c r="I330" s="25" t="str">
        <x:v>SM WMPP Mission Control Import/SM WMPP Mission Control.SemanticModel/definition/tables/_MissionControl_Measures.tmdl:563
Full code: KPI_CALCULATION_TRACEABILITY.md</x:v>
      </x:c>
    </x:row>
    <x:row r="331" ht="72" customHeight="1">
      <x:c r="A331" s="25" t="str">
        <x:v>Reload Requests</x:v>
      </x:c>
      <x:c r="B331" s="25" t="str">
        <x:v>_MissionControl_Measures</x:v>
      </x:c>
      <x:c r="C331" s="25" t="str">
        <x:v>[Archive ZIP Batches Awaiting Reload] + [Archive Files Awaiting Reload] + [Archive Table Exports Awaiting Reload] + [Gold Snapshots Awaiting Replay]</x:v>
      </x:c>
      <x:c r="D331" s="25" t="str">
        <x:v>monitoring.cfg_archive_file_load; monitoring.cfg_archive_table_export_load; monitoring.cfg_archive_zip_load; monitoring.cfg_month_end_gold_run</x:v>
      </x:c>
      <x:c r="E331" s="25" t="str">
        <x:v>No direct visible binding verified</x:v>
      </x:c>
      <x:c r="F331" s="25" t="str">
        <x:v>R87</x:v>
      </x:c>
      <x:c r="G331" s="25" t="str">
        <x:v>00_archive_load.py:653; 00_archive_load.py:798; 02a_archive_silver.py:611</x:v>
      </x:c>
      <x:c r="H331" s="25" t="str">
        <x:v>Saved definition only; includes display/selector helpers. Not an accepted business KPI or proof of runtime/DR/SLA.</x:v>
      </x:c>
      <x:c r="I331" s="25" t="str">
        <x:v>SM WMPP Mission Control Import/SM WMPP Mission Control.SemanticModel/definition/tables/_MissionControl_Measures.tmdl:572
Full code: KPI_CALCULATION_TRACEABILITY.md</x:v>
      </x:c>
    </x:row>
    <x:row r="332" ht="85" customHeight="1">
      <x:c r="A332" s="25" t="str">
        <x:v>Control Failures</x:v>
      </x:c>
      <x:c r="B332" s="25" t="str">
        <x:v>_MissionControl_Measures</x:v>
      </x:c>
      <x:c r="C332" s="25" t="str">
        <x:v>[Failed Pipeline Runs] + [Failed Archive ZIP Batches] + [Archive File Failures] + [Failed Archive Table Exports] + [Failed Gold Snapshots]</x:v>
      </x:c>
      <x:c r="D332" s="25" t="str">
        <x:v>monitoring.cfg_archive_file_load; monitoring.cfg_archive_table_export_load; monitoring.cfg_archive_zip_load; monitoring.cfg_month_end_gold_run; monitoring.cfg_pipeline_run</x:v>
      </x:c>
      <x:c r="E332" s="25" t="str">
        <x:v>No direct visible binding verified</x:v>
      </x:c>
      <x:c r="F332" s="25" t="str">
        <x:v>No requirement mapping asserted</x:v>
      </x:c>
      <x:c r="G332" s="25" t="str">
        <x:v>03_silver_business_rules.py:119; 00_archive_load.py:653; 00_archive_load.py:798; 02a_archive_silver.py:611</x:v>
      </x:c>
      <x:c r="H332" s="25" t="str">
        <x:v>Saved definition only; includes display/selector helpers. Not an accepted business KPI or proof of runtime/DR/SLA.</x:v>
      </x:c>
      <x:c r="I332" s="25" t="str">
        <x:v>SM WMPP Mission Control Import/SM WMPP Mission Control.SemanticModel/definition/tables/_MissionControl_Measures.tmdl:581
Full code: KPI_CALCULATION_TRACEABILITY.md</x:v>
      </x:c>
    </x:row>
    <x:row r="333" ht="98" customHeight="1">
      <x:c r="A333" s="25" t="str">
        <x:v>Operational Exception Count</x:v>
      </x:c>
      <x:c r="B333" s="25" t="str">
        <x:v>_MissionControl_Measures</x:v>
      </x:c>
      <x:c r="C333" s="25" t="str">
        <x:v>[Control Failures] + [DQ Failed Checks]</x:v>
      </x:c>
      <x:c r="D333" s="25" t="str">
        <x:v>monitoring.cfg_archive_file_load; monitoring.cfg_archive_table_export_load; monitoring.cfg_archive_zip_load; monitoring.cfg_data_quality_result; monitoring.cfg_month_end_gold_run; monitoring.cfg_pipeline_run</x:v>
      </x:c>
      <x:c r="E333" s="25" t="str">
        <x:v>No direct visible binding verified</x:v>
      </x:c>
      <x:c r="F333" s="25" t="str">
        <x:v>R85; R87</x:v>
      </x:c>
      <x:c r="G333" s="25" t="str">
        <x:v>03_silver_business_rules.py:119; 00_archive_load.py:653; 00_archive_load.py:798; 02a_archive_silver.py:611; 03_silver_business_rules.py:208</x:v>
      </x:c>
      <x:c r="H333" s="25" t="str">
        <x:v>Saved definition only; includes display/selector helpers. Not an accepted business KPI or proof of runtime/DR/SLA.</x:v>
      </x:c>
      <x:c r="I333" s="25" t="str">
        <x:v>SM WMPP Mission Control Import/SM WMPP Mission Control.SemanticModel/definition/tables/_MissionControl_Measures.tmdl:590
Full code: KPI_CALCULATION_TRACEABILITY.md</x:v>
      </x:c>
    </x:row>
    <x:row r="334" ht="59" customHeight="1">
      <x:c r="A334" s="25" t="str">
        <x:v>Dashboard Last Refreshed</x:v>
      </x:c>
      <x:c r="B334" s="25" t="str">
        <x:v>_MissionControl_Measures</x:v>
      </x:c>
      <x:c r="C334" s="25" t="str">
        <x:v>FORMAT ( UTCNOW (), "dd mmm yyyy HH:mm" )</x:v>
      </x:c>
      <x:c r="D334" s="25" t="str"/>
      <x:c r="E334" s="25" t="str">
        <x:v>No direct visible binding verified</x:v>
      </x:c>
      <x:c r="F334" s="25" t="str">
        <x:v>No requirement mapping asserted</x:v>
      </x:c>
      <x:c r="G334" s="25" t="str">
        <x:v>Local semantic calculation; inspect dependencies</x:v>
      </x:c>
      <x:c r="H334" s="25" t="str">
        <x:v>Saved definition only; includes display/selector helpers. Not an accepted business KPI or proof of runtime/DR/SLA.</x:v>
      </x:c>
      <x:c r="I334" s="25" t="str">
        <x:v>SM WMPP Mission Control Import/SM WMPP Mission Control.SemanticModel/definition/tables/_MissionControl_Measures.tmdl:599
Full code: KPI_CALCULATION_TRACEABILITY.md</x:v>
      </x:c>
    </x:row>
    <x:row r="335" ht="59" customHeight="1">
      <x:c r="A335" s="25" t="str">
        <x:v>Job Runs</x:v>
      </x:c>
      <x:c r="B335" s="25" t="str">
        <x:v>_MissionControl_Measures</x:v>
      </x:c>
      <x:c r="C335" s="25" t="str">
        <x:v>DISTINCTCOUNT ( 'rpt_job_run_summary'[job_run_id] )</x:v>
      </x:c>
      <x:c r="D335" s="25" t="str">
        <x:v>monitoring.rpt_job_run_summary</x:v>
      </x:c>
      <x:c r="E335" s="25" t="str">
        <x:v>No direct visible binding verified</x:v>
      </x:c>
      <x:c r="F335" s="25" t="str">
        <x:v>R20</x:v>
      </x:c>
      <x:c r="G335" s="25" t="str">
        <x:v>06_reports.py:141</x:v>
      </x:c>
      <x:c r="H335" s="25" t="str">
        <x:v>Saved definition only; includes display/selector helpers. Not an accepted business KPI or proof of runtime/DR/SLA.</x:v>
      </x:c>
      <x:c r="I335" s="25" t="str">
        <x:v>SM WMPP Mission Control Import/SM WMPP Mission Control.SemanticModel/definition/tables/_MissionControl_Measures.tmdl:607
Full code: KPI_CALCULATION_TRACEABILITY.md</x:v>
      </x:c>
    </x:row>
    <x:row r="336" ht="59" customHeight="1">
      <x:c r="A336" s="25" t="str">
        <x:v>Successful Job Runs</x:v>
      </x:c>
      <x:c r="B336" s="25" t="str">
        <x:v>_MissionControl_Measures</x:v>
      </x:c>
      <x:c r="C336" s="25" t="str">
        <x:v>CALCULATE ( [Job Runs], FILTER ( 'rpt_job_run_summary', UPPER ( COALESCE ( 'rpt_job_run_summary'[status], "" ) ) IN { "SUCCESS", "SUCCEEDED" } ) )</x:v>
      </x:c>
      <x:c r="D336" s="25" t="str">
        <x:v>monitoring.rpt_job_run_summary</x:v>
      </x:c>
      <x:c r="E336" s="25" t="str">
        <x:v>No direct visible binding verified</x:v>
      </x:c>
      <x:c r="F336" s="25" t="str">
        <x:v>No requirement mapping asserted</x:v>
      </x:c>
      <x:c r="G336" s="25" t="str">
        <x:v>06_reports.py:141</x:v>
      </x:c>
      <x:c r="H336" s="25" t="str">
        <x:v>Saved definition only; includes display/selector helpers. Not an accepted business KPI or proof of runtime/DR/SLA.</x:v>
      </x:c>
      <x:c r="I336" s="25" t="str">
        <x:v>SM WMPP Mission Control Import/SM WMPP Mission Control.SemanticModel/definition/tables/_MissionControl_Measures.tmdl:616
Full code: KPI_CALCULATION_TRACEABILITY.md</x:v>
      </x:c>
    </x:row>
    <x:row r="337" ht="72" customHeight="1">
      <x:c r="A337" s="25" t="str">
        <x:v>Failed Job Runs</x:v>
      </x:c>
      <x:c r="B337" s="25" t="str">
        <x:v>_MissionControl_Measures</x:v>
      </x:c>
      <x:c r="C337" s="25" t="str">
        <x:v>CALCULATE ( [Job Runs], FILTER ( 'rpt_job_run_summary', UPPER ( COALESCE ( 'rpt_job_run_summary'[status], "" ) ) IN { "FAILED", "FAIL", "ERROR" } ) )</x:v>
      </x:c>
      <x:c r="D337" s="25" t="str">
        <x:v>monitoring.rpt_job_run_summary</x:v>
      </x:c>
      <x:c r="E337" s="25" t="str">
        <x:v>No direct visible binding verified</x:v>
      </x:c>
      <x:c r="F337" s="25" t="str">
        <x:v>R20</x:v>
      </x:c>
      <x:c r="G337" s="25" t="str">
        <x:v>06_reports.py:141</x:v>
      </x:c>
      <x:c r="H337" s="25" t="str">
        <x:v>Saved definition only; includes display/selector helpers. Not an accepted business KPI or proof of runtime/DR/SLA.</x:v>
      </x:c>
      <x:c r="I337" s="25" t="str">
        <x:v>SM WMPP Mission Control Import/SM WMPP Mission Control.SemanticModel/definition/tables/_MissionControl_Measures.tmdl:625
Full code: KPI_CALCULATION_TRACEABILITY.md</x:v>
      </x:c>
    </x:row>
    <x:row r="338" ht="59" customHeight="1">
      <x:c r="A338" s="25" t="str">
        <x:v>Job Success Rate</x:v>
      </x:c>
      <x:c r="B338" s="25" t="str">
        <x:v>_MissionControl_Measures</x:v>
      </x:c>
      <x:c r="C338" s="25" t="str">
        <x:v>DIVIDE ( [Successful Job Runs], [Successful Job Runs] + [Failed Job Runs] )</x:v>
      </x:c>
      <x:c r="D338" s="25" t="str">
        <x:v>monitoring.rpt_job_run_summary</x:v>
      </x:c>
      <x:c r="E338" s="25" t="str">
        <x:v>No direct visible binding verified</x:v>
      </x:c>
      <x:c r="F338" s="25" t="str">
        <x:v>R75</x:v>
      </x:c>
      <x:c r="G338" s="25" t="str">
        <x:v>06_reports.py:141</x:v>
      </x:c>
      <x:c r="H338" s="25" t="str">
        <x:v>Saved definition only; includes display/selector helpers. Not an accepted business KPI or proof of runtime/DR/SLA.</x:v>
      </x:c>
      <x:c r="I338" s="25" t="str">
        <x:v>SM WMPP Mission Control Import/SM WMPP Mission Control.SemanticModel/definition/tables/_MissionControl_Measures.tmdl:634
Full code: KPI_CALCULATION_TRACEABILITY.md</x:v>
      </x:c>
    </x:row>
    <x:row r="339" ht="59" customHeight="1">
      <x:c r="A339" s="25" t="str">
        <x:v>Latest Job Run Started</x:v>
      </x:c>
      <x:c r="B339" s="25" t="str">
        <x:v>_MissionControl_Measures</x:v>
      </x:c>
      <x:c r="C339" s="25" t="str">
        <x:v>MAXX ( FILTER ( ALLSELECTED ( 'rpt_job_run_summary' ), NOT ISBLANK ( 'rpt_job_run_summary'[started_at] ) ), 'rpt_job_run_summary'[started_at] )</x:v>
      </x:c>
      <x:c r="D339" s="25" t="str">
        <x:v>monitoring.rpt_job_run_summary</x:v>
      </x:c>
      <x:c r="E339" s="25" t="str">
        <x:v>No direct visible binding verified</x:v>
      </x:c>
      <x:c r="F339" s="25" t="str">
        <x:v>No requirement mapping asserted</x:v>
      </x:c>
      <x:c r="G339" s="25" t="str">
        <x:v>06_reports.py:141</x:v>
      </x:c>
      <x:c r="H339" s="25" t="str">
        <x:v>Saved definition only; includes display/selector helpers. Not an accepted business KPI or proof of runtime/DR/SLA.</x:v>
      </x:c>
      <x:c r="I339" s="25" t="str">
        <x:v>SM WMPP Mission Control Import/SM WMPP Mission Control.SemanticModel/definition/tables/_MissionControl_Measures.tmdl:643
Full code: KPI_CALCULATION_TRACEABILITY.md</x:v>
      </x:c>
    </x:row>
    <x:row r="340" ht="189" customHeight="1">
      <x:c r="A340" s="25" t="str">
        <x:v>Latest Job Run ID</x:v>
      </x:c>
      <x:c r="B340" s="25" t="str">
        <x:v>_MissionControl_Measures</x:v>
      </x:c>
      <x:c r="C340" s="25" t="str">
        <x:v>VAR latest_job =
				TOPN (
					1,
					FILTER ( ALLSELECTED ( 'rpt_job_run_summary' ), NOT ISBLANK ( 'rpt_job_run_summary'[started_at] ) ),
					'rpt_job_run_summary'[started_at], DESC,
					'rpt_job_run_summary'[job_run_id], DESC
				)
			RETURN
				MAXX ( latest_job, 'rpt_job_run_summary'[job_run_id] )</x:v>
      </x:c>
      <x:c r="D340" s="25" t="str">
        <x:v>monitoring.rpt_job_run_summary</x:v>
      </x:c>
      <x:c r="E340" s="25" t="str">
        <x:v>No direct visible binding verified</x:v>
      </x:c>
      <x:c r="F340" s="25" t="str">
        <x:v>No requirement mapping asserted</x:v>
      </x:c>
      <x:c r="G340" s="25" t="str">
        <x:v>06_reports.py:141</x:v>
      </x:c>
      <x:c r="H340" s="25" t="str">
        <x:v>Saved definition only; includes display/selector helpers. Not an accepted business KPI or proof of runtime/DR/SLA.</x:v>
      </x:c>
      <x:c r="I340" s="25" t="str">
        <x:v>SM WMPP Mission Control Import/SM WMPP Mission Control.SemanticModel/definition/tables/_MissionControl_Measures.tmdl:652
Full code: KPI_CALCULATION_TRACEABILITY.md</x:v>
      </x:c>
    </x:row>
    <x:row r="341" ht="59" customHeight="1">
      <x:c r="A341" s="25" t="str">
        <x:v>Selected or Latest Job Run ID</x:v>
      </x:c>
      <x:c r="B341" s="25" t="str">
        <x:v>_MissionControl_Measures</x:v>
      </x:c>
      <x:c r="C341" s="25" t="str">
        <x:v>COALESCE ( SELECTEDVALUE ( 'rpt_job_run_summary'[job_run_id] ), [Latest Job Run ID] )</x:v>
      </x:c>
      <x:c r="D341" s="25" t="str">
        <x:v>monitoring.rpt_job_run_summary</x:v>
      </x:c>
      <x:c r="E341" s="25" t="str">
        <x:v>No direct visible binding verified</x:v>
      </x:c>
      <x:c r="F341" s="25" t="str">
        <x:v>No requirement mapping asserted</x:v>
      </x:c>
      <x:c r="G341" s="25" t="str">
        <x:v>06_reports.py:141</x:v>
      </x:c>
      <x:c r="H341" s="25" t="str">
        <x:v>Saved definition only; includes display/selector helpers. Not an accepted business KPI or proof of runtime/DR/SLA.</x:v>
      </x:c>
      <x:c r="I341" s="25" t="str">
        <x:v>SM WMPP Mission Control Import/SM WMPP Mission Control.SemanticModel/definition/tables/_MissionControl_Measures.tmdl:668
Full code: KPI_CALCULATION_TRACEABILITY.md</x:v>
      </x:c>
    </x:row>
    <x:row r="342" ht="124" customHeight="1">
      <x:c r="A342" s="25" t="str">
        <x:v>Selected or Latest Job Status</x:v>
      </x:c>
      <x:c r="B342" s="25" t="str">
        <x:v>_MissionControl_Measures</x:v>
      </x:c>
      <x:c r="C342" s="25" t="str">
        <x:v>VAR selected_job_run_id = [Selected or Latest Job Run ID]
			RETURN
				CALCULATE (
					SELECTEDVALUE ( 'rpt_job_run_summary'[status] ),
					'rpt_job_run_summary'[job_run_id] = selected_job_run_id
				)</x:v>
      </x:c>
      <x:c r="D342" s="25" t="str">
        <x:v>monitoring.rpt_job_run_summary</x:v>
      </x:c>
      <x:c r="E342" s="25" t="str">
        <x:v>No direct visible binding verified</x:v>
      </x:c>
      <x:c r="F342" s="25" t="str">
        <x:v>No requirement mapping asserted</x:v>
      </x:c>
      <x:c r="G342" s="25" t="str">
        <x:v>06_reports.py:141</x:v>
      </x:c>
      <x:c r="H342" s="25" t="str">
        <x:v>Saved definition only; includes display/selector helpers. Not an accepted business KPI or proof of runtime/DR/SLA.</x:v>
      </x:c>
      <x:c r="I342" s="25" t="str">
        <x:v>SM WMPP Mission Control Import/SM WMPP Mission Control.SemanticModel/definition/tables/_MissionControl_Measures.tmdl:676
Full code: KPI_CALCULATION_TRACEABILITY.md</x:v>
      </x:c>
    </x:row>
    <x:row r="343" ht="124" customHeight="1">
      <x:c r="A343" s="25" t="str">
        <x:v>Selected or Latest Job Error</x:v>
      </x:c>
      <x:c r="B343" s="25" t="str">
        <x:v>_MissionControl_Measures</x:v>
      </x:c>
      <x:c r="C343" s="25" t="str">
        <x:v>VAR selected_job_run_id = [Selected or Latest Job Run ID]
			RETURN
				CALCULATE (
					SELECTEDVALUE ( 'rpt_job_run_summary'[error_message] ),
					'rpt_job_run_summary'[job_run_id] = selected_job_run_id
				)</x:v>
      </x:c>
      <x:c r="D343" s="25" t="str">
        <x:v>monitoring.rpt_job_run_summary</x:v>
      </x:c>
      <x:c r="E343" s="25" t="str">
        <x:v>No direct visible binding verified</x:v>
      </x:c>
      <x:c r="F343" s="25" t="str">
        <x:v>No requirement mapping asserted</x:v>
      </x:c>
      <x:c r="G343" s="25" t="str">
        <x:v>06_reports.py:141</x:v>
      </x:c>
      <x:c r="H343" s="25" t="str">
        <x:v>Saved definition only; includes display/selector helpers. Not an accepted business KPI or proof of runtime/DR/SLA.</x:v>
      </x:c>
      <x:c r="I343" s="25" t="str">
        <x:v>SM WMPP Mission Control Import/SM WMPP Mission Control.SemanticModel/definition/tables/_MissionControl_Measures.tmdl:689
Full code: KPI_CALCULATION_TRACEABILITY.md</x:v>
      </x:c>
    </x:row>
    <x:row r="344" ht="137" customHeight="1">
      <x:c r="A344" s="25" t="str">
        <x:v>Selected or Latest Job Duration (min)</x:v>
      </x:c>
      <x:c r="B344" s="25" t="str">
        <x:v>_MissionControl_Measures</x:v>
      </x:c>
      <x:c r="C344" s="25" t="str">
        <x:v>VAR selected_job_run_id = [Selected or Latest Job Run ID]
			RETURN
				CALCULATE (
					DIVIDE ( MAX ( 'rpt_job_run_summary'[job_duration_seconds] ), 60.0 ),
					'rpt_job_run_summary'[job_run_id] = selected_job_run_id
				)</x:v>
      </x:c>
      <x:c r="D344" s="25" t="str">
        <x:v>monitoring.rpt_job_run_summary</x:v>
      </x:c>
      <x:c r="E344" s="25" t="str">
        <x:v>No direct visible binding verified</x:v>
      </x:c>
      <x:c r="F344" s="25" t="str">
        <x:v>No requirement mapping asserted</x:v>
      </x:c>
      <x:c r="G344" s="25" t="str">
        <x:v>06_reports.py:141</x:v>
      </x:c>
      <x:c r="H344" s="25" t="str">
        <x:v>Saved definition only; includes display/selector helpers. Not an accepted business KPI or proof of runtime/DR/SLA.</x:v>
      </x:c>
      <x:c r="I344" s="25" t="str">
        <x:v>SM WMPP Mission Control Import/SM WMPP Mission Control.SemanticModel/definition/tables/_MissionControl_Measures.tmdl:702
Full code: KPI_CALCULATION_TRACEABILITY.md</x:v>
      </x:c>
    </x:row>
    <x:row r="345" ht="59" customHeight="1">
      <x:c r="A345" s="25" t="str">
        <x:v>Job Steps</x:v>
      </x:c>
      <x:c r="B345" s="25" t="str">
        <x:v>_MissionControl_Measures</x:v>
      </x:c>
      <x:c r="C345" s="25" t="str">
        <x:v>COUNTROWS ( 'rpt_job_step_timing' )</x:v>
      </x:c>
      <x:c r="D345" s="25" t="str">
        <x:v>monitoring.rpt_job_step_timing</x:v>
      </x:c>
      <x:c r="E345" s="25" t="str">
        <x:v>No direct visible binding verified</x:v>
      </x:c>
      <x:c r="F345" s="25" t="str">
        <x:v>No requirement mapping asserted</x:v>
      </x:c>
      <x:c r="G345" s="25" t="str">
        <x:v>06_reports.py:45</x:v>
      </x:c>
      <x:c r="H345" s="25" t="str">
        <x:v>Saved definition only; includes display/selector helpers. Not an accepted business KPI or proof of runtime/DR/SLA.</x:v>
      </x:c>
      <x:c r="I345" s="25" t="str">
        <x:v>SM WMPP Mission Control Import/SM WMPP Mission Control.SemanticModel/definition/tables/_MissionControl_Measures.tmdl:716
Full code: KPI_CALCULATION_TRACEABILITY.md</x:v>
      </x:c>
    </x:row>
    <x:row r="346" ht="59" customHeight="1">
      <x:c r="A346" s="25" t="str">
        <x:v>Successful Job Steps</x:v>
      </x:c>
      <x:c r="B346" s="25" t="str">
        <x:v>_MissionControl_Measures</x:v>
      </x:c>
      <x:c r="C346" s="25" t="str">
        <x:v>CALCULATE ( [Job Steps], FILTER ( 'rpt_job_step_timing', UPPER ( COALESCE ( 'rpt_job_step_timing'[status], "" ) ) IN { "SUCCESS", "SUCCEEDED" } ) )</x:v>
      </x:c>
      <x:c r="D346" s="25" t="str">
        <x:v>monitoring.rpt_job_step_timing</x:v>
      </x:c>
      <x:c r="E346" s="25" t="str">
        <x:v>No direct visible binding verified</x:v>
      </x:c>
      <x:c r="F346" s="25" t="str">
        <x:v>No requirement mapping asserted</x:v>
      </x:c>
      <x:c r="G346" s="25" t="str">
        <x:v>06_reports.py:45</x:v>
      </x:c>
      <x:c r="H346" s="25" t="str">
        <x:v>Saved definition only; includes display/selector helpers. Not an accepted business KPI or proof of runtime/DR/SLA.</x:v>
      </x:c>
      <x:c r="I346" s="25" t="str">
        <x:v>SM WMPP Mission Control Import/SM WMPP Mission Control.SemanticModel/definition/tables/_MissionControl_Measures.tmdl:725
Full code: KPI_CALCULATION_TRACEABILITY.md</x:v>
      </x:c>
    </x:row>
    <x:row r="347" ht="72" customHeight="1">
      <x:c r="A347" s="25" t="str">
        <x:v>Failed Job Steps</x:v>
      </x:c>
      <x:c r="B347" s="25" t="str">
        <x:v>_MissionControl_Measures</x:v>
      </x:c>
      <x:c r="C347" s="25" t="str">
        <x:v>CALCULATE ( [Job Steps], FILTER ( 'rpt_job_step_timing', UPPER ( COALESCE ( 'rpt_job_step_timing'[status], "" ) ) IN { "FAILED", "FAIL", "ERROR" } ) )</x:v>
      </x:c>
      <x:c r="D347" s="25" t="str">
        <x:v>monitoring.rpt_job_step_timing</x:v>
      </x:c>
      <x:c r="E347" s="25" t="str">
        <x:v>No direct visible binding verified</x:v>
      </x:c>
      <x:c r="F347" s="25" t="str">
        <x:v>No requirement mapping asserted</x:v>
      </x:c>
      <x:c r="G347" s="25" t="str">
        <x:v>06_reports.py:45</x:v>
      </x:c>
      <x:c r="H347" s="25" t="str">
        <x:v>Saved definition only; includes display/selector helpers. Not an accepted business KPI or proof of runtime/DR/SLA.</x:v>
      </x:c>
      <x:c r="I347" s="25" t="str">
        <x:v>SM WMPP Mission Control Import/SM WMPP Mission Control.SemanticModel/definition/tables/_MissionControl_Measures.tmdl:734
Full code: KPI_CALCULATION_TRACEABILITY.md</x:v>
      </x:c>
    </x:row>
    <x:row r="348" ht="59" customHeight="1">
      <x:c r="A348" s="25" t="str">
        <x:v>Job Steps With Error</x:v>
      </x:c>
      <x:c r="B348" s="25" t="str">
        <x:v>_MissionControl_Measures</x:v>
      </x:c>
      <x:c r="C348" s="25" t="str">
        <x:v>COUNTROWS ( FILTER ( 'rpt_job_step_timing', NOT ISBLANK ( 'rpt_job_step_timing'[error_message] ) &amp;&amp; 'rpt_job_step_timing'[error_message] &lt;&gt; "" ) )</x:v>
      </x:c>
      <x:c r="D348" s="25" t="str">
        <x:v>monitoring.rpt_job_step_timing</x:v>
      </x:c>
      <x:c r="E348" s="25" t="str">
        <x:v>No direct visible binding verified</x:v>
      </x:c>
      <x:c r="F348" s="25" t="str">
        <x:v>No requirement mapping asserted</x:v>
      </x:c>
      <x:c r="G348" s="25" t="str">
        <x:v>06_reports.py:45</x:v>
      </x:c>
      <x:c r="H348" s="25" t="str">
        <x:v>Saved definition only; includes display/selector helpers. Not an accepted business KPI or proof of runtime/DR/SLA.</x:v>
      </x:c>
      <x:c r="I348" s="25" t="str">
        <x:v>SM WMPP Mission Control Import/SM WMPP Mission Control.SemanticModel/definition/tables/_MissionControl_Measures.tmdl:743
Full code: KPI_CALCULATION_TRACEABILITY.md</x:v>
      </x:c>
    </x:row>
    <x:row r="349" ht="124" customHeight="1">
      <x:c r="A349" s="25" t="str">
        <x:v>Selected or Latest Job Steps</x:v>
      </x:c>
      <x:c r="B349" s="25" t="str">
        <x:v>_MissionControl_Measures</x:v>
      </x:c>
      <x:c r="C349" s="25" t="str">
        <x:v>VAR selected_job_run_id = [Selected or Latest Job Run ID]
			RETURN
				CALCULATE (
					[Job Steps],
					KEEPFILTERS ( 'rpt_job_step_timing'[job_run_id] = selected_job_run_id )
				)</x:v>
      </x:c>
      <x:c r="D349" s="25" t="str">
        <x:v>monitoring.rpt_job_run_summary; monitoring.rpt_job_step_timing</x:v>
      </x:c>
      <x:c r="E349" s="25" t="str">
        <x:v>No direct visible binding verified</x:v>
      </x:c>
      <x:c r="F349" s="25" t="str">
        <x:v>No requirement mapping asserted</x:v>
      </x:c>
      <x:c r="G349" s="25" t="str">
        <x:v>06_reports.py:45; 06_reports.py:141</x:v>
      </x:c>
      <x:c r="H349" s="25" t="str">
        <x:v>Saved definition only; includes display/selector helpers. Not an accepted business KPI or proof of runtime/DR/SLA.</x:v>
      </x:c>
      <x:c r="I349" s="25" t="str">
        <x:v>SM WMPP Mission Control Import/SM WMPP Mission Control.SemanticModel/definition/tables/_MissionControl_Measures.tmdl:752
Full code: KPI_CALCULATION_TRACEABILITY.md</x:v>
      </x:c>
    </x:row>
    <x:row r="350" ht="124" customHeight="1">
      <x:c r="A350" s="25" t="str">
        <x:v>Selected or Latest Failed Steps</x:v>
      </x:c>
      <x:c r="B350" s="25" t="str">
        <x:v>_MissionControl_Measures</x:v>
      </x:c>
      <x:c r="C350" s="25" t="str">
        <x:v>VAR selected_job_run_id = [Selected or Latest Job Run ID]
			RETURN
				CALCULATE (
					[Failed Job Steps],
					KEEPFILTERS ( 'rpt_job_step_timing'[job_run_id] = selected_job_run_id )
				)</x:v>
      </x:c>
      <x:c r="D350" s="25" t="str">
        <x:v>monitoring.rpt_job_run_summary; monitoring.rpt_job_step_timing</x:v>
      </x:c>
      <x:c r="E350" s="25" t="str">
        <x:v>No direct visible binding verified</x:v>
      </x:c>
      <x:c r="F350" s="25" t="str">
        <x:v>No requirement mapping asserted</x:v>
      </x:c>
      <x:c r="G350" s="25" t="str">
        <x:v>06_reports.py:45; 06_reports.py:141</x:v>
      </x:c>
      <x:c r="H350" s="25" t="str">
        <x:v>Saved definition only; includes display/selector helpers. Not an accepted business KPI or proof of runtime/DR/SLA.</x:v>
      </x:c>
      <x:c r="I350" s="25" t="str">
        <x:v>SM WMPP Mission Control Import/SM WMPP Mission Control.SemanticModel/definition/tables/_MissionControl_Measures.tmdl:766
Full code: KPI_CALCULATION_TRACEABILITY.md</x:v>
      </x:c>
    </x:row>
    <x:row r="351" ht="59" customHeight="1">
      <x:c r="A351" s="25" t="str">
        <x:v>Total Job Step Duration (min)</x:v>
      </x:c>
      <x:c r="B351" s="25" t="str">
        <x:v>_MissionControl_Measures</x:v>
      </x:c>
      <x:c r="C351" s="25" t="str">
        <x:v>DIVIDE ( SUM ( 'rpt_job_step_timing'[step_duration_seconds] ), 60.0 )</x:v>
      </x:c>
      <x:c r="D351" s="25" t="str">
        <x:v>monitoring.rpt_job_step_timing</x:v>
      </x:c>
      <x:c r="E351" s="25" t="str">
        <x:v>No direct visible binding verified</x:v>
      </x:c>
      <x:c r="F351" s="25" t="str">
        <x:v>No requirement mapping asserted</x:v>
      </x:c>
      <x:c r="G351" s="25" t="str">
        <x:v>06_reports.py:45</x:v>
      </x:c>
      <x:c r="H351" s="25" t="str">
        <x:v>Saved definition only; includes display/selector helpers. Not an accepted business KPI or proof of runtime/DR/SLA.</x:v>
      </x:c>
      <x:c r="I351" s="25" t="str">
        <x:v>SM WMPP Mission Control Import/SM WMPP Mission Control.SemanticModel/definition/tables/_MissionControl_Measures.tmdl:780
Full code: KPI_CALCULATION_TRACEABILITY.md</x:v>
      </x:c>
    </x:row>
    <x:row r="352" ht="59" customHeight="1">
      <x:c r="A352" s="25" t="str">
        <x:v>Longest Job Step Duration (min)</x:v>
      </x:c>
      <x:c r="B352" s="25" t="str">
        <x:v>_MissionControl_Measures</x:v>
      </x:c>
      <x:c r="C352" s="25" t="str">
        <x:v>DIVIDE ( MAX ( 'rpt_job_step_timing'[step_duration_seconds] ), 60.0 )</x:v>
      </x:c>
      <x:c r="D352" s="25" t="str">
        <x:v>monitoring.rpt_job_step_timing</x:v>
      </x:c>
      <x:c r="E352" s="25" t="str">
        <x:v>No direct visible binding verified</x:v>
      </x:c>
      <x:c r="F352" s="25" t="str">
        <x:v>No requirement mapping asserted</x:v>
      </x:c>
      <x:c r="G352" s="25" t="str">
        <x:v>06_reports.py:45</x:v>
      </x:c>
      <x:c r="H352" s="25" t="str">
        <x:v>Saved definition only; includes display/selector helpers. Not an accepted business KPI or proof of runtime/DR/SLA.</x:v>
      </x:c>
      <x:c r="I352" s="25" t="str">
        <x:v>SM WMPP Mission Control Import/SM WMPP Mission Control.SemanticModel/definition/tables/_MissionControl_Measures.tmdl:789
Full code: KPI_CALCULATION_TRACEABILITY.md</x:v>
      </x:c>
    </x:row>
    <x:row r="353" ht="189" customHeight="1">
      <x:c r="A353" s="25" t="str">
        <x:v>Show Step for Selected or Latest Job Run</x:v>
      </x:c>
      <x:c r="B353" s="25" t="str">
        <x:v>_MissionControl_Measures</x:v>
      </x:c>
      <x:c r="C353" s="25" t="str">
        <x:v>VAR selected_job_run_id = [Selected or Latest Job Run ID]
			VAR matching_steps =
				CALCULATE (
					COUNTROWS ( 'rpt_job_step_timing' ),
					KEEPFILTERS ( 'rpt_job_step_timing'[job_run_id] = selected_job_run_id )
				)
			RETURN
				IF ( NOT ISBLANK ( selected_job_run_id ) &amp;&amp; matching_steps &gt; 0, 1, 0 )</x:v>
      </x:c>
      <x:c r="D353" s="25" t="str">
        <x:v>monitoring.rpt_job_run_summary; monitoring.rpt_job_step_timing</x:v>
      </x:c>
      <x:c r="E353" s="25" t="str">
        <x:v>No direct visible binding verified</x:v>
      </x:c>
      <x:c r="F353" s="25" t="str">
        <x:v>No requirement mapping asserted</x:v>
      </x:c>
      <x:c r="G353" s="25" t="str">
        <x:v>06_reports.py:45; 06_reports.py:141</x:v>
      </x:c>
      <x:c r="H353" s="25" t="str">
        <x:v>Saved definition only; includes display/selector helpers. Not an accepted business KPI or proof of runtime/DR/SLA.</x:v>
      </x:c>
      <x:c r="I353" s="25" t="str">
        <x:v>SM WMPP Mission Control Import/SM WMPP Mission Control.SemanticModel/definition/tables/_MissionControl_Measures.tmdl:798
Full code: KPI_CALCULATION_TRACEABILITY.md</x:v>
      </x:c>
    </x:row>
    <x:row r="354" ht="176" customHeight="1">
      <x:c r="A354" s="25" t="str">
        <x:v>Selected Step Error Detail</x:v>
      </x:c>
      <x:c r="B354" s="25" t="str">
        <x:v>_MissionControl_Measures</x:v>
      </x:c>
      <x:c r="C354" s="25" t="str">
        <x:v>CONCATENATEX (
				FILTER (
					VALUES ( 'rpt_job_step_timing'[error_message] ),
					NOT ISBLANK ( 'rpt_job_step_timing'[error_message] )
						&amp;&amp; 'rpt_job_step_timing'[error_message] &lt;&gt; ""
				),
				'rpt_job_step_timing'[error_message],
				UNICHAR ( 10 ) &amp; UNICHAR ( 10 )
			)</x:v>
      </x:c>
      <x:c r="D354" s="25" t="str">
        <x:v>monitoring.rpt_job_step_timing</x:v>
      </x:c>
      <x:c r="E354" s="25" t="str">
        <x:v>No direct visible binding verified</x:v>
      </x:c>
      <x:c r="F354" s="25" t="str">
        <x:v>No requirement mapping asserted</x:v>
      </x:c>
      <x:c r="G354" s="25" t="str">
        <x:v>06_reports.py:45</x:v>
      </x:c>
      <x:c r="H354" s="25" t="str">
        <x:v>Saved definition only; includes display/selector helpers. Not an accepted business KPI or proof of runtime/DR/SLA.</x:v>
      </x:c>
      <x:c r="I354" s="25" t="str">
        <x:v>SM WMPP Mission Control Import/SM WMPP Mission Control.SemanticModel/definition/tables/_MissionControl_Measures.tmdl:814
Full code: KPI_CALCULATION_TRACEABILITY.md</x:v>
      </x:c>
    </x:row>
    <x:row r="355" ht="150" customHeight="1">
      <x:c r="A355" s="25" t="str">
        <x:v>Latest Load Run ID</x:v>
      </x:c>
      <x:c r="B355" s="25" t="str">
        <x:v>_MissionControl_Measures</x:v>
      </x:c>
      <x:c r="C355" s="25" t="str">
        <x:v>VAR latest = TOPN(1,
			    FILTER(CALCULATETABLE(rpt_job_run_summary, REMOVEFILTERS()), NOT ISBLANK(rpt_job_run_summary[started_at])),
			    rpt_job_run_summary[started_at], DESC, rpt_job_run_summary[job_run_id], DESC)
			RETURN CALCULATE(MAXX(latest, rpt_job_run_summary[job_run_id]), REMOVEFILTERS())</x:v>
      </x:c>
      <x:c r="D355" s="25" t="str">
        <x:v>monitoring.rpt_job_run_summary</x:v>
      </x:c>
      <x:c r="E355" s="25" t="str">
        <x:v>Quality &amp; Schema</x:v>
      </x:c>
      <x:c r="F355" s="25" t="str">
        <x:v>No requirement mapping asserted</x:v>
      </x:c>
      <x:c r="G355" s="25" t="str">
        <x:v>06_reports.py:141</x:v>
      </x:c>
      <x:c r="H355" s="25" t="str">
        <x:v>Saved definition only; includes display/selector helpers. Not an accepted business KPI or proof of runtime/DR/SLA.</x:v>
      </x:c>
      <x:c r="I355" s="25" t="str">
        <x:v>SM WMPP Mission Control Import/SM WMPP Mission Control.SemanticModel/definition/tables/_MissionControl_Measures.tmdl:830
Full code: KPI_CALCULATION_TRACEABILITY.md</x:v>
      </x:c>
    </x:row>
    <x:row r="356" ht="72" customHeight="1">
      <x:c r="A356" s="25" t="str">
        <x:v>Latest Load Started</x:v>
      </x:c>
      <x:c r="B356" s="25" t="str">
        <x:v>_MissionControl_Measures</x:v>
      </x:c>
      <x:c r="C356" s="25" t="str">
        <x:v>VAR _id = [Latest Load Run ID]
			RETURN IF(NOT ISBLANK(_id), CALCULATE(MAX(rpt_job_run_summary[started_at]), REMOVEFILTERS(), rpt_job_run_summary[job_run_id] = _id))</x:v>
      </x:c>
      <x:c r="D356" s="25" t="str">
        <x:v>monitoring.rpt_job_run_summary</x:v>
      </x:c>
      <x:c r="E356" s="25" t="str">
        <x:v>No direct visible binding verified</x:v>
      </x:c>
      <x:c r="F356" s="25" t="str">
        <x:v>No requirement mapping asserted</x:v>
      </x:c>
      <x:c r="G356" s="25" t="str">
        <x:v>06_reports.py:141</x:v>
      </x:c>
      <x:c r="H356" s="25" t="str">
        <x:v>Saved definition only; includes display/selector helpers. Not an accepted business KPI or proof of runtime/DR/SLA.</x:v>
      </x:c>
      <x:c r="I356" s="25" t="str">
        <x:v>SM WMPP Mission Control Import/SM WMPP Mission Control.SemanticModel/definition/tables/_MissionControl_Measures.tmdl:838
Full code: KPI_CALCULATION_TRACEABILITY.md</x:v>
      </x:c>
    </x:row>
    <x:row r="357" ht="85" customHeight="1">
      <x:c r="A357" s="25" t="str">
        <x:v>Latest Load Status</x:v>
      </x:c>
      <x:c r="B357" s="25" t="str">
        <x:v>_MissionControl_Measures</x:v>
      </x:c>
      <x:c r="C357" s="25" t="str">
        <x:v>VAR _id = [Latest Load Run ID]
			RETURN IF(ISBLANK(_id), "No loads", CALCULATE(SELECTEDVALUE(rpt_job_run_summary[status]), REMOVEFILTERS(), rpt_job_run_summary[job_run_id] = _id))</x:v>
      </x:c>
      <x:c r="D357" s="25" t="str">
        <x:v>monitoring.rpt_job_run_summary</x:v>
      </x:c>
      <x:c r="E357" s="25" t="str">
        <x:v>Quality &amp; Schema</x:v>
      </x:c>
      <x:c r="F357" s="25" t="str">
        <x:v>No requirement mapping asserted</x:v>
      </x:c>
      <x:c r="G357" s="25" t="str">
        <x:v>06_reports.py:141</x:v>
      </x:c>
      <x:c r="H357" s="25" t="str">
        <x:v>Saved definition only; includes display/selector helpers. Not an accepted business KPI or proof of runtime/DR/SLA.</x:v>
      </x:c>
      <x:c r="I357" s="25" t="str">
        <x:v>SM WMPP Mission Control Import/SM WMPP Mission Control.SemanticModel/definition/tables/_MissionControl_Measures.tmdl:845
Full code: KPI_CALCULATION_TRACEABILITY.md</x:v>
      </x:c>
    </x:row>
    <x:row r="358" ht="85" customHeight="1">
      <x:c r="A358" s="25" t="str">
        <x:v>Latest Load Quality Records</x:v>
      </x:c>
      <x:c r="B358" s="25" t="str">
        <x:v>_MissionControl_Measures</x:v>
      </x:c>
      <x:c r="C358" s="25" t="str">
        <x:v>VAR _id = [Latest Load Run ID]
			RETURN IF(NOT ISBLANK(_id), COALESCE(CALCULATE(COUNTROWS(cfg_data_quality_result), REMOVEFILTERS(), cfg_data_quality_result[job_run_id] = _id), 0))</x:v>
      </x:c>
      <x:c r="D358" s="25" t="str">
        <x:v>monitoring.cfg_data_quality_result; monitoring.rpt_job_run_summary</x:v>
      </x:c>
      <x:c r="E358" s="25" t="str">
        <x:v>No direct visible binding verified</x:v>
      </x:c>
      <x:c r="F358" s="25" t="str">
        <x:v>No requirement mapping asserted</x:v>
      </x:c>
      <x:c r="G358" s="25" t="str">
        <x:v>03_silver_business_rules.py:208; 06_reports.py:141</x:v>
      </x:c>
      <x:c r="H358" s="25" t="str">
        <x:v>Saved definition only; includes display/selector helpers. Not an accepted business KPI or proof of runtime/DR/SLA.</x:v>
      </x:c>
      <x:c r="I358" s="25" t="str">
        <x:v>SM WMPP Mission Control Import/SM WMPP Mission Control.SemanticModel/definition/tables/_MissionControl_Measures.tmdl:851
Full code: KPI_CALCULATION_TRACEABILITY.md</x:v>
      </x:c>
    </x:row>
    <x:row r="359" ht="98" customHeight="1">
      <x:c r="A359" s="25" t="str">
        <x:v>Latest Load Evaluated Checks</x:v>
      </x:c>
      <x:c r="B359" s="25" t="str">
        <x:v>_MissionControl_Measures</x:v>
      </x:c>
      <x:c r="C359" s="25" t="str">
        <x:v>VAR _id = [Latest Load Run ID]
			RETURN IF([Latest Load Quality Records] &gt; 0,
			    COALESCE(CALCULATE([DQ Evaluated Checks], KEEPFILTERS(TREATAS({_id}, cfg_data_quality_result[job_run_id]))), 0))</x:v>
      </x:c>
      <x:c r="D359" s="25" t="str">
        <x:v>monitoring.cfg_data_quality_result; monitoring.rpt_job_run_summary</x:v>
      </x:c>
      <x:c r="E359" s="25" t="str">
        <x:v>Quality &amp; Schema</x:v>
      </x:c>
      <x:c r="F359" s="25" t="str">
        <x:v>No requirement mapping asserted</x:v>
      </x:c>
      <x:c r="G359" s="25" t="str">
        <x:v>03_silver_business_rules.py:208; 06_reports.py:141</x:v>
      </x:c>
      <x:c r="H359" s="25" t="str">
        <x:v>Saved definition only; includes display/selector helpers. Not an accepted business KPI or proof of runtime/DR/SLA.</x:v>
      </x:c>
      <x:c r="I359" s="25" t="str">
        <x:v>SM WMPP Mission Control Import/SM WMPP Mission Control.SemanticModel/definition/tables/_MissionControl_Measures.tmdl:858
Full code: KPI_CALCULATION_TRACEABILITY.md</x:v>
      </x:c>
    </x:row>
    <x:row r="360" ht="98" customHeight="1">
      <x:c r="A360" s="25" t="str">
        <x:v>Latest Load Failed Checks</x:v>
      </x:c>
      <x:c r="B360" s="25" t="str">
        <x:v>_MissionControl_Measures</x:v>
      </x:c>
      <x:c r="C360" s="25" t="str">
        <x:v>VAR _id = [Latest Load Run ID]
			RETURN IF([Latest Load Quality Records] &gt; 0,
			    COALESCE(CALCULATE([DQ Failed Checks], KEEPFILTERS(TREATAS({_id}, cfg_data_quality_result[job_run_id]))), 0))</x:v>
      </x:c>
      <x:c r="D360" s="25" t="str">
        <x:v>monitoring.cfg_data_quality_result; monitoring.rpt_job_run_summary</x:v>
      </x:c>
      <x:c r="E360" s="25" t="str">
        <x:v>Quality &amp; Schema</x:v>
      </x:c>
      <x:c r="F360" s="25" t="str">
        <x:v>No requirement mapping asserted</x:v>
      </x:c>
      <x:c r="G360" s="25" t="str">
        <x:v>03_silver_business_rules.py:208; 06_reports.py:141</x:v>
      </x:c>
      <x:c r="H360" s="25" t="str">
        <x:v>Saved definition only; includes display/selector helpers. Not an accepted business KPI or proof of runtime/DR/SLA.</x:v>
      </x:c>
      <x:c r="I360" s="25" t="str">
        <x:v>SM WMPP Mission Control Import/SM WMPP Mission Control.SemanticModel/definition/tables/_MissionControl_Measures.tmdl:866
Full code: KPI_CALCULATION_TRACEABILITY.md</x:v>
      </x:c>
    </x:row>
    <x:row r="361" ht="98" customHeight="1">
      <x:c r="A361" s="25" t="str">
        <x:v>Latest Load Failed Rows</x:v>
      </x:c>
      <x:c r="B361" s="25" t="str">
        <x:v>_MissionControl_Measures</x:v>
      </x:c>
      <x:c r="C361" s="25" t="str">
        <x:v>VAR _id = [Latest Load Run ID]
			RETURN IF([Latest Load Quality Records] &gt; 0,
			    COALESCE(CALCULATE([DQ Failed Rows], KEEPFILTERS(TREATAS({_id}, cfg_data_quality_result[job_run_id]))), 0))</x:v>
      </x:c>
      <x:c r="D361" s="25" t="str">
        <x:v>monitoring.cfg_data_quality_result; monitoring.rpt_job_run_summary</x:v>
      </x:c>
      <x:c r="E361" s="25" t="str">
        <x:v>Quality &amp; Schema</x:v>
      </x:c>
      <x:c r="F361" s="25" t="str">
        <x:v>No requirement mapping asserted</x:v>
      </x:c>
      <x:c r="G361" s="25" t="str">
        <x:v>03_silver_business_rules.py:208; 06_reports.py:141</x:v>
      </x:c>
      <x:c r="H361" s="25" t="str">
        <x:v>Saved definition only; includes display/selector helpers. Not an accepted business KPI or proof of runtime/DR/SLA.</x:v>
      </x:c>
      <x:c r="I361" s="25" t="str">
        <x:v>SM WMPP Mission Control Import/SM WMPP Mission Control.SemanticModel/definition/tables/_MissionControl_Measures.tmdl:874
Full code: KPI_CALCULATION_TRACEABILITY.md</x:v>
      </x:c>
    </x:row>
    <x:row r="362" ht="98" customHeight="1">
      <x:c r="A362" s="25" t="str">
        <x:v>Latest Load Critical Rules</x:v>
      </x:c>
      <x:c r="B362" s="25" t="str">
        <x:v>_MissionControl_Measures</x:v>
      </x:c>
      <x:c r="C362" s="25" t="str">
        <x:v>VAR _id = [Latest Load Run ID]
			RETURN IF([Latest Load Quality Records] &gt; 0,
			    COALESCE(CALCULATE([Critical Rules Failing], KEEPFILTERS(TREATAS({_id}, cfg_data_quality_result[job_run_id]))), 0))</x:v>
      </x:c>
      <x:c r="D362" s="25" t="str">
        <x:v>monitoring.cfg_data_quality_result; monitoring.rpt_job_run_summary</x:v>
      </x:c>
      <x:c r="E362" s="25" t="str">
        <x:v>Quality &amp; Schema</x:v>
      </x:c>
      <x:c r="F362" s="25" t="str">
        <x:v>No requirement mapping asserted</x:v>
      </x:c>
      <x:c r="G362" s="25" t="str">
        <x:v>03_silver_business_rules.py:208; 06_reports.py:141</x:v>
      </x:c>
      <x:c r="H362" s="25" t="str">
        <x:v>Saved definition only; includes display/selector helpers. Not an accepted business KPI or proof of runtime/DR/SLA.</x:v>
      </x:c>
      <x:c r="I362" s="25" t="str">
        <x:v>SM WMPP Mission Control Import/SM WMPP Mission Control.SemanticModel/definition/tables/_MissionControl_Measures.tmdl:882
Full code: KPI_CALCULATION_TRACEABILITY.md</x:v>
      </x:c>
    </x:row>
    <x:row r="363" ht="98" customHeight="1">
      <x:c r="A363" s="25" t="str">
        <x:v>Show Latest Load Quality</x:v>
      </x:c>
      <x:c r="B363" s="25" t="str">
        <x:v>_MissionControl_Measures</x:v>
      </x:c>
      <x:c r="C363" s="25" t="str">
        <x:v>VAR _id = [Latest Load Run ID]
			RETURN IF(NOT ISBLANK(_id) &amp;&amp; CALCULATE(COUNTROWS(cfg_data_quality_result),
			    KEEPFILTERS(TREATAS({_id}, cfg_data_quality_result[job_run_id]))) &gt; 0, 1, 0)</x:v>
      </x:c>
      <x:c r="D363" s="25" t="str">
        <x:v>monitoring.cfg_data_quality_result; monitoring.rpt_job_run_summary</x:v>
      </x:c>
      <x:c r="E363" s="25" t="str">
        <x:v>Quality &amp; Schema</x:v>
      </x:c>
      <x:c r="F363" s="25" t="str">
        <x:v>No requirement mapping asserted</x:v>
      </x:c>
      <x:c r="G363" s="25" t="str">
        <x:v>03_silver_business_rules.py:208; 06_reports.py:141</x:v>
      </x:c>
      <x:c r="H363" s="25" t="str">
        <x:v>Saved definition only; includes display/selector helpers. Not an accepted business KPI or proof of runtime/DR/SLA.</x:v>
      </x:c>
      <x:c r="I363" s="25" t="str">
        <x:v>SM WMPP Mission Control Import/SM WMPP Mission Control.SemanticModel/definition/tables/_MissionControl_Measures.tmdl:890
Full code: KPI_CALCULATION_TRACEABILITY.md</x:v>
      </x:c>
    </x:row>
    <x:row r="364" ht="202" customHeight="1">
      <x:c r="A364" s="25" t="str">
        <x:v>Latest Load Quality Report</x:v>
      </x:c>
      <x:c r="B364" s="25" t="str">
        <x:v>_MissionControl_Measures</x:v>
      </x:c>
      <x:c r="C364" s="25" t="str">
        <x:v>VAR _id = [Latest Load Run ID]
			VAR lastCheck = CALCULATE(MAX(cfg_data_quality_result[checked_at]), REMOVEFILTERS(), cfg_data_quality_result[job_run_id] = _id)
			RETURN IF(ISBLANK(_id), "No load recorded in this model",
			    "Load started " &amp; FORMAT([Latest Load Started], "dd MMM yyyy HH:mm") &amp; " | " &amp;
			    IF([Latest Load Quality Records] = 0, "No quality report for this load yet",
			       "Quality checked " &amp; FORMAT(lastCheck, "dd MMM yyyy HH:mm")))</x:v>
      </x:c>
      <x:c r="D364" s="25" t="str">
        <x:v>monitoring.cfg_data_quality_result; monitoring.rpt_job_run_summary</x:v>
      </x:c>
      <x:c r="E364" s="25" t="str">
        <x:v>Quality &amp; Schema</x:v>
      </x:c>
      <x:c r="F364" s="25" t="str">
        <x:v>No requirement mapping asserted</x:v>
      </x:c>
      <x:c r="G364" s="25" t="str">
        <x:v>03_silver_business_rules.py:208; 06_reports.py:141</x:v>
      </x:c>
      <x:c r="H364" s="25" t="str">
        <x:v>Saved definition only; includes display/selector helpers. Not an accepted business KPI or proof of runtime/DR/SLA.</x:v>
      </x:c>
      <x:c r="I364" s="25" t="str">
        <x:v>SM WMPP Mission Control Import/SM WMPP Mission Control.SemanticModel/definition/tables/_MissionControl_Measures.tmdl:898
Full code: KPI_CALCULATION_TRACEABILITY.md</x:v>
      </x:c>
    </x:row>
    <x:row r="365" ht="59" customHeight="1">
      <x:c r="A365" s="25" t="str">
        <x:v>Calendar Day Runs</x:v>
      </x:c>
      <x:c r="B365" s="25" t="str">
        <x:v>_MissionControl_Measures</x:v>
      </x:c>
      <x:c r="C365" s="25" t="str">
        <x:v>COALESCE([Job Runs], 0)</x:v>
      </x:c>
      <x:c r="D365" s="25" t="str">
        <x:v>monitoring.rpt_job_run_summary</x:v>
      </x:c>
      <x:c r="E365" s="25" t="str">
        <x:v>Load Calendar</x:v>
      </x:c>
      <x:c r="F365" s="25" t="str">
        <x:v>No requirement mapping asserted</x:v>
      </x:c>
      <x:c r="G365" s="25" t="str">
        <x:v>06_reports.py:141</x:v>
      </x:c>
      <x:c r="H365" s="25" t="str">
        <x:v>Saved definition only; includes display/selector helpers. Not an accepted business KPI or proof of runtime/DR/SLA.</x:v>
      </x:c>
      <x:c r="I365" s="25" t="str">
        <x:v>SM WMPP Mission Control Import/SM WMPP Mission Control.SemanticModel/definition/tables/_MissionControl_Measures.tmdl:908
Full code: KPI_CALCULATION_TRACEABILITY.md</x:v>
      </x:c>
    </x:row>
    <x:row r="366" ht="59" customHeight="1">
      <x:c r="A366" s="25" t="str">
        <x:v>Calendar Day Failures</x:v>
      </x:c>
      <x:c r="B366" s="25" t="str">
        <x:v>_MissionControl_Measures</x:v>
      </x:c>
      <x:c r="C366" s="25" t="str">
        <x:v>COALESCE([Failed Job Runs], 0)</x:v>
      </x:c>
      <x:c r="D366" s="25" t="str">
        <x:v>monitoring.rpt_job_run_summary</x:v>
      </x:c>
      <x:c r="E366" s="25" t="str">
        <x:v>Load Calendar</x:v>
      </x:c>
      <x:c r="F366" s="25" t="str">
        <x:v>No requirement mapping asserted</x:v>
      </x:c>
      <x:c r="G366" s="25" t="str">
        <x:v>06_reports.py:141</x:v>
      </x:c>
      <x:c r="H366" s="25" t="str">
        <x:v>Saved definition only; includes display/selector helpers. Not an accepted business KPI or proof of runtime/DR/SLA.</x:v>
      </x:c>
      <x:c r="I366" s="25" t="str">
        <x:v>SM WMPP Mission Control Import/SM WMPP Mission Control.SemanticModel/definition/tables/_MissionControl_Measures.tmdl:913
Full code: KPI_CALCULATION_TRACEABILITY.md</x:v>
      </x:c>
    </x:row>
    <x:row r="367" ht="59" customHeight="1">
      <x:c r="A367" s="25" t="str">
        <x:v>Calendar Day Other</x:v>
      </x:c>
      <x:c r="B367" s="25" t="str">
        <x:v>_MissionControl_Measures</x:v>
      </x:c>
      <x:c r="C367" s="25" t="str">
        <x:v>COALESCE(CALCULATE([Job Runs], KEEPFILTERS(rpt_job_run_summary[Outcome] IN {"Running", "Other"})), 0)</x:v>
      </x:c>
      <x:c r="D367" s="25" t="str">
        <x:v>monitoring.rpt_job_run_summary</x:v>
      </x:c>
      <x:c r="E367" s="25" t="str">
        <x:v>Load Calendar</x:v>
      </x:c>
      <x:c r="F367" s="25" t="str">
        <x:v>No requirement mapping asserted</x:v>
      </x:c>
      <x:c r="G367" s="25" t="str">
        <x:v>06_reports.py:141</x:v>
      </x:c>
      <x:c r="H367" s="25" t="str">
        <x:v>Saved definition only; includes display/selector helpers. Not an accepted business KPI or proof of runtime/DR/SLA.</x:v>
      </x:c>
      <x:c r="I367" s="25" t="str">
        <x:v>SM WMPP Mission Control Import/SM WMPP Mission Control.SemanticModel/definition/tables/_MissionControl_Measures.tmdl:918
Full code: KPI_CALCULATION_TRACEABILITY.md</x:v>
      </x:c>
    </x:row>
    <x:row r="368" ht="72" customHeight="1">
      <x:c r="A368" s="25" t="str">
        <x:v>Calendar Day In Window</x:v>
      </x:c>
      <x:c r="B368" s="25" t="str">
        <x:v>_MissionControl_Measures</x:v>
      </x:c>
      <x:c r="C368" s="25" t="str">
        <x:v>VAR d = SELECTEDVALUE('Load Calendar'[Date])
			RETURN IF(NOT ISBLANK(d) &amp;&amp; d &gt;= TODAY() - 364 &amp;&amp; d &lt;= TODAY(), 1, 0)</x:v>
      </x:c>
      <x:c r="D368" s="25" t="str">
        <x:v>Load Calendar (local/calculated model object; no direct notebook producer asserted)</x:v>
      </x:c>
      <x:c r="E368" s="25" t="str">
        <x:v>Contracts &amp; Schema; Domains &amp; Reference; Lineage &amp; Step Summary; Load Calendar; Load Metrics &amp; Control; Quality &amp; Exceptions; Schema &amp; Drift</x:v>
      </x:c>
      <x:c r="F368" s="25" t="str">
        <x:v>No requirement mapping asserted</x:v>
      </x:c>
      <x:c r="G368" s="25" t="str">
        <x:v>Local semantic calculation; inspect dependencies</x:v>
      </x:c>
      <x:c r="H368" s="25" t="str">
        <x:v>Saved definition only; includes display/selector helpers. Not an accepted business KPI or proof of runtime/DR/SLA.</x:v>
      </x:c>
      <x:c r="I368" s="25" t="str">
        <x:v>SM WMPP Mission Control Import/SM WMPP Mission Control.SemanticModel/definition/tables/_MissionControl_Measures.tmdl:923
Full code: KPI_CALCULATION_TRACEABILITY.md</x:v>
      </x:c>
    </x:row>
    <x:row r="369" ht="293" customHeight="1">
      <x:c r="A369" s="25" t="str">
        <x:v>Day Explorer Job Visible</x:v>
      </x:c>
      <x:c r="B369" s="25" t="str">
        <x:v>_MissionControl_Measures</x:v>
      </x:c>
      <x:c r="C369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COUNTROWS(rpt_job_run_summary),
			    CALCULATE(COUNTROWS(rpt_job_run_summary), KEEPFILTERS(TREATAS({LatestId}, rpt_job_run_summary[job_run_id]))))
			RETURN IF(ISFILTERED('Load Calendar'[Date]) &amp;&amp; NOT HASONEVALUE('Load Calendar'[Date]), 0, IF(n &gt; 0, 1, 0))</x:v>
      </x:c>
      <x:c r="D369" s="25" t="str">
        <x:v>Load Calendar (local/calculated model object; no direct notebook producer asserted); monitoring.rpt_job_run_summary</x:v>
      </x:c>
      <x:c r="E369" s="25" t="str">
        <x:v>Load Calendar</x:v>
      </x:c>
      <x:c r="F369" s="25" t="str">
        <x:v>No requirement mapping asserted</x:v>
      </x:c>
      <x:c r="G369" s="25" t="str">
        <x:v>06_reports.py:141</x:v>
      </x:c>
      <x:c r="H369" s="25" t="str">
        <x:v>Saved definition only; includes display/selector helpers. Not an accepted business KPI or proof of runtime/DR/SLA.</x:v>
      </x:c>
      <x:c r="I369" s="25" t="str">
        <x:v>SM WMPP Mission Control Import/SM WMPP Mission Control.SemanticModel/definition/tables/_MissionControl_Measures.tmdl:930
Full code: KPI_CALCULATION_TRACEABILITY.md</x:v>
      </x:c>
    </x:row>
    <x:row r="370" ht="267" customHeight="1">
      <x:c r="A370" s="25" t="str">
        <x:v>Timeline Job Visible</x:v>
      </x:c>
      <x:c r="B370" s="25" t="str">
        <x:v>_MissionControl_Measures</x:v>
      </x:c>
      <x:c r="C370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COUNTROWS(rpt_job_run_summary),
			    CALCULATE(COUNTROWS(rpt_job_run_summary), KEEPFILTERS(TREATAS({LatestId}, rpt_job_run_summary[job_run_id]))))
			RETURN IF(n &gt; 0, 1, 0)</x:v>
      </x:c>
      <x:c r="D370" s="25" t="str">
        <x:v>Load Calendar (local/calculated model object; no direct notebook producer asserted); monitoring.rpt_job_run_summary</x:v>
      </x:c>
      <x:c r="E370" s="25" t="str">
        <x:v>Job &amp; Step Timelines</x:v>
      </x:c>
      <x:c r="F370" s="25" t="str">
        <x:v>No requirement mapping asserted</x:v>
      </x:c>
      <x:c r="G370" s="25" t="str">
        <x:v>06_reports.py:141</x:v>
      </x:c>
      <x:c r="H370" s="25" t="str">
        <x:v>Saved definition only; includes display/selector helpers. Not an accepted business KPI or proof of runtime/DR/SLA.</x:v>
      </x:c>
      <x:c r="I370" s="25" t="str">
        <x:v>SM WMPP Mission Control Import/SM WMPP Mission Control.SemanticModel/definition/tables/_MissionControl_Measures.tmdl:943
Full code: KPI_CALCULATION_TRACEABILITY.md</x:v>
      </x:c>
    </x:row>
    <x:row r="371" ht="267" customHeight="1">
      <x:c r="A371" s="25" t="str">
        <x:v>Timeline Step Visible</x:v>
      </x:c>
      <x:c r="B371" s="25" t="str">
        <x:v>_MissionControl_Measures</x:v>
      </x:c>
      <x:c r="C371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COUNTROWS(rpt_job_step_timing),
			    CALCULATE(COUNTROWS(rpt_job_step_timing), KEEPFILTERS(TREATAS({LatestId}, rpt_job_run_summary[job_run_id]))))
			RETURN IF(n &gt; 0, 1, 0)</x:v>
      </x:c>
      <x:c r="D371" s="25" t="str">
        <x:v>Load Calendar (local/calculated model object; no direct notebook producer asserted); monitoring.rpt_job_run_summary</x:v>
      </x:c>
      <x:c r="E371" s="25" t="str">
        <x:v>Job &amp; Step Timelines</x:v>
      </x:c>
      <x:c r="F371" s="25" t="str">
        <x:v>No requirement mapping asserted</x:v>
      </x:c>
      <x:c r="G371" s="25" t="str">
        <x:v>06_reports.py:141</x:v>
      </x:c>
      <x:c r="H371" s="25" t="str">
        <x:v>Saved definition only; includes display/selector helpers. Not an accepted business KPI or proof of runtime/DR/SLA.</x:v>
      </x:c>
      <x:c r="I371" s="25" t="str">
        <x:v>SM WMPP Mission Control Import/SM WMPP Mission Control.SemanticModel/definition/tables/_MissionControl_Measures.tmdl:956
Full code: KPI_CALCULATION_TRACEABILITY.md</x:v>
      </x:c>
    </x:row>
    <x:row r="372" ht="59" customHeight="1">
      <x:c r="A372" s="25" t="str">
        <x:v>Discovery history selected</x:v>
      </x:c>
      <x:c r="B372" s="25" t="str">
        <x:v>_MissionControl_Measures</x:v>
      </x:c>
      <x:c r="C372" s="25" t="str">
        <x:v>IF(ISFILTERED('Load Calendar'[Date]) || ISFILTERED('Discovery Job Runs'[job_run_id]), 1, 0)</x:v>
      </x:c>
      <x:c r="D372" s="25" t="str">
        <x:v>Load Calendar (local/calculated model object; no direct notebook producer asserted); monitoring.rpt_job_run_summary</x:v>
      </x:c>
      <x:c r="E372" s="25" t="str">
        <x:v>No direct visible binding verified</x:v>
      </x:c>
      <x:c r="F372" s="25" t="str">
        <x:v>No requirement mapping asserted</x:v>
      </x:c>
      <x:c r="G372" s="25" t="str">
        <x:v>06_reports.py:141</x:v>
      </x:c>
      <x:c r="H372" s="25" t="str">
        <x:v>Saved definition only; includes display/selector helpers. Not an accepted business KPI or proof of runtime/DR/SLA.</x:v>
      </x:c>
      <x:c r="I372" s="25" t="str">
        <x:v>SM WMPP Mission Control Import/SM WMPP Mission Control.SemanticModel/definition/tables/_MissionControl_Measures.tmdl:969
Full code: KPI_CALCULATION_TRACEABILITY.md</x:v>
      </x:c>
    </x:row>
    <x:row r="373" ht="59" customHeight="1">
      <x:c r="A373" s="25" t="str">
        <x:v>Discovery cfg_data_domain Latest time</x:v>
      </x:c>
      <x:c r="B373" s="25" t="str">
        <x:v>_MissionControl_Measures</x:v>
      </x:c>
      <x:c r="C373" s="25" t="str">
        <x:v>CALCULATE(MAX(cfg_data_domain[profiled_at]), REMOVEFILTERS())</x:v>
      </x:c>
      <x:c r="D373" s="25" t="str">
        <x:v>monitoring.cfg_data_domain</x:v>
      </x:c>
      <x:c r="E373" s="25" t="str">
        <x:v>No direct visible binding verified</x:v>
      </x:c>
      <x:c r="F373" s="25" t="str">
        <x:v>No requirement mapping asserted</x:v>
      </x:c>
      <x:c r="G373" s="25" t="str">
        <x:v>99_data_domain.py:110; 99_common_library.py:462</x:v>
      </x:c>
      <x:c r="H373" s="25" t="str">
        <x:v>Saved definition only; includes display/selector helpers. Not an accepted business KPI or proof of runtime/DR/SLA.</x:v>
      </x:c>
      <x:c r="I373" s="25" t="str">
        <x:v>SM WMPP Mission Control Import/SM WMPP Mission Control.SemanticModel/definition/tables/_MissionControl_Measures.tmdl:974
Full code: KPI_CALCULATION_TRACEABILITY.md</x:v>
      </x:c>
    </x:row>
    <x:row r="374" ht="176" customHeight="1">
      <x:c r="A374" s="25" t="str">
        <x:v>Discovery cfg_data_domain Latest key</x:v>
      </x:c>
      <x:c r="B374" s="25" t="str">
        <x:v>_MissionControl_Measures</x:v>
      </x:c>
      <x:c r="C374" s="25" t="str">
        <x:v>VAR Batches = CALCULATETABLE(SUMMARIZE(cfg_data_domain, cfg_data_domain[run_id],
			    "DiscoveryTime", MAX(cfg_data_domain[profiled_at])), REMOVEFILTERS())
			VAR LatestBatch = TOPN(1, FILTER(Batches, NOT ISBLANK([DiscoveryTime])),
			    [DiscoveryTime], DESC, cfg_data_domain[run_id], DESC)
			RETURN MAXX(LatestBatch, cfg_data_domain[run_id])</x:v>
      </x:c>
      <x:c r="D374" s="25" t="str">
        <x:v>monitoring.cfg_data_domain</x:v>
      </x:c>
      <x:c r="E374" s="25" t="str">
        <x:v>No direct visible binding verified</x:v>
      </x:c>
      <x:c r="F374" s="25" t="str">
        <x:v>No requirement mapping asserted</x:v>
      </x:c>
      <x:c r="G374" s="25" t="str">
        <x:v>99_data_domain.py:110; 99_common_library.py:462</x:v>
      </x:c>
      <x:c r="H374" s="25" t="str">
        <x:v>Saved definition only; includes display/selector helpers. Not an accepted business KPI or proof of runtime/DR/SLA.</x:v>
      </x:c>
      <x:c r="I374" s="25" t="str">
        <x:v>SM WMPP Mission Control Import/SM WMPP Mission Control.SemanticModel/definition/tables/_MissionControl_Measures.tmdl:979
Full code: KPI_CALCULATION_TRACEABILITY.md</x:v>
      </x:c>
    </x:row>
    <x:row r="375" ht="241" customHeight="1">
      <x:c r="A375" s="25" t="str">
        <x:v>Discovery cfg_data_domain Rows</x:v>
      </x:c>
      <x:c r="B375" s="25" t="str">
        <x:v>_MissionControl_Measures</x:v>
      </x:c>
      <x:c r="C375" s="25" t="str">
        <x:v>COALESCE(IF([Discovery history selected] = 1, CALCULATE(COUNTROWS(cfg_data_domain), KEEPFILTERS(TREATAS(CALCULATETABLE(VALUES('Discovery Job Runs'[job_run_id]),
			            KEEPFILTERS(TREATAS(VALUES('Load Calendar'[Date]), 'Discovery Job Runs'[Run Date]))), cfg_data_domain[job_run_id]))), IF(ISBLANK([Discovery cfg_data_domain Latest key]), CALCULATE(COUNTROWS(cfg_data_domain), KEEPFILTERS(TREATAS({[Discovery cfg_data_domain Latest time]}, cfg_data_domain[profiled_at]))), CALCULATE(COUNTROWS(cfg_data_domain), KEEPFILTERS(TREATAS({[Discovery cfg_data_domain Latest key]}, cfg_data_domain[run_id]))))), 0)</x:v>
      </x:c>
      <x:c r="D375" s="25" t="str">
        <x:v>Load Calendar (local/calculated model object; no direct notebook producer asserted); monitoring.cfg_data_domain; monitoring.rpt_job_run_summary</x:v>
      </x:c>
      <x:c r="E375" s="25" t="str">
        <x:v>Domains &amp; Reference</x:v>
      </x:c>
      <x:c r="F375" s="25" t="str">
        <x:v>R84</x:v>
      </x:c>
      <x:c r="G375" s="25" t="str">
        <x:v>06_reports.py:141; 99_data_domain.py:110; 99_common_library.py:462</x:v>
      </x:c>
      <x:c r="H375" s="25" t="str">
        <x:v>Saved definition only; includes display/selector helpers. Not an accepted business KPI or proof of runtime/DR/SLA.</x:v>
      </x:c>
      <x:c r="I375" s="25" t="str">
        <x:v>SM WMPP Mission Control Import/SM WMPP Mission Control.SemanticModel/definition/tables/_MissionControl_Measures.tmdl:988
Full code: KPI_CALCULATION_TRACEABILITY.md</x:v>
      </x:c>
    </x:row>
    <x:row r="376" ht="72" customHeight="1">
      <x:c r="A376" s="25" t="str">
        <x:v>Discovery cfg_data_domain Visible</x:v>
      </x:c>
      <x:c r="B376" s="25" t="str">
        <x:v>_MissionControl_Measures</x:v>
      </x:c>
      <x:c r="C376" s="25" t="str">
        <x:v>IF([Discovery cfg_data_domain Rows] &gt; 0, 1, 0)</x:v>
      </x:c>
      <x:c r="D376" s="25" t="str">
        <x:v>Load Calendar (local/calculated model object; no direct notebook producer asserted); monitoring.cfg_data_domain; monitoring.rpt_job_run_summary</x:v>
      </x:c>
      <x:c r="E376" s="25" t="str">
        <x:v>Domains &amp; Reference</x:v>
      </x:c>
      <x:c r="F376" s="25" t="str">
        <x:v>No requirement mapping asserted</x:v>
      </x:c>
      <x:c r="G376" s="25" t="str">
        <x:v>06_reports.py:141; 99_data_domain.py:110; 99_common_library.py:462</x:v>
      </x:c>
      <x:c r="H376" s="25" t="str">
        <x:v>Saved definition only; includes display/selector helpers. Not an accepted business KPI or proof of runtime/DR/SLA.</x:v>
      </x:c>
      <x:c r="I376" s="25" t="str">
        <x:v>SM WMPP Mission Control Import/SM WMPP Mission Control.SemanticModel/definition/tables/_MissionControl_Measures.tmdl:995
Full code: KPI_CALCULATION_TRACEABILITY.md</x:v>
      </x:c>
    </x:row>
    <x:row r="377" ht="241" customHeight="1">
      <x:c r="A377" s="25" t="str">
        <x:v>Discovery cfg_data_domain Selected time</x:v>
      </x:c>
      <x:c r="B377" s="25" t="str">
        <x:v>_MissionControl_Measures</x:v>
      </x:c>
      <x:c r="C377" s="25" t="str">
        <x:v>IF([Discovery history selected] = 1, CALCULATE(MAX(cfg_data_domain[profiled_at]), KEEPFILTERS(TREATAS(CALCULATETABLE(VALUES('Discovery Job Runs'[job_run_id]),
			            KEEPFILTERS(TREATAS(VALUES('Load Calendar'[Date]), 'Discovery Job Runs'[Run Date]))), cfg_data_domain[job_run_id]))), IF(ISBLANK([Discovery cfg_data_domain Latest key]), CALCULATE(MAX(cfg_data_domain[profiled_at]), KEEPFILTERS(TREATAS({[Discovery cfg_data_domain Latest time]}, cfg_data_domain[profiled_at]))), CALCULATE(MAX(cfg_data_domain[profiled_at]), KEEPFILTERS(TREATAS({[Discovery cfg_data_domain Latest key]}, cfg_data_domain[run_id])))))</x:v>
      </x:c>
      <x:c r="D377" s="25" t="str">
        <x:v>Load Calendar (local/calculated model object; no direct notebook producer asserted); monitoring.cfg_data_domain; monitoring.rpt_job_run_summary</x:v>
      </x:c>
      <x:c r="E377" s="25" t="str">
        <x:v>No direct visible binding verified</x:v>
      </x:c>
      <x:c r="F377" s="25" t="str">
        <x:v>No requirement mapping asserted</x:v>
      </x:c>
      <x:c r="G377" s="25" t="str">
        <x:v>06_reports.py:141; 99_data_domain.py:110; 99_common_library.py:462</x:v>
      </x:c>
      <x:c r="H377" s="25" t="str">
        <x:v>Saved definition only; includes display/selector helpers. Not an accepted business KPI or proof of runtime/DR/SLA.</x:v>
      </x:c>
      <x:c r="I377" s="25" t="str">
        <x:v>SM WMPP Mission Control Import/SM WMPP Mission Control.SemanticModel/definition/tables/_MissionControl_Measures.tmdl:1000
Full code: KPI_CALCULATION_TRACEABILITY.md</x:v>
      </x:c>
    </x:row>
    <x:row r="378" ht="124" customHeight="1">
      <x:c r="A378" s="25" t="str">
        <x:v>Discovery cfg_data_domain State</x:v>
      </x:c>
      <x:c r="B378" s="25" t="str">
        <x:v>_MissionControl_Measures</x:v>
      </x:c>
      <x:c r="C378" s="25" t="str">
        <x:v>VAR n = [Discovery cfg_data_domain Rows]
			RETURN IF(n = 0,
			    IF([Discovery history selected] = 1, "No retained discovery for this selection", "No discovery records available"),
			    "Retained records: " &amp; FORMAT(n, "#,0"))</x:v>
      </x:c>
      <x:c r="D378" s="25" t="str">
        <x:v>Load Calendar (local/calculated model object; no direct notebook producer asserted); monitoring.cfg_data_domain; monitoring.rpt_job_run_summary</x:v>
      </x:c>
      <x:c r="E378" s="25" t="str">
        <x:v>Domains &amp; Reference</x:v>
      </x:c>
      <x:c r="F378" s="25" t="str">
        <x:v>No requirement mapping asserted</x:v>
      </x:c>
      <x:c r="G378" s="25" t="str">
        <x:v>06_reports.py:141; 99_data_domain.py:110; 99_common_library.py:462</x:v>
      </x:c>
      <x:c r="H378" s="25" t="str">
        <x:v>Saved definition only; includes display/selector helpers. Not an accepted business KPI or proof of runtime/DR/SLA.</x:v>
      </x:c>
      <x:c r="I378" s="25" t="str">
        <x:v>SM WMPP Mission Control Import/SM WMPP Mission Control.SemanticModel/definition/tables/_MissionControl_Measures.tmdl:1007
Full code: KPI_CALCULATION_TRACEABILITY.md</x:v>
      </x:c>
    </x:row>
    <x:row r="379" ht="59" customHeight="1">
      <x:c r="A379" s="25" t="str">
        <x:v>Discovery cfg_location_coordinate Rows</x:v>
      </x:c>
      <x:c r="B379" s="25" t="str">
        <x:v>_MissionControl_Measures</x:v>
      </x:c>
      <x:c r="C379" s="25" t="str">
        <x:v>COALESCE(COUNTROWS(cfg_location_coordinate), 0)</x:v>
      </x:c>
      <x:c r="D379" s="25" t="str"/>
      <x:c r="E379" s="25" t="str">
        <x:v>No direct visible binding verified</x:v>
      </x:c>
      <x:c r="F379" s="25" t="str">
        <x:v>No requirement mapping asserted</x:v>
      </x:c>
      <x:c r="G379" s="25" t="str">
        <x:v>Local semantic calculation; inspect dependencies</x:v>
      </x:c>
      <x:c r="H379" s="25" t="str">
        <x:v>Saved definition only; includes display/selector helpers. Not an accepted business KPI or proof of runtime/DR/SLA.</x:v>
      </x:c>
      <x:c r="I379" s="25" t="str">
        <x:v>SM WMPP Mission Control Import/SM WMPP Mission Control.SemanticModel/definition/tables/_MissionControl_Measures.tmdl:1015
Full code: KPI_CALCULATION_TRACEABILITY.md</x:v>
      </x:c>
    </x:row>
    <x:row r="380" ht="59" customHeight="1">
      <x:c r="A380" s="25" t="str">
        <x:v>Discovery cfg_location_coordinate Visible</x:v>
      </x:c>
      <x:c r="B380" s="25" t="str">
        <x:v>_MissionControl_Measures</x:v>
      </x:c>
      <x:c r="C380" s="25" t="str">
        <x:v>IF([Discovery cfg_location_coordinate Rows] &gt; 0, 1, 0)</x:v>
      </x:c>
      <x:c r="D380" s="25" t="str"/>
      <x:c r="E380" s="25" t="str">
        <x:v>Domains &amp; Reference</x:v>
      </x:c>
      <x:c r="F380" s="25" t="str">
        <x:v>No requirement mapping asserted</x:v>
      </x:c>
      <x:c r="G380" s="25" t="str">
        <x:v>Local semantic calculation; inspect dependencies</x:v>
      </x:c>
      <x:c r="H380" s="25" t="str">
        <x:v>Saved definition only; includes display/selector helpers. Not an accepted business KPI or proof of runtime/DR/SLA.</x:v>
      </x:c>
      <x:c r="I380" s="25" t="str">
        <x:v>SM WMPP Mission Control Import/SM WMPP Mission Control.SemanticModel/definition/tables/_MissionControl_Measures.tmdl:1020
Full code: KPI_CALCULATION_TRACEABILITY.md</x:v>
      </x:c>
    </x:row>
    <x:row r="381" ht="124" customHeight="1">
      <x:c r="A381" s="25" t="str">
        <x:v>Discovery cfg_location_coordinate State</x:v>
      </x:c>
      <x:c r="B381" s="25" t="str">
        <x:v>_MissionControl_Measures</x:v>
      </x:c>
      <x:c r="C381" s="25" t="str">
        <x:v>VAR n = [Discovery cfg_location_coordinate Rows]
			RETURN IF(n = 0,
			    IF([Discovery history selected] = 1, "No retained discovery for this selection", "No discovery records available"),
			    "Retained records: " &amp; FORMAT(n, "#,0"))</x:v>
      </x:c>
      <x:c r="D381" s="25" t="str">
        <x:v>Load Calendar (local/calculated model object; no direct notebook producer asserted); monitoring.rpt_job_run_summary</x:v>
      </x:c>
      <x:c r="E381" s="25" t="str">
        <x:v>No direct visible binding verified</x:v>
      </x:c>
      <x:c r="F381" s="25" t="str">
        <x:v>No requirement mapping asserted</x:v>
      </x:c>
      <x:c r="G381" s="25" t="str">
        <x:v>06_reports.py:141</x:v>
      </x:c>
      <x:c r="H381" s="25" t="str">
        <x:v>Saved definition only; includes display/selector helpers. Not an accepted business KPI or proof of runtime/DR/SLA.</x:v>
      </x:c>
      <x:c r="I381" s="25" t="str">
        <x:v>SM WMPP Mission Control Import/SM WMPP Mission Control.SemanticModel/definition/tables/_MissionControl_Measures.tmdl:1025
Full code: KPI_CALCULATION_TRACEABILITY.md</x:v>
      </x:c>
    </x:row>
    <x:row r="382" ht="59" customHeight="1">
      <x:c r="A382" s="25" t="str">
        <x:v>Discovery cfg_schema_drift_event Latest time</x:v>
      </x:c>
      <x:c r="B382" s="25" t="str">
        <x:v>_MissionControl_Measures</x:v>
      </x:c>
      <x:c r="C382" s="25" t="str">
        <x:v>CALCULATE(MAX(cfg_schema_drift_event[detected_at]), REMOVEFILTERS())</x:v>
      </x:c>
      <x:c r="D382" s="25" t="str">
        <x:v>monitoring.cfg_schema_drift_event</x:v>
      </x:c>
      <x:c r="E382" s="25" t="str">
        <x:v>No direct visible binding verified</x:v>
      </x:c>
      <x:c r="F382" s="25" t="str">
        <x:v>No requirement mapping asserted</x:v>
      </x:c>
      <x:c r="G382" s="25" t="str">
        <x:v>01a_cfg_schema_capture_live.py:308</x:v>
      </x:c>
      <x:c r="H382" s="25" t="str">
        <x:v>Saved definition only; includes display/selector helpers. Not an accepted business KPI or proof of runtime/DR/SLA.</x:v>
      </x:c>
      <x:c r="I382" s="25" t="str">
        <x:v>SM WMPP Mission Control Import/SM WMPP Mission Control.SemanticModel/definition/tables/_MissionControl_Measures.tmdl:1033
Full code: KPI_CALCULATION_TRACEABILITY.md</x:v>
      </x:c>
    </x:row>
    <x:row r="383" ht="176" customHeight="1">
      <x:c r="A383" s="25" t="str">
        <x:v>Discovery cfg_schema_drift_event Latest key</x:v>
      </x:c>
      <x:c r="B383" s="25" t="str">
        <x:v>_MissionControl_Measures</x:v>
      </x:c>
      <x:c r="C383" s="25" t="str">
        <x:v>VAR Batches = CALCULATETABLE(SUMMARIZE(cfg_schema_drift_event, cfg_schema_drift_event[run_id],
			    "DiscoveryTime", MAX(cfg_schema_drift_event[detected_at])), REMOVEFILTERS())
			VAR LatestBatch = TOPN(1, FILTER(Batches, NOT ISBLANK([DiscoveryTime])),
			    [DiscoveryTime], DESC, cfg_schema_drift_event[run_id], DESC)
			RETURN MAXX(LatestBatch, cfg_schema_drift_event[run_id])</x:v>
      </x:c>
      <x:c r="D383" s="25" t="str">
        <x:v>monitoring.cfg_schema_drift_event</x:v>
      </x:c>
      <x:c r="E383" s="25" t="str">
        <x:v>No direct visible binding verified</x:v>
      </x:c>
      <x:c r="F383" s="25" t="str">
        <x:v>No requirement mapping asserted</x:v>
      </x:c>
      <x:c r="G383" s="25" t="str">
        <x:v>01a_cfg_schema_capture_live.py:308</x:v>
      </x:c>
      <x:c r="H383" s="25" t="str">
        <x:v>Saved definition only; includes display/selector helpers. Not an accepted business KPI or proof of runtime/DR/SLA.</x:v>
      </x:c>
      <x:c r="I383" s="25" t="str">
        <x:v>SM WMPP Mission Control Import/SM WMPP Mission Control.SemanticModel/definition/tables/_MissionControl_Measures.tmdl:1038
Full code: KPI_CALCULATION_TRACEABILITY.md</x:v>
      </x:c>
    </x:row>
    <x:row r="384" ht="254" customHeight="1">
      <x:c r="A384" s="25" t="str">
        <x:v>Discovery cfg_schema_drift_event Rows</x:v>
      </x:c>
      <x:c r="B384" s="25" t="str">
        <x:v>_MissionControl_Measures</x:v>
      </x:c>
      <x:c r="C384" s="25" t="str">
        <x:v>COALESCE(IF([Discovery history selected] = 1, CALCULATE(COUNTROWS(cfg_schema_drift_event), KEEPFILTERS(TREATAS(CALCULATETABLE(VALUES('Discovery Job Runs'[job_run_id]),
			            KEEPFILTERS(TREATAS(VALUES('Load Calendar'[Date]), 'Discovery Job Runs'[Run Date]))), cfg_schema_drift_event[job_run_id]))), IF(ISBLANK([Discovery cfg_schema_drift_event Latest key]), CALCULATE(COUNTROWS(cfg_schema_drift_event), KEEPFILTERS(TREATAS({[Discovery cfg_schema_drift_event Latest time]}, cfg_schema_drift_event[detected_at]))), CALCULATE(COUNTROWS(cfg_schema_drift_event), KEEPFILTERS(TREATAS({[Discovery cfg_schema_drift_event Latest key]}, cfg_schema_drift_event[run_id]))))), 0)</x:v>
      </x:c>
      <x:c r="D384" s="25" t="str">
        <x:v>Load Calendar (local/calculated model object; no direct notebook producer asserted); monitoring.cfg_schema_drift_event; monitoring.rpt_job_run_summary</x:v>
      </x:c>
      <x:c r="E384" s="25" t="str">
        <x:v>Schema &amp; Drift</x:v>
      </x:c>
      <x:c r="F384" s="25" t="str">
        <x:v>R84</x:v>
      </x:c>
      <x:c r="G384" s="25" t="str">
        <x:v>06_reports.py:141; 01a_cfg_schema_capture_live.py:308</x:v>
      </x:c>
      <x:c r="H384" s="25" t="str">
        <x:v>Saved definition only; includes display/selector helpers. Not an accepted business KPI or proof of runtime/DR/SLA.</x:v>
      </x:c>
      <x:c r="I384" s="25" t="str">
        <x:v>SM WMPP Mission Control Import/SM WMPP Mission Control.SemanticModel/definition/tables/_MissionControl_Measures.tmdl:1047
Full code: KPI_CALCULATION_TRACEABILITY.md</x:v>
      </x:c>
    </x:row>
    <x:row r="385" ht="72" customHeight="1">
      <x:c r="A385" s="25" t="str">
        <x:v>Discovery cfg_schema_drift_event Visible</x:v>
      </x:c>
      <x:c r="B385" s="25" t="str">
        <x:v>_MissionControl_Measures</x:v>
      </x:c>
      <x:c r="C385" s="25" t="str">
        <x:v>IF([Discovery cfg_schema_drift_event Rows] &gt; 0, 1, 0)</x:v>
      </x:c>
      <x:c r="D385" s="25" t="str">
        <x:v>Load Calendar (local/calculated model object; no direct notebook producer asserted); monitoring.cfg_schema_drift_event; monitoring.rpt_job_run_summary</x:v>
      </x:c>
      <x:c r="E385" s="25" t="str">
        <x:v>Schema &amp; Drift</x:v>
      </x:c>
      <x:c r="F385" s="25" t="str">
        <x:v>No requirement mapping asserted</x:v>
      </x:c>
      <x:c r="G385" s="25" t="str">
        <x:v>06_reports.py:141; 01a_cfg_schema_capture_live.py:308</x:v>
      </x:c>
      <x:c r="H385" s="25" t="str">
        <x:v>Saved definition only; includes display/selector helpers. Not an accepted business KPI or proof of runtime/DR/SLA.</x:v>
      </x:c>
      <x:c r="I385" s="25" t="str">
        <x:v>SM WMPP Mission Control Import/SM WMPP Mission Control.SemanticModel/definition/tables/_MissionControl_Measures.tmdl:1054
Full code: KPI_CALCULATION_TRACEABILITY.md</x:v>
      </x:c>
    </x:row>
    <x:row r="386" ht="267" customHeight="1">
      <x:c r="A386" s="25" t="str">
        <x:v>Discovery cfg_schema_drift_event Selected time</x:v>
      </x:c>
      <x:c r="B386" s="25" t="str">
        <x:v>_MissionControl_Measures</x:v>
      </x:c>
      <x:c r="C386" s="25" t="str">
        <x:v>IF([Discovery history selected] = 1, CALCULATE(MAX(cfg_schema_drift_event[detected_at]), KEEPFILTERS(TREATAS(CALCULATETABLE(VALUES('Discovery Job Runs'[job_run_id]),
			            KEEPFILTERS(TREATAS(VALUES('Load Calendar'[Date]), 'Discovery Job Runs'[Run Date]))), cfg_schema_drift_event[job_run_id]))), IF(ISBLANK([Discovery cfg_schema_drift_event Latest key]), CALCULATE(MAX(cfg_schema_drift_event[detected_at]), KEEPFILTERS(TREATAS({[Discovery cfg_schema_drift_event Latest time]}, cfg_schema_drift_event[detected_at]))), CALCULATE(MAX(cfg_schema_drift_event[detected_at]), KEEPFILTERS(TREATAS({[Discovery cfg_schema_drift_event Latest key]}, cfg_schema_drift_event[run_id])))))</x:v>
      </x:c>
      <x:c r="D386" s="25" t="str">
        <x:v>Load Calendar (local/calculated model object; no direct notebook producer asserted); monitoring.cfg_schema_drift_event; monitoring.rpt_job_run_summary</x:v>
      </x:c>
      <x:c r="E386" s="25" t="str">
        <x:v>No direct visible binding verified</x:v>
      </x:c>
      <x:c r="F386" s="25" t="str">
        <x:v>No requirement mapping asserted</x:v>
      </x:c>
      <x:c r="G386" s="25" t="str">
        <x:v>06_reports.py:141; 01a_cfg_schema_capture_live.py:308</x:v>
      </x:c>
      <x:c r="H386" s="25" t="str">
        <x:v>Saved definition only; includes display/selector helpers. Not an accepted business KPI or proof of runtime/DR/SLA.</x:v>
      </x:c>
      <x:c r="I386" s="25" t="str">
        <x:v>SM WMPP Mission Control Import/SM WMPP Mission Control.SemanticModel/definition/tables/_MissionControl_Measures.tmdl:1059
Full code: KPI_CALCULATION_TRACEABILITY.md</x:v>
      </x:c>
    </x:row>
    <x:row r="387" ht="124" customHeight="1">
      <x:c r="A387" s="25" t="str">
        <x:v>Discovery cfg_schema_drift_event State</x:v>
      </x:c>
      <x:c r="B387" s="25" t="str">
        <x:v>_MissionControl_Measures</x:v>
      </x:c>
      <x:c r="C387" s="25" t="str">
        <x:v>VAR n = [Discovery cfg_schema_drift_event Rows]
			RETURN IF(n = 0,
			    IF([Discovery history selected] = 1, "No retained discovery for this selection", "No discovery records available"),
			    "Retained records: " &amp; FORMAT(n, "#,0"))</x:v>
      </x:c>
      <x:c r="D387" s="25" t="str">
        <x:v>Load Calendar (local/calculated model object; no direct notebook producer asserted); monitoring.cfg_schema_drift_event; monitoring.rpt_job_run_summary</x:v>
      </x:c>
      <x:c r="E387" s="25" t="str">
        <x:v>Schema &amp; Drift</x:v>
      </x:c>
      <x:c r="F387" s="25" t="str">
        <x:v>No requirement mapping asserted</x:v>
      </x:c>
      <x:c r="G387" s="25" t="str">
        <x:v>06_reports.py:141; 01a_cfg_schema_capture_live.py:308</x:v>
      </x:c>
      <x:c r="H387" s="25" t="str">
        <x:v>Saved definition only; includes display/selector helpers. Not an accepted business KPI or proof of runtime/DR/SLA.</x:v>
      </x:c>
      <x:c r="I387" s="25" t="str">
        <x:v>SM WMPP Mission Control Import/SM WMPP Mission Control.SemanticModel/definition/tables/_MissionControl_Measures.tmdl:1066
Full code: KPI_CALCULATION_TRACEABILITY.md</x:v>
      </x:c>
    </x:row>
    <x:row r="388" ht="59" customHeight="1">
      <x:c r="A388" s="25" t="str">
        <x:v>Discovery rpt_job_schema_drift Latest time</x:v>
      </x:c>
      <x:c r="B388" s="25" t="str">
        <x:v>_MissionControl_Measures</x:v>
      </x:c>
      <x:c r="C388" s="25" t="str">
        <x:v>CALCULATE(MAX(rpt_job_schema_drift[last_detected_at]), REMOVEFILTERS())</x:v>
      </x:c>
      <x:c r="D388" s="25" t="str">
        <x:v>monitoring.rpt_job_schema_drift</x:v>
      </x:c>
      <x:c r="E388" s="25" t="str">
        <x:v>No direct visible binding verified</x:v>
      </x:c>
      <x:c r="F388" s="25" t="str">
        <x:v>No requirement mapping asserted</x:v>
      </x:c>
      <x:c r="G388" s="25" t="str">
        <x:v>06_reports.py:177</x:v>
      </x:c>
      <x:c r="H388" s="25" t="str">
        <x:v>Saved definition only; includes display/selector helpers. Not an accepted business KPI or proof of runtime/DR/SLA.</x:v>
      </x:c>
      <x:c r="I388" s="25" t="str">
        <x:v>SM WMPP Mission Control Import/SM WMPP Mission Control.SemanticModel/definition/tables/_MissionControl_Measures.tmdl:1074
Full code: KPI_CALCULATION_TRACEABILITY.md</x:v>
      </x:c>
    </x:row>
    <x:row r="389" ht="176" customHeight="1">
      <x:c r="A389" s="25" t="str">
        <x:v>Discovery rpt_job_schema_drift Latest key</x:v>
      </x:c>
      <x:c r="B389" s="25" t="str">
        <x:v>_MissionControl_Measures</x:v>
      </x:c>
      <x:c r="C389" s="25" t="str">
        <x:v>VAR Batches = CALCULATETABLE(SUMMARIZE(rpt_job_schema_drift, rpt_job_schema_drift[run_id],
			    "DiscoveryTime", MAX(rpt_job_schema_drift[last_detected_at])), REMOVEFILTERS())
			VAR LatestBatch = TOPN(1, FILTER(Batches, NOT ISBLANK([DiscoveryTime])),
			    [DiscoveryTime], DESC, rpt_job_schema_drift[run_id], DESC)
			RETURN MAXX(LatestBatch, rpt_job_schema_drift[run_id])</x:v>
      </x:c>
      <x:c r="D389" s="25" t="str">
        <x:v>monitoring.rpt_job_schema_drift</x:v>
      </x:c>
      <x:c r="E389" s="25" t="str">
        <x:v>No direct visible binding verified</x:v>
      </x:c>
      <x:c r="F389" s="25" t="str">
        <x:v>No requirement mapping asserted</x:v>
      </x:c>
      <x:c r="G389" s="25" t="str">
        <x:v>06_reports.py:177</x:v>
      </x:c>
      <x:c r="H389" s="25" t="str">
        <x:v>Saved definition only; includes display/selector helpers. Not an accepted business KPI or proof of runtime/DR/SLA.</x:v>
      </x:c>
      <x:c r="I389" s="25" t="str">
        <x:v>SM WMPP Mission Control Import/SM WMPP Mission Control.SemanticModel/definition/tables/_MissionControl_Measures.tmdl:1079
Full code: KPI_CALCULATION_TRACEABILITY.md</x:v>
      </x:c>
    </x:row>
    <x:row r="390" ht="254" customHeight="1">
      <x:c r="A390" s="25" t="str">
        <x:v>Discovery rpt_job_schema_drift Rows</x:v>
      </x:c>
      <x:c r="B390" s="25" t="str">
        <x:v>_MissionControl_Measures</x:v>
      </x:c>
      <x:c r="C390" s="25" t="str">
        <x:v>COALESCE(IF([Discovery history selected] = 1, CALCULATE(COUNTROWS(rpt_job_schema_drift), KEEPFILTERS(TREATAS(CALCULATETABLE(VALUES('Discovery Job Runs'[job_run_id]),
			            KEEPFILTERS(TREATAS(VALUES('Load Calendar'[Date]), 'Discovery Job Runs'[Run Date]))), rpt_job_schema_drift[job_run_id]))), IF(ISBLANK([Discovery rpt_job_schema_drift Latest key]), CALCULATE(COUNTROWS(rpt_job_schema_drift), KEEPFILTERS(TREATAS({[Discovery rpt_job_schema_drift Latest time]}, rpt_job_schema_drift[last_detected_at]))), CALCULATE(COUNTROWS(rpt_job_schema_drift), KEEPFILTERS(TREATAS({[Discovery rpt_job_schema_drift Latest key]}, rpt_job_schema_drift[run_id]))))), 0)</x:v>
      </x:c>
      <x:c r="D390" s="25" t="str">
        <x:v>Load Calendar (local/calculated model object; no direct notebook producer asserted); monitoring.rpt_job_run_summary; monitoring.rpt_job_schema_drift</x:v>
      </x:c>
      <x:c r="E390" s="25" t="str">
        <x:v>No direct visible binding verified</x:v>
      </x:c>
      <x:c r="F390" s="25" t="str">
        <x:v>No requirement mapping asserted</x:v>
      </x:c>
      <x:c r="G390" s="25" t="str">
        <x:v>06_reports.py:141; 06_reports.py:177</x:v>
      </x:c>
      <x:c r="H390" s="25" t="str">
        <x:v>Saved definition only; includes display/selector helpers. Not an accepted business KPI or proof of runtime/DR/SLA.</x:v>
      </x:c>
      <x:c r="I390" s="25" t="str">
        <x:v>SM WMPP Mission Control Import/SM WMPP Mission Control.SemanticModel/definition/tables/_MissionControl_Measures.tmdl:1088
Full code: KPI_CALCULATION_TRACEABILITY.md</x:v>
      </x:c>
    </x:row>
    <x:row r="391" ht="72" customHeight="1">
      <x:c r="A391" s="25" t="str">
        <x:v>Discovery rpt_job_schema_drift Visible</x:v>
      </x:c>
      <x:c r="B391" s="25" t="str">
        <x:v>_MissionControl_Measures</x:v>
      </x:c>
      <x:c r="C391" s="25" t="str">
        <x:v>IF([Discovery rpt_job_schema_drift Rows] &gt; 0, 1, 0)</x:v>
      </x:c>
      <x:c r="D391" s="25" t="str">
        <x:v>Load Calendar (local/calculated model object; no direct notebook producer asserted); monitoring.rpt_job_run_summary; monitoring.rpt_job_schema_drift</x:v>
      </x:c>
      <x:c r="E391" s="25" t="str">
        <x:v>Schema &amp; Drift</x:v>
      </x:c>
      <x:c r="F391" s="25" t="str">
        <x:v>No requirement mapping asserted</x:v>
      </x:c>
      <x:c r="G391" s="25" t="str">
        <x:v>06_reports.py:141; 06_reports.py:177</x:v>
      </x:c>
      <x:c r="H391" s="25" t="str">
        <x:v>Saved definition only; includes display/selector helpers. Not an accepted business KPI or proof of runtime/DR/SLA.</x:v>
      </x:c>
      <x:c r="I391" s="25" t="str">
        <x:v>SM WMPP Mission Control Import/SM WMPP Mission Control.SemanticModel/definition/tables/_MissionControl_Measures.tmdl:1095
Full code: KPI_CALCULATION_TRACEABILITY.md</x:v>
      </x:c>
    </x:row>
    <x:row r="392" ht="267" customHeight="1">
      <x:c r="A392" s="25" t="str">
        <x:v>Discovery rpt_job_schema_drift Selected time</x:v>
      </x:c>
      <x:c r="B392" s="25" t="str">
        <x:v>_MissionControl_Measures</x:v>
      </x:c>
      <x:c r="C392" s="25" t="str">
        <x:v>IF([Discovery history selected] = 1, CALCULATE(MAX(rpt_job_schema_drift[last_detected_at]), KEEPFILTERS(TREATAS(CALCULATETABLE(VALUES('Discovery Job Runs'[job_run_id]),
			            KEEPFILTERS(TREATAS(VALUES('Load Calendar'[Date]), 'Discovery Job Runs'[Run Date]))), rpt_job_schema_drift[job_run_id]))), IF(ISBLANK([Discovery rpt_job_schema_drift Latest key]), CALCULATE(MAX(rpt_job_schema_drift[last_detected_at]), KEEPFILTERS(TREATAS({[Discovery rpt_job_schema_drift Latest time]}, rpt_job_schema_drift[last_detected_at]))), CALCULATE(MAX(rpt_job_schema_drift[last_detected_at]), KEEPFILTERS(TREATAS({[Discovery rpt_job_schema_drift Latest key]}, rpt_job_schema_drift[run_id])))))</x:v>
      </x:c>
      <x:c r="D392" s="25" t="str">
        <x:v>Load Calendar (local/calculated model object; no direct notebook producer asserted); monitoring.rpt_job_run_summary; monitoring.rpt_job_schema_drift</x:v>
      </x:c>
      <x:c r="E392" s="25" t="str">
        <x:v>No direct visible binding verified</x:v>
      </x:c>
      <x:c r="F392" s="25" t="str">
        <x:v>No requirement mapping asserted</x:v>
      </x:c>
      <x:c r="G392" s="25" t="str">
        <x:v>06_reports.py:141; 06_reports.py:177</x:v>
      </x:c>
      <x:c r="H392" s="25" t="str">
        <x:v>Saved definition only; includes display/selector helpers. Not an accepted business KPI or proof of runtime/DR/SLA.</x:v>
      </x:c>
      <x:c r="I392" s="25" t="str">
        <x:v>SM WMPP Mission Control Import/SM WMPP Mission Control.SemanticModel/definition/tables/_MissionControl_Measures.tmdl:1100
Full code: KPI_CALCULATION_TRACEABILITY.md</x:v>
      </x:c>
    </x:row>
    <x:row r="393" ht="124" customHeight="1">
      <x:c r="A393" s="25" t="str">
        <x:v>Discovery rpt_job_schema_drift State</x:v>
      </x:c>
      <x:c r="B393" s="25" t="str">
        <x:v>_MissionControl_Measures</x:v>
      </x:c>
      <x:c r="C393" s="25" t="str">
        <x:v>VAR n = [Discovery rpt_job_schema_drift Rows]
			RETURN IF(n = 0,
			    IF([Discovery history selected] = 1, "No retained discovery for this selection", "No discovery records available"),
			    "Retained records: " &amp; FORMAT(n, "#,0"))</x:v>
      </x:c>
      <x:c r="D393" s="25" t="str">
        <x:v>Load Calendar (local/calculated model object; no direct notebook producer asserted); monitoring.rpt_job_run_summary; monitoring.rpt_job_schema_drift</x:v>
      </x:c>
      <x:c r="E393" s="25" t="str">
        <x:v>No direct visible binding verified</x:v>
      </x:c>
      <x:c r="F393" s="25" t="str">
        <x:v>No requirement mapping asserted</x:v>
      </x:c>
      <x:c r="G393" s="25" t="str">
        <x:v>06_reports.py:141; 06_reports.py:177</x:v>
      </x:c>
      <x:c r="H393" s="25" t="str">
        <x:v>Saved definition only; includes display/selector helpers. Not an accepted business KPI or proof of runtime/DR/SLA.</x:v>
      </x:c>
      <x:c r="I393" s="25" t="str">
        <x:v>SM WMPP Mission Control Import/SM WMPP Mission Control.SemanticModel/definition/tables/_MissionControl_Measures.tmdl:1107
Full code: KPI_CALCULATION_TRACEABILITY.md</x:v>
      </x:c>
    </x:row>
    <x:row r="394" ht="59" customHeight="1">
      <x:c r="A394" s="25" t="str">
        <x:v>Discovery cfg_schema_drift_definition Latest time</x:v>
      </x:c>
      <x:c r="B394" s="25" t="str">
        <x:v>_MissionControl_Measures</x:v>
      </x:c>
      <x:c r="C394" s="25" t="str">
        <x:v>CALCULATE(MAX(cfg_schema_drift_definition[definition_loaded_at]), REMOVEFILTERS())</x:v>
      </x:c>
      <x:c r="D394" s="25" t="str">
        <x:v>monitoring.cfg_schema_drift_definition</x:v>
      </x:c>
      <x:c r="E394" s="25" t="str">
        <x:v>No direct visible binding verified</x:v>
      </x:c>
      <x:c r="F394" s="25" t="str">
        <x:v>No requirement mapping asserted</x:v>
      </x:c>
      <x:c r="G394" s="25" t="str">
        <x:v>01a_cfg_schema_capture_live.py:120</x:v>
      </x:c>
      <x:c r="H394" s="25" t="str">
        <x:v>Saved definition only; includes display/selector helpers. Not an accepted business KPI or proof of runtime/DR/SLA.</x:v>
      </x:c>
      <x:c r="I394" s="25" t="str">
        <x:v>SM WMPP Mission Control Import/SM WMPP Mission Control.SemanticModel/definition/tables/_MissionControl_Measures.tmdl:1115
Full code: KPI_CALCULATION_TRACEABILITY.md</x:v>
      </x:c>
    </x:row>
    <x:row r="395" ht="85" customHeight="1">
      <x:c r="A395" s="25" t="str">
        <x:v>Discovery cfg_schema_drift_definition Rows</x:v>
      </x:c>
      <x:c r="B395" s="25" t="str">
        <x:v>_MissionControl_Measures</x:v>
      </x:c>
      <x:c r="C395" s="25" t="str">
        <x:v>COALESCE(CALCULATE(COUNTROWS(cfg_schema_drift_definition), KEEPFILTERS(TREATAS({[Discovery cfg_schema_drift_definition Latest time]}, cfg_schema_drift_definition[definition_loaded_at]))), 0)</x:v>
      </x:c>
      <x:c r="D395" s="25" t="str">
        <x:v>monitoring.cfg_schema_drift_definition</x:v>
      </x:c>
      <x:c r="E395" s="25" t="str">
        <x:v>No direct visible binding verified</x:v>
      </x:c>
      <x:c r="F395" s="25" t="str">
        <x:v>No requirement mapping asserted</x:v>
      </x:c>
      <x:c r="G395" s="25" t="str">
        <x:v>01a_cfg_schema_capture_live.py:120</x:v>
      </x:c>
      <x:c r="H395" s="25" t="str">
        <x:v>Saved definition only; includes display/selector helpers. Not an accepted business KPI or proof of runtime/DR/SLA.</x:v>
      </x:c>
      <x:c r="I395" s="25" t="str">
        <x:v>SM WMPP Mission Control Import/SM WMPP Mission Control.SemanticModel/definition/tables/_MissionControl_Measures.tmdl:1120
Full code: KPI_CALCULATION_TRACEABILITY.md</x:v>
      </x:c>
    </x:row>
    <x:row r="396" ht="59" customHeight="1">
      <x:c r="A396" s="25" t="str">
        <x:v>Discovery cfg_schema_drift_definition Visible</x:v>
      </x:c>
      <x:c r="B396" s="25" t="str">
        <x:v>_MissionControl_Measures</x:v>
      </x:c>
      <x:c r="C396" s="25" t="str">
        <x:v>IF([Discovery cfg_schema_drift_definition Rows] &gt; 0, 1, 0)</x:v>
      </x:c>
      <x:c r="D396" s="25" t="str">
        <x:v>monitoring.cfg_schema_drift_definition</x:v>
      </x:c>
      <x:c r="E396" s="25" t="str">
        <x:v>Schema &amp; Drift</x:v>
      </x:c>
      <x:c r="F396" s="25" t="str">
        <x:v>No requirement mapping asserted</x:v>
      </x:c>
      <x:c r="G396" s="25" t="str">
        <x:v>01a_cfg_schema_capture_live.py:120</x:v>
      </x:c>
      <x:c r="H396" s="25" t="str">
        <x:v>Saved definition only; includes display/selector helpers. Not an accepted business KPI or proof of runtime/DR/SLA.</x:v>
      </x:c>
      <x:c r="I396" s="25" t="str">
        <x:v>SM WMPP Mission Control Import/SM WMPP Mission Control.SemanticModel/definition/tables/_MissionControl_Measures.tmdl:1125
Full code: KPI_CALCULATION_TRACEABILITY.md</x:v>
      </x:c>
    </x:row>
    <x:row r="397" ht="85" customHeight="1">
      <x:c r="A397" s="25" t="str">
        <x:v>Discovery cfg_schema_drift_definition Selected time</x:v>
      </x:c>
      <x:c r="B397" s="25" t="str">
        <x:v>_MissionControl_Measures</x:v>
      </x:c>
      <x:c r="C397" s="25" t="str">
        <x:v>CALCULATE(MAX(cfg_schema_drift_definition[definition_loaded_at]), KEEPFILTERS(TREATAS({[Discovery cfg_schema_drift_definition Latest time]}, cfg_schema_drift_definition[definition_loaded_at])))</x:v>
      </x:c>
      <x:c r="D397" s="25" t="str">
        <x:v>monitoring.cfg_schema_drift_definition</x:v>
      </x:c>
      <x:c r="E397" s="25" t="str">
        <x:v>No direct visible binding verified</x:v>
      </x:c>
      <x:c r="F397" s="25" t="str">
        <x:v>No requirement mapping asserted</x:v>
      </x:c>
      <x:c r="G397" s="25" t="str">
        <x:v>01a_cfg_schema_capture_live.py:120</x:v>
      </x:c>
      <x:c r="H397" s="25" t="str">
        <x:v>Saved definition only; includes display/selector helpers. Not an accepted business KPI or proof of runtime/DR/SLA.</x:v>
      </x:c>
      <x:c r="I397" s="25" t="str">
        <x:v>SM WMPP Mission Control Import/SM WMPP Mission Control.SemanticModel/definition/tables/_MissionControl_Measures.tmdl:1130
Full code: KPI_CALCULATION_TRACEABILITY.md</x:v>
      </x:c>
    </x:row>
    <x:row r="398" ht="124" customHeight="1">
      <x:c r="A398" s="25" t="str">
        <x:v>Discovery cfg_schema_drift_definition State</x:v>
      </x:c>
      <x:c r="B398" s="25" t="str">
        <x:v>_MissionControl_Measures</x:v>
      </x:c>
      <x:c r="C398" s="25" t="str">
        <x:v>VAR n = [Discovery cfg_schema_drift_definition Rows]
			RETURN IF(n = 0,
			    IF([Discovery history selected] = 1, "No retained discovery for this selection", "No discovery records available"),
			    "Retained records: " &amp; FORMAT(n, "#,0"))</x:v>
      </x:c>
      <x:c r="D398" s="25" t="str">
        <x:v>Load Calendar (local/calculated model object; no direct notebook producer asserted); monitoring.cfg_schema_drift_definition; monitoring.rpt_job_run_summary</x:v>
      </x:c>
      <x:c r="E398" s="25" t="str">
        <x:v>No direct visible binding verified</x:v>
      </x:c>
      <x:c r="F398" s="25" t="str">
        <x:v>No requirement mapping asserted</x:v>
      </x:c>
      <x:c r="G398" s="25" t="str">
        <x:v>01a_cfg_schema_capture_live.py:120; 06_reports.py:141</x:v>
      </x:c>
      <x:c r="H398" s="25" t="str">
        <x:v>Saved definition only; includes display/selector helpers. Not an accepted business KPI or proof of runtime/DR/SLA.</x:v>
      </x:c>
      <x:c r="I398" s="25" t="str">
        <x:v>SM WMPP Mission Control Import/SM WMPP Mission Control.SemanticModel/definition/tables/_MissionControl_Measures.tmdl:1135
Full code: KPI_CALCULATION_TRACEABILITY.md</x:v>
      </x:c>
    </x:row>
    <x:row r="399" ht="59" customHeight="1">
      <x:c r="A399" s="25" t="str">
        <x:v>Discovery cfg_schema_definition_candidate Rows</x:v>
      </x:c>
      <x:c r="B399" s="25" t="str">
        <x:v>_MissionControl_Measures</x:v>
      </x:c>
      <x:c r="C399" s="25" t="str">
        <x:v>COALESCE(COUNTROWS(cfg_schema_definition_candidate), 0)</x:v>
      </x:c>
      <x:c r="D399" s="25" t="str"/>
      <x:c r="E399" s="25" t="str">
        <x:v>No direct visible binding verified</x:v>
      </x:c>
      <x:c r="F399" s="25" t="str">
        <x:v>No requirement mapping asserted</x:v>
      </x:c>
      <x:c r="G399" s="25" t="str">
        <x:v>Local semantic calculation; inspect dependencies</x:v>
      </x:c>
      <x:c r="H399" s="25" t="str">
        <x:v>Saved definition only; includes display/selector helpers. Not an accepted business KPI or proof of runtime/DR/SLA.</x:v>
      </x:c>
      <x:c r="I399" s="25" t="str">
        <x:v>SM WMPP Mission Control Import/SM WMPP Mission Control.SemanticModel/definition/tables/_MissionControl_Measures.tmdl:1143
Full code: KPI_CALCULATION_TRACEABILITY.md</x:v>
      </x:c>
    </x:row>
    <x:row r="400" ht="59" customHeight="1">
      <x:c r="A400" s="25" t="str">
        <x:v>Discovery cfg_schema_definition_candidate Visible</x:v>
      </x:c>
      <x:c r="B400" s="25" t="str">
        <x:v>_MissionControl_Measures</x:v>
      </x:c>
      <x:c r="C400" s="25" t="str">
        <x:v>IF([Discovery cfg_schema_definition_candidate Rows] &gt; 0, 1, 0)</x:v>
      </x:c>
      <x:c r="D400" s="25" t="str"/>
      <x:c r="E400" s="25" t="str">
        <x:v>Schema &amp; Drift</x:v>
      </x:c>
      <x:c r="F400" s="25" t="str">
        <x:v>No requirement mapping asserted</x:v>
      </x:c>
      <x:c r="G400" s="25" t="str">
        <x:v>Local semantic calculation; inspect dependencies</x:v>
      </x:c>
      <x:c r="H400" s="25" t="str">
        <x:v>Saved definition only; includes display/selector helpers. Not an accepted business KPI or proof of runtime/DR/SLA.</x:v>
      </x:c>
      <x:c r="I400" s="25" t="str">
        <x:v>SM WMPP Mission Control Import/SM WMPP Mission Control.SemanticModel/definition/tables/_MissionControl_Measures.tmdl:1148
Full code: KPI_CALCULATION_TRACEABILITY.md</x:v>
      </x:c>
    </x:row>
    <x:row r="401" ht="124" customHeight="1">
      <x:c r="A401" s="25" t="str">
        <x:v>Discovery cfg_schema_definition_candidate State</x:v>
      </x:c>
      <x:c r="B401" s="25" t="str">
        <x:v>_MissionControl_Measures</x:v>
      </x:c>
      <x:c r="C401" s="25" t="str">
        <x:v>VAR n = [Discovery cfg_schema_definition_candidate Rows]
			RETURN IF(n = 0,
			    IF([Discovery history selected] = 1, "No retained discovery for this selection", "No discovery records available"),
			    "Retained records: " &amp; FORMAT(n, "#,0"))</x:v>
      </x:c>
      <x:c r="D401" s="25" t="str">
        <x:v>Load Calendar (local/calculated model object; no direct notebook producer asserted); monitoring.rpt_job_run_summary</x:v>
      </x:c>
      <x:c r="E401" s="25" t="str">
        <x:v>No direct visible binding verified</x:v>
      </x:c>
      <x:c r="F401" s="25" t="str">
        <x:v>No requirement mapping asserted</x:v>
      </x:c>
      <x:c r="G401" s="25" t="str">
        <x:v>06_reports.py:141</x:v>
      </x:c>
      <x:c r="H401" s="25" t="str">
        <x:v>Saved definition only; includes display/selector helpers. Not an accepted business KPI or proof of runtime/DR/SLA.</x:v>
      </x:c>
      <x:c r="I401" s="25" t="str">
        <x:v>SM WMPP Mission Control Import/SM WMPP Mission Control.SemanticModel/definition/tables/_MissionControl_Measures.tmdl:1153
Full code: KPI_CALCULATION_TRACEABILITY.md</x:v>
      </x:c>
    </x:row>
    <x:row r="402" ht="59" customHeight="1">
      <x:c r="A402" s="25" t="str">
        <x:v>Discovery cfg_bronze_schema_live Latest time</x:v>
      </x:c>
      <x:c r="B402" s="25" t="str">
        <x:v>_MissionControl_Measures</x:v>
      </x:c>
      <x:c r="C402" s="25" t="str">
        <x:v>CALCULATE(MAX(cfg_bronze_schema_live[captured_at]), REMOVEFILTERS())</x:v>
      </x:c>
      <x:c r="D402" s="25" t="str">
        <x:v>monitoring.cfg_bronze_schema_live</x:v>
      </x:c>
      <x:c r="E402" s="25" t="str">
        <x:v>No direct visible binding verified</x:v>
      </x:c>
      <x:c r="F402" s="25" t="str">
        <x:v>No requirement mapping asserted</x:v>
      </x:c>
      <x:c r="G402" s="25" t="str">
        <x:v>01a_cfg_schema_capture_live.py:308</x:v>
      </x:c>
      <x:c r="H402" s="25" t="str">
        <x:v>Saved definition only; includes display/selector helpers. Not an accepted business KPI or proof of runtime/DR/SLA.</x:v>
      </x:c>
      <x:c r="I402" s="25" t="str">
        <x:v>SM WMPP Mission Control Import/SM WMPP Mission Control.SemanticModel/definition/tables/_MissionControl_Measures.tmdl:1161
Full code: KPI_CALCULATION_TRACEABILITY.md</x:v>
      </x:c>
    </x:row>
    <x:row r="403" ht="176" customHeight="1">
      <x:c r="A403" s="25" t="str">
        <x:v>Discovery cfg_bronze_schema_live Latest key</x:v>
      </x:c>
      <x:c r="B403" s="25" t="str">
        <x:v>_MissionControl_Measures</x:v>
      </x:c>
      <x:c r="C403" s="25" t="str">
        <x:v>VAR Batches = CALCULATETABLE(SUMMARIZE(cfg_bronze_schema_live, cfg_bronze_schema_live[run_id],
			    "DiscoveryTime", MAX(cfg_bronze_schema_live[captured_at])), REMOVEFILTERS())
			VAR LatestBatch = TOPN(1, FILTER(Batches, NOT ISBLANK([DiscoveryTime])),
			    [DiscoveryTime], DESC, cfg_bronze_schema_live[run_id], DESC)
			RETURN MAXX(LatestBatch, cfg_bronze_schema_live[run_id])</x:v>
      </x:c>
      <x:c r="D403" s="25" t="str">
        <x:v>monitoring.cfg_bronze_schema_live</x:v>
      </x:c>
      <x:c r="E403" s="25" t="str">
        <x:v>No direct visible binding verified</x:v>
      </x:c>
      <x:c r="F403" s="25" t="str">
        <x:v>No requirement mapping asserted</x:v>
      </x:c>
      <x:c r="G403" s="25" t="str">
        <x:v>01a_cfg_schema_capture_live.py:308</x:v>
      </x:c>
      <x:c r="H403" s="25" t="str">
        <x:v>Saved definition only; includes display/selector helpers. Not an accepted business KPI or proof of runtime/DR/SLA.</x:v>
      </x:c>
      <x:c r="I403" s="25" t="str">
        <x:v>SM WMPP Mission Control Import/SM WMPP Mission Control.SemanticModel/definition/tables/_MissionControl_Measures.tmdl:1166
Full code: KPI_CALCULATION_TRACEABILITY.md</x:v>
      </x:c>
    </x:row>
    <x:row r="404" ht="254" customHeight="1">
      <x:c r="A404" s="25" t="str">
        <x:v>Discovery cfg_bronze_schema_live Rows</x:v>
      </x:c>
      <x:c r="B404" s="25" t="str">
        <x:v>_MissionControl_Measures</x:v>
      </x:c>
      <x:c r="C404" s="25" t="str">
        <x:v>COALESCE(IF([Discovery history selected] = 1, CALCULATE(COUNTROWS(cfg_bronze_schema_live), KEEPFILTERS(TREATAS(CALCULATETABLE(VALUES('Discovery Job Runs'[job_run_id]),
			            KEEPFILTERS(TREATAS(VALUES('Load Calendar'[Date]), 'Discovery Job Runs'[Run Date]))), cfg_bronze_schema_live[job_run_id]))), IF(ISBLANK([Discovery cfg_bronze_schema_live Latest key]), CALCULATE(COUNTROWS(cfg_bronze_schema_live), KEEPFILTERS(TREATAS({[Discovery cfg_bronze_schema_live Latest time]}, cfg_bronze_schema_live[captured_at]))), CALCULATE(COUNTROWS(cfg_bronze_schema_live), KEEPFILTERS(TREATAS({[Discovery cfg_bronze_schema_live Latest key]}, cfg_bronze_schema_live[run_id]))))), 0)</x:v>
      </x:c>
      <x:c r="D404" s="25" t="str">
        <x:v>Load Calendar (local/calculated model object; no direct notebook producer asserted); monitoring.cfg_bronze_schema_live; monitoring.rpt_job_run_summary</x:v>
      </x:c>
      <x:c r="E404" s="25" t="str">
        <x:v>Contracts &amp; Schema</x:v>
      </x:c>
      <x:c r="F404" s="25" t="str">
        <x:v>No requirement mapping asserted</x:v>
      </x:c>
      <x:c r="G404" s="25" t="str">
        <x:v>06_reports.py:141; 01a_cfg_schema_capture_live.py:308</x:v>
      </x:c>
      <x:c r="H404" s="25" t="str">
        <x:v>Saved definition only; includes display/selector helpers. Not an accepted business KPI or proof of runtime/DR/SLA.</x:v>
      </x:c>
      <x:c r="I404" s="25" t="str">
        <x:v>SM WMPP Mission Control Import/SM WMPP Mission Control.SemanticModel/definition/tables/_MissionControl_Measures.tmdl:1175
Full code: KPI_CALCULATION_TRACEABILITY.md</x:v>
      </x:c>
    </x:row>
    <x:row r="405" ht="72" customHeight="1">
      <x:c r="A405" s="25" t="str">
        <x:v>Discovery cfg_bronze_schema_live Visible</x:v>
      </x:c>
      <x:c r="B405" s="25" t="str">
        <x:v>_MissionControl_Measures</x:v>
      </x:c>
      <x:c r="C405" s="25" t="str">
        <x:v>IF([Discovery cfg_bronze_schema_live Rows] &gt; 0, 1, 0)</x:v>
      </x:c>
      <x:c r="D405" s="25" t="str">
        <x:v>Load Calendar (local/calculated model object; no direct notebook producer asserted); monitoring.cfg_bronze_schema_live; monitoring.rpt_job_run_summary</x:v>
      </x:c>
      <x:c r="E405" s="25" t="str">
        <x:v>Contracts &amp; Schema</x:v>
      </x:c>
      <x:c r="F405" s="25" t="str">
        <x:v>No requirement mapping asserted</x:v>
      </x:c>
      <x:c r="G405" s="25" t="str">
        <x:v>06_reports.py:141; 01a_cfg_schema_capture_live.py:308</x:v>
      </x:c>
      <x:c r="H405" s="25" t="str">
        <x:v>Saved definition only; includes display/selector helpers. Not an accepted business KPI or proof of runtime/DR/SLA.</x:v>
      </x:c>
      <x:c r="I405" s="25" t="str">
        <x:v>SM WMPP Mission Control Import/SM WMPP Mission Control.SemanticModel/definition/tables/_MissionControl_Measures.tmdl:1182
Full code: KPI_CALCULATION_TRACEABILITY.md</x:v>
      </x:c>
    </x:row>
    <x:row r="406" ht="267" customHeight="1">
      <x:c r="A406" s="25" t="str">
        <x:v>Discovery cfg_bronze_schema_live Selected time</x:v>
      </x:c>
      <x:c r="B406" s="25" t="str">
        <x:v>_MissionControl_Measures</x:v>
      </x:c>
      <x:c r="C406" s="25" t="str">
        <x:v>IF([Discovery history selected] = 1, CALCULATE(MAX(cfg_bronze_schema_live[captured_at]), KEEPFILTERS(TREATAS(CALCULATETABLE(VALUES('Discovery Job Runs'[job_run_id]),
			            KEEPFILTERS(TREATAS(VALUES('Load Calendar'[Date]), 'Discovery Job Runs'[Run Date]))), cfg_bronze_schema_live[job_run_id]))), IF(ISBLANK([Discovery cfg_bronze_schema_live Latest key]), CALCULATE(MAX(cfg_bronze_schema_live[captured_at]), KEEPFILTERS(TREATAS({[Discovery cfg_bronze_schema_live Latest time]}, cfg_bronze_schema_live[captured_at]))), CALCULATE(MAX(cfg_bronze_schema_live[captured_at]), KEEPFILTERS(TREATAS({[Discovery cfg_bronze_schema_live Latest key]}, cfg_bronze_schema_live[run_id])))))</x:v>
      </x:c>
      <x:c r="D406" s="25" t="str">
        <x:v>Load Calendar (local/calculated model object; no direct notebook producer asserted); monitoring.cfg_bronze_schema_live; monitoring.rpt_job_run_summary</x:v>
      </x:c>
      <x:c r="E406" s="25" t="str">
        <x:v>No direct visible binding verified</x:v>
      </x:c>
      <x:c r="F406" s="25" t="str">
        <x:v>No requirement mapping asserted</x:v>
      </x:c>
      <x:c r="G406" s="25" t="str">
        <x:v>06_reports.py:141; 01a_cfg_schema_capture_live.py:308</x:v>
      </x:c>
      <x:c r="H406" s="25" t="str">
        <x:v>Saved definition only; includes display/selector helpers. Not an accepted business KPI or proof of runtime/DR/SLA.</x:v>
      </x:c>
      <x:c r="I406" s="25" t="str">
        <x:v>SM WMPP Mission Control Import/SM WMPP Mission Control.SemanticModel/definition/tables/_MissionControl_Measures.tmdl:1187
Full code: KPI_CALCULATION_TRACEABILITY.md</x:v>
      </x:c>
    </x:row>
    <x:row r="407" ht="124" customHeight="1">
      <x:c r="A407" s="25" t="str">
        <x:v>Discovery cfg_bronze_schema_live State</x:v>
      </x:c>
      <x:c r="B407" s="25" t="str">
        <x:v>_MissionControl_Measures</x:v>
      </x:c>
      <x:c r="C407" s="25" t="str">
        <x:v>VAR n = [Discovery cfg_bronze_schema_live Rows]
			RETURN IF(n = 0,
			    IF([Discovery history selected] = 1, "No retained discovery for this selection", "No discovery records available"),
			    "Retained records: " &amp; FORMAT(n, "#,0"))</x:v>
      </x:c>
      <x:c r="D407" s="25" t="str">
        <x:v>Load Calendar (local/calculated model object; no direct notebook producer asserted); monitoring.cfg_bronze_schema_live; monitoring.rpt_job_run_summary</x:v>
      </x:c>
      <x:c r="E407" s="25" t="str">
        <x:v>Contracts &amp; Schema</x:v>
      </x:c>
      <x:c r="F407" s="25" t="str">
        <x:v>No requirement mapping asserted</x:v>
      </x:c>
      <x:c r="G407" s="25" t="str">
        <x:v>06_reports.py:141; 01a_cfg_schema_capture_live.py:308</x:v>
      </x:c>
      <x:c r="H407" s="25" t="str">
        <x:v>Saved definition only; includes display/selector helpers. Not an accepted business KPI or proof of runtime/DR/SLA.</x:v>
      </x:c>
      <x:c r="I407" s="25" t="str">
        <x:v>SM WMPP Mission Control Import/SM WMPP Mission Control.SemanticModel/definition/tables/_MissionControl_Measures.tmdl:1194
Full code: KPI_CALCULATION_TRACEABILITY.md</x:v>
      </x:c>
    </x:row>
    <x:row r="408" ht="59" customHeight="1">
      <x:c r="A408" s="25" t="str">
        <x:v>Discovery cfg_schema_contract_column Latest time</x:v>
      </x:c>
      <x:c r="B408" s="25" t="str">
        <x:v>_MissionControl_Measures</x:v>
      </x:c>
      <x:c r="C408" s="25" t="str">
        <x:v>CALCULATE(MAX(cfg_schema_contract_column[contract_loaded_at]), REMOVEFILTERS())</x:v>
      </x:c>
      <x:c r="D408" s="25" t="str">
        <x:v>monitoring.cfg_schema_contract_column</x:v>
      </x:c>
      <x:c r="E408" s="25" t="str">
        <x:v>No direct visible binding verified</x:v>
      </x:c>
      <x:c r="F408" s="25" t="str">
        <x:v>No requirement mapping asserted</x:v>
      </x:c>
      <x:c r="G408" s="25" t="str">
        <x:v>00_setup_cfg.py:96</x:v>
      </x:c>
      <x:c r="H408" s="25" t="str">
        <x:v>Saved definition only; includes display/selector helpers. Not an accepted business KPI or proof of runtime/DR/SLA.</x:v>
      </x:c>
      <x:c r="I408" s="25" t="str">
        <x:v>SM WMPP Mission Control Import/SM WMPP Mission Control.SemanticModel/definition/tables/_MissionControl_Measures.tmdl:1202
Full code: KPI_CALCULATION_TRACEABILITY.md</x:v>
      </x:c>
    </x:row>
    <x:row r="409" ht="85" customHeight="1">
      <x:c r="A409" s="25" t="str">
        <x:v>Discovery cfg_schema_contract_column Rows</x:v>
      </x:c>
      <x:c r="B409" s="25" t="str">
        <x:v>_MissionControl_Measures</x:v>
      </x:c>
      <x:c r="C409" s="25" t="str">
        <x:v>COALESCE(CALCULATE(COUNTROWS(cfg_schema_contract_column), KEEPFILTERS(TREATAS({[Discovery cfg_schema_contract_column Latest time]}, cfg_schema_contract_column[contract_loaded_at]))), 0)</x:v>
      </x:c>
      <x:c r="D409" s="25" t="str">
        <x:v>monitoring.cfg_schema_contract_column</x:v>
      </x:c>
      <x:c r="E409" s="25" t="str">
        <x:v>No direct visible binding verified</x:v>
      </x:c>
      <x:c r="F409" s="25" t="str">
        <x:v>R69; R88</x:v>
      </x:c>
      <x:c r="G409" s="25" t="str">
        <x:v>00_setup_cfg.py:96</x:v>
      </x:c>
      <x:c r="H409" s="25" t="str">
        <x:v>Saved definition only; includes display/selector helpers. Not an accepted business KPI or proof of runtime/DR/SLA.</x:v>
      </x:c>
      <x:c r="I409" s="25" t="str">
        <x:v>SM WMPP Mission Control Import/SM WMPP Mission Control.SemanticModel/definition/tables/_MissionControl_Measures.tmdl:1207
Full code: KPI_CALCULATION_TRACEABILITY.md</x:v>
      </x:c>
    </x:row>
    <x:row r="410" ht="59" customHeight="1">
      <x:c r="A410" s="25" t="str">
        <x:v>Discovery cfg_schema_contract_column Visible</x:v>
      </x:c>
      <x:c r="B410" s="25" t="str">
        <x:v>_MissionControl_Measures</x:v>
      </x:c>
      <x:c r="C410" s="25" t="str">
        <x:v>IF([Discovery cfg_schema_contract_column Rows] &gt; 0, 1, 0)</x:v>
      </x:c>
      <x:c r="D410" s="25" t="str">
        <x:v>monitoring.cfg_schema_contract_column</x:v>
      </x:c>
      <x:c r="E410" s="25" t="str">
        <x:v>Contracts &amp; Schema</x:v>
      </x:c>
      <x:c r="F410" s="25" t="str">
        <x:v>No requirement mapping asserted</x:v>
      </x:c>
      <x:c r="G410" s="25" t="str">
        <x:v>00_setup_cfg.py:96</x:v>
      </x:c>
      <x:c r="H410" s="25" t="str">
        <x:v>Saved definition only; includes display/selector helpers. Not an accepted business KPI or proof of runtime/DR/SLA.</x:v>
      </x:c>
      <x:c r="I410" s="25" t="str">
        <x:v>SM WMPP Mission Control Import/SM WMPP Mission Control.SemanticModel/definition/tables/_MissionControl_Measures.tmdl:1212
Full code: KPI_CALCULATION_TRACEABILITY.md</x:v>
      </x:c>
    </x:row>
    <x:row r="411" ht="85" customHeight="1">
      <x:c r="A411" s="25" t="str">
        <x:v>Discovery cfg_schema_contract_column Selected time</x:v>
      </x:c>
      <x:c r="B411" s="25" t="str">
        <x:v>_MissionControl_Measures</x:v>
      </x:c>
      <x:c r="C411" s="25" t="str">
        <x:v>CALCULATE(MAX(cfg_schema_contract_column[contract_loaded_at]), KEEPFILTERS(TREATAS({[Discovery cfg_schema_contract_column Latest time]}, cfg_schema_contract_column[contract_loaded_at])))</x:v>
      </x:c>
      <x:c r="D411" s="25" t="str">
        <x:v>monitoring.cfg_schema_contract_column</x:v>
      </x:c>
      <x:c r="E411" s="25" t="str">
        <x:v>No direct visible binding verified</x:v>
      </x:c>
      <x:c r="F411" s="25" t="str">
        <x:v>No requirement mapping asserted</x:v>
      </x:c>
      <x:c r="G411" s="25" t="str">
        <x:v>00_setup_cfg.py:96</x:v>
      </x:c>
      <x:c r="H411" s="25" t="str">
        <x:v>Saved definition only; includes display/selector helpers. Not an accepted business KPI or proof of runtime/DR/SLA.</x:v>
      </x:c>
      <x:c r="I411" s="25" t="str">
        <x:v>SM WMPP Mission Control Import/SM WMPP Mission Control.SemanticModel/definition/tables/_MissionControl_Measures.tmdl:1217
Full code: KPI_CALCULATION_TRACEABILITY.md</x:v>
      </x:c>
    </x:row>
    <x:row r="412" ht="124" customHeight="1">
      <x:c r="A412" s="25" t="str">
        <x:v>Discovery cfg_schema_contract_column State</x:v>
      </x:c>
      <x:c r="B412" s="25" t="str">
        <x:v>_MissionControl_Measures</x:v>
      </x:c>
      <x:c r="C412" s="25" t="str">
        <x:v>VAR n = [Discovery cfg_schema_contract_column Rows]
			RETURN IF(n = 0,
			    IF([Discovery history selected] = 1, "No retained discovery for this selection", "No discovery records available"),
			    "Retained records: " &amp; FORMAT(n, "#,0"))</x:v>
      </x:c>
      <x:c r="D412" s="25" t="str">
        <x:v>Load Calendar (local/calculated model object; no direct notebook producer asserted); monitoring.cfg_schema_contract_column; monitoring.rpt_job_run_summary</x:v>
      </x:c>
      <x:c r="E412" s="25" t="str">
        <x:v>No direct visible binding verified</x:v>
      </x:c>
      <x:c r="F412" s="25" t="str">
        <x:v>No requirement mapping asserted</x:v>
      </x:c>
      <x:c r="G412" s="25" t="str">
        <x:v>00_setup_cfg.py:96; 06_reports.py:141</x:v>
      </x:c>
      <x:c r="H412" s="25" t="str">
        <x:v>Saved definition only; includes display/selector helpers. Not an accepted business KPI or proof of runtime/DR/SLA.</x:v>
      </x:c>
      <x:c r="I412" s="25" t="str">
        <x:v>SM WMPP Mission Control Import/SM WMPP Mission Control.SemanticModel/definition/tables/_MissionControl_Measures.tmdl:1222
Full code: KPI_CALCULATION_TRACEABILITY.md</x:v>
      </x:c>
    </x:row>
    <x:row r="413" ht="59" customHeight="1">
      <x:c r="A413" s="25" t="str">
        <x:v>Discovery rpt_job_data_quality Latest time</x:v>
      </x:c>
      <x:c r="B413" s="25" t="str">
        <x:v>_MissionControl_Measures</x:v>
      </x:c>
      <x:c r="C413" s="25" t="str">
        <x:v>CALCULATE(MAX(rpt_job_data_quality[checked_at]), REMOVEFILTERS())</x:v>
      </x:c>
      <x:c r="D413" s="25" t="str">
        <x:v>monitoring.rpt_job_data_quality</x:v>
      </x:c>
      <x:c r="E413" s="25" t="str">
        <x:v>No direct visible binding verified</x:v>
      </x:c>
      <x:c r="F413" s="25" t="str">
        <x:v>No requirement mapping asserted</x:v>
      </x:c>
      <x:c r="G413" s="25" t="str">
        <x:v>06_reports.py:202</x:v>
      </x:c>
      <x:c r="H413" s="25" t="str">
        <x:v>Saved definition only; includes display/selector helpers. Not an accepted business KPI or proof of runtime/DR/SLA.</x:v>
      </x:c>
      <x:c r="I413" s="25" t="str">
        <x:v>SM WMPP Mission Control Import/SM WMPP Mission Control.SemanticModel/definition/tables/_MissionControl_Measures.tmdl:1230
Full code: KPI_CALCULATION_TRACEABILITY.md</x:v>
      </x:c>
    </x:row>
    <x:row r="414" ht="176" customHeight="1">
      <x:c r="A414" s="25" t="str">
        <x:v>Discovery rpt_job_data_quality Latest key</x:v>
      </x:c>
      <x:c r="B414" s="25" t="str">
        <x:v>_MissionControl_Measures</x:v>
      </x:c>
      <x:c r="C414" s="25" t="str">
        <x:v>VAR Batches = CALCULATETABLE(SUMMARIZE(rpt_job_data_quality, rpt_job_data_quality[run_id],
			    "DiscoveryTime", MAX(rpt_job_data_quality[checked_at])), REMOVEFILTERS())
			VAR LatestBatch = TOPN(1, FILTER(Batches, NOT ISBLANK([DiscoveryTime])),
			    [DiscoveryTime], DESC, rpt_job_data_quality[run_id], DESC)
			RETURN MAXX(LatestBatch, rpt_job_data_quality[run_id])</x:v>
      </x:c>
      <x:c r="D414" s="25" t="str">
        <x:v>monitoring.rpt_job_data_quality</x:v>
      </x:c>
      <x:c r="E414" s="25" t="str">
        <x:v>No direct visible binding verified</x:v>
      </x:c>
      <x:c r="F414" s="25" t="str">
        <x:v>No requirement mapping asserted</x:v>
      </x:c>
      <x:c r="G414" s="25" t="str">
        <x:v>06_reports.py:202</x:v>
      </x:c>
      <x:c r="H414" s="25" t="str">
        <x:v>Saved definition only; includes display/selector helpers. Not an accepted business KPI or proof of runtime/DR/SLA.</x:v>
      </x:c>
      <x:c r="I414" s="25" t="str">
        <x:v>SM WMPP Mission Control Import/SM WMPP Mission Control.SemanticModel/definition/tables/_MissionControl_Measures.tmdl:1235
Full code: KPI_CALCULATION_TRACEABILITY.md</x:v>
      </x:c>
    </x:row>
    <x:row r="415" ht="254" customHeight="1">
      <x:c r="A415" s="25" t="str">
        <x:v>Discovery rpt_job_data_quality Rows</x:v>
      </x:c>
      <x:c r="B415" s="25" t="str">
        <x:v>_MissionControl_Measures</x:v>
      </x:c>
      <x:c r="C415" s="25" t="str">
        <x:v>COALESCE(IF([Discovery history selected] = 1, CALCULATE(COUNTROWS(rpt_job_data_quality), KEEPFILTERS(TREATAS(CALCULATETABLE(VALUES('Discovery Job Runs'[job_run_id]),
			            KEEPFILTERS(TREATAS(VALUES('Load Calendar'[Date]), 'Discovery Job Runs'[Run Date]))), rpt_job_data_quality[job_run_id]))), IF(ISBLANK([Discovery rpt_job_data_quality Latest key]), CALCULATE(COUNTROWS(rpt_job_data_quality), KEEPFILTERS(TREATAS({[Discovery rpt_job_data_quality Latest time]}, rpt_job_data_quality[checked_at]))), CALCULATE(COUNTROWS(rpt_job_data_quality), KEEPFILTERS(TREATAS({[Discovery rpt_job_data_quality Latest key]}, rpt_job_data_quality[run_id]))))), 0)</x:v>
      </x:c>
      <x:c r="D415" s="25" t="str">
        <x:v>Load Calendar (local/calculated model object; no direct notebook producer asserted); monitoring.rpt_job_data_quality; monitoring.rpt_job_run_summary</x:v>
      </x:c>
      <x:c r="E415" s="25" t="str">
        <x:v>Quality &amp; Exceptions</x:v>
      </x:c>
      <x:c r="F415" s="25" t="str">
        <x:v>No requirement mapping asserted</x:v>
      </x:c>
      <x:c r="G415" s="25" t="str">
        <x:v>06_reports.py:141; 06_reports.py:202</x:v>
      </x:c>
      <x:c r="H415" s="25" t="str">
        <x:v>Saved definition only; includes display/selector helpers. Not an accepted business KPI or proof of runtime/DR/SLA.</x:v>
      </x:c>
      <x:c r="I415" s="25" t="str">
        <x:v>SM WMPP Mission Control Import/SM WMPP Mission Control.SemanticModel/definition/tables/_MissionControl_Measures.tmdl:1244
Full code: KPI_CALCULATION_TRACEABILITY.md</x:v>
      </x:c>
    </x:row>
    <x:row r="416" ht="72" customHeight="1">
      <x:c r="A416" s="25" t="str">
        <x:v>Discovery rpt_job_data_quality Visible</x:v>
      </x:c>
      <x:c r="B416" s="25" t="str">
        <x:v>_MissionControl_Measures</x:v>
      </x:c>
      <x:c r="C416" s="25" t="str">
        <x:v>IF([Discovery rpt_job_data_quality Rows] &gt; 0, 1, 0)</x:v>
      </x:c>
      <x:c r="D416" s="25" t="str">
        <x:v>Load Calendar (local/calculated model object; no direct notebook producer asserted); monitoring.rpt_job_data_quality; monitoring.rpt_job_run_summary</x:v>
      </x:c>
      <x:c r="E416" s="25" t="str">
        <x:v>Quality &amp; Exceptions</x:v>
      </x:c>
      <x:c r="F416" s="25" t="str">
        <x:v>No requirement mapping asserted</x:v>
      </x:c>
      <x:c r="G416" s="25" t="str">
        <x:v>06_reports.py:141; 06_reports.py:202</x:v>
      </x:c>
      <x:c r="H416" s="25" t="str">
        <x:v>Saved definition only; includes display/selector helpers. Not an accepted business KPI or proof of runtime/DR/SLA.</x:v>
      </x:c>
      <x:c r="I416" s="25" t="str">
        <x:v>SM WMPP Mission Control Import/SM WMPP Mission Control.SemanticModel/definition/tables/_MissionControl_Measures.tmdl:1251
Full code: KPI_CALCULATION_TRACEABILITY.md</x:v>
      </x:c>
    </x:row>
    <x:row r="417" ht="254" customHeight="1">
      <x:c r="A417" s="25" t="str">
        <x:v>Discovery rpt_job_data_quality Selected time</x:v>
      </x:c>
      <x:c r="B417" s="25" t="str">
        <x:v>_MissionControl_Measures</x:v>
      </x:c>
      <x:c r="C417" s="25" t="str">
        <x:v>IF([Discovery history selected] = 1, CALCULATE(MAX(rpt_job_data_quality[checked_at]), KEEPFILTERS(TREATAS(CALCULATETABLE(VALUES('Discovery Job Runs'[job_run_id]),
			            KEEPFILTERS(TREATAS(VALUES('Load Calendar'[Date]), 'Discovery Job Runs'[Run Date]))), rpt_job_data_quality[job_run_id]))), IF(ISBLANK([Discovery rpt_job_data_quality Latest key]), CALCULATE(MAX(rpt_job_data_quality[checked_at]), KEEPFILTERS(TREATAS({[Discovery rpt_job_data_quality Latest time]}, rpt_job_data_quality[checked_at]))), CALCULATE(MAX(rpt_job_data_quality[checked_at]), KEEPFILTERS(TREATAS({[Discovery rpt_job_data_quality Latest key]}, rpt_job_data_quality[run_id])))))</x:v>
      </x:c>
      <x:c r="D417" s="25" t="str">
        <x:v>Load Calendar (local/calculated model object; no direct notebook producer asserted); monitoring.rpt_job_data_quality; monitoring.rpt_job_run_summary</x:v>
      </x:c>
      <x:c r="E417" s="25" t="str">
        <x:v>No direct visible binding verified</x:v>
      </x:c>
      <x:c r="F417" s="25" t="str">
        <x:v>No requirement mapping asserted</x:v>
      </x:c>
      <x:c r="G417" s="25" t="str">
        <x:v>06_reports.py:141; 06_reports.py:202</x:v>
      </x:c>
      <x:c r="H417" s="25" t="str">
        <x:v>Saved definition only; includes display/selector helpers. Not an accepted business KPI or proof of runtime/DR/SLA.</x:v>
      </x:c>
      <x:c r="I417" s="25" t="str">
        <x:v>SM WMPP Mission Control Import/SM WMPP Mission Control.SemanticModel/definition/tables/_MissionControl_Measures.tmdl:1256
Full code: KPI_CALCULATION_TRACEABILITY.md</x:v>
      </x:c>
    </x:row>
    <x:row r="418" ht="124" customHeight="1">
      <x:c r="A418" s="25" t="str">
        <x:v>Discovery rpt_job_data_quality State</x:v>
      </x:c>
      <x:c r="B418" s="25" t="str">
        <x:v>_MissionControl_Measures</x:v>
      </x:c>
      <x:c r="C418" s="25" t="str">
        <x:v>VAR n = [Discovery rpt_job_data_quality Rows]
			RETURN IF(n = 0,
			    IF([Discovery history selected] = 1, "No retained discovery for this selection", "No discovery records available"),
			    "Retained records: " &amp; FORMAT(n, "#,0"))</x:v>
      </x:c>
      <x:c r="D418" s="25" t="str">
        <x:v>Load Calendar (local/calculated model object; no direct notebook producer asserted); monitoring.rpt_job_data_quality; monitoring.rpt_job_run_summary</x:v>
      </x:c>
      <x:c r="E418" s="25" t="str">
        <x:v>Quality &amp; Exceptions</x:v>
      </x:c>
      <x:c r="F418" s="25" t="str">
        <x:v>No requirement mapping asserted</x:v>
      </x:c>
      <x:c r="G418" s="25" t="str">
        <x:v>06_reports.py:141; 06_reports.py:202</x:v>
      </x:c>
      <x:c r="H418" s="25" t="str">
        <x:v>Saved definition only; includes display/selector helpers. Not an accepted business KPI or proof of runtime/DR/SLA.</x:v>
      </x:c>
      <x:c r="I418" s="25" t="str">
        <x:v>SM WMPP Mission Control Import/SM WMPP Mission Control.SemanticModel/definition/tables/_MissionControl_Measures.tmdl:1263
Full code: KPI_CALCULATION_TRACEABILITY.md</x:v>
      </x:c>
    </x:row>
    <x:row r="419" ht="59" customHeight="1">
      <x:c r="A419" s="25" t="str">
        <x:v>Discovery cfg_rejected_row Latest time</x:v>
      </x:c>
      <x:c r="B419" s="25" t="str">
        <x:v>_MissionControl_Measures</x:v>
      </x:c>
      <x:c r="C419" s="25" t="str">
        <x:v>CALCULATE(MAX(cfg_rejected_row[rejected_at]), REMOVEFILTERS())</x:v>
      </x:c>
      <x:c r="D419" s="25" t="str">
        <x:v>monitoring.cfg_rejected_row</x:v>
      </x:c>
      <x:c r="E419" s="25" t="str">
        <x:v>No direct visible binding verified</x:v>
      </x:c>
      <x:c r="F419" s="25" t="str">
        <x:v>No requirement mapping asserted</x:v>
      </x:c>
      <x:c r="G419" s="25" t="str">
        <x:v>03_silver_business_rules.py:208</x:v>
      </x:c>
      <x:c r="H419" s="25" t="str">
        <x:v>Saved definition only; includes display/selector helpers. Not an accepted business KPI or proof of runtime/DR/SLA.</x:v>
      </x:c>
      <x:c r="I419" s="25" t="str">
        <x:v>SM WMPP Mission Control Import/SM WMPP Mission Control.SemanticModel/definition/tables/_MissionControl_Measures.tmdl:1271
Full code: KPI_CALCULATION_TRACEABILITY.md</x:v>
      </x:c>
    </x:row>
    <x:row r="420" ht="176" customHeight="1">
      <x:c r="A420" s="25" t="str">
        <x:v>Discovery cfg_rejected_row Latest key</x:v>
      </x:c>
      <x:c r="B420" s="25" t="str">
        <x:v>_MissionControl_Measures</x:v>
      </x:c>
      <x:c r="C420" s="25" t="str">
        <x:v>VAR Batches = CALCULATETABLE(SUMMARIZE(cfg_rejected_row, cfg_rejected_row[run_id],
			    "DiscoveryTime", MAX(cfg_rejected_row[rejected_at])), REMOVEFILTERS())
			VAR LatestBatch = TOPN(1, FILTER(Batches, NOT ISBLANK([DiscoveryTime])),
			    [DiscoveryTime], DESC, cfg_rejected_row[run_id], DESC)
			RETURN MAXX(LatestBatch, cfg_rejected_row[run_id])</x:v>
      </x:c>
      <x:c r="D420" s="25" t="str">
        <x:v>monitoring.cfg_rejected_row</x:v>
      </x:c>
      <x:c r="E420" s="25" t="str">
        <x:v>No direct visible binding verified</x:v>
      </x:c>
      <x:c r="F420" s="25" t="str">
        <x:v>No requirement mapping asserted</x:v>
      </x:c>
      <x:c r="G420" s="25" t="str">
        <x:v>03_silver_business_rules.py:208</x:v>
      </x:c>
      <x:c r="H420" s="25" t="str">
        <x:v>Saved definition only; includes display/selector helpers. Not an accepted business KPI or proof of runtime/DR/SLA.</x:v>
      </x:c>
      <x:c r="I420" s="25" t="str">
        <x:v>SM WMPP Mission Control Import/SM WMPP Mission Control.SemanticModel/definition/tables/_MissionControl_Measures.tmdl:1276
Full code: KPI_CALCULATION_TRACEABILITY.md</x:v>
      </x:c>
    </x:row>
    <x:row r="421" ht="241" customHeight="1">
      <x:c r="A421" s="25" t="str">
        <x:v>Discovery cfg_rejected_row Rows</x:v>
      </x:c>
      <x:c r="B421" s="25" t="str">
        <x:v>_MissionControl_Measures</x:v>
      </x:c>
      <x:c r="C421" s="25" t="str">
        <x:v>COALESCE(IF([Discovery history selected] = 1, CALCULATE(COUNTROWS(cfg_rejected_row), KEEPFILTERS(TREATAS(CALCULATETABLE(VALUES('Discovery Job Runs'[job_run_id]),
			            KEEPFILTERS(TREATAS(VALUES('Load Calendar'[Date]), 'Discovery Job Runs'[Run Date]))), cfg_rejected_row[job_run_id]))), IF(ISBLANK([Discovery cfg_rejected_row Latest key]), CALCULATE(COUNTROWS(cfg_rejected_row), KEEPFILTERS(TREATAS({[Discovery cfg_rejected_row Latest time]}, cfg_rejected_row[rejected_at]))), CALCULATE(COUNTROWS(cfg_rejected_row), KEEPFILTERS(TREATAS({[Discovery cfg_rejected_row Latest key]}, cfg_rejected_row[run_id]))))), 0)</x:v>
      </x:c>
      <x:c r="D421" s="25" t="str">
        <x:v>Load Calendar (local/calculated model object; no direct notebook producer asserted); monitoring.cfg_rejected_row; monitoring.rpt_job_run_summary</x:v>
      </x:c>
      <x:c r="E421" s="25" t="str">
        <x:v>No direct visible binding verified</x:v>
      </x:c>
      <x:c r="F421" s="25" t="str">
        <x:v>No requirement mapping asserted</x:v>
      </x:c>
      <x:c r="G421" s="25" t="str">
        <x:v>06_reports.py:141; 03_silver_business_rules.py:208</x:v>
      </x:c>
      <x:c r="H421" s="25" t="str">
        <x:v>Saved definition only; includes display/selector helpers. Not an accepted business KPI or proof of runtime/DR/SLA.</x:v>
      </x:c>
      <x:c r="I421" s="25" t="str">
        <x:v>SM WMPP Mission Control Import/SM WMPP Mission Control.SemanticModel/definition/tables/_MissionControl_Measures.tmdl:1285
Full code: KPI_CALCULATION_TRACEABILITY.md</x:v>
      </x:c>
    </x:row>
    <x:row r="422" ht="72" customHeight="1">
      <x:c r="A422" s="25" t="str">
        <x:v>Discovery cfg_rejected_row Visible</x:v>
      </x:c>
      <x:c r="B422" s="25" t="str">
        <x:v>_MissionControl_Measures</x:v>
      </x:c>
      <x:c r="C422" s="25" t="str">
        <x:v>IF([Discovery cfg_rejected_row Rows] &gt; 0, 1, 0)</x:v>
      </x:c>
      <x:c r="D422" s="25" t="str">
        <x:v>Load Calendar (local/calculated model object; no direct notebook producer asserted); monitoring.cfg_rejected_row; monitoring.rpt_job_run_summary</x:v>
      </x:c>
      <x:c r="E422" s="25" t="str">
        <x:v>Quality &amp; Exceptions</x:v>
      </x:c>
      <x:c r="F422" s="25" t="str">
        <x:v>No requirement mapping asserted</x:v>
      </x:c>
      <x:c r="G422" s="25" t="str">
        <x:v>06_reports.py:141; 03_silver_business_rules.py:208</x:v>
      </x:c>
      <x:c r="H422" s="25" t="str">
        <x:v>Saved definition only; includes display/selector helpers. Not an accepted business KPI or proof of runtime/DR/SLA.</x:v>
      </x:c>
      <x:c r="I422" s="25" t="str">
        <x:v>SM WMPP Mission Control Import/SM WMPP Mission Control.SemanticModel/definition/tables/_MissionControl_Measures.tmdl:1292
Full code: KPI_CALCULATION_TRACEABILITY.md</x:v>
      </x:c>
    </x:row>
    <x:row r="423" ht="241" customHeight="1">
      <x:c r="A423" s="25" t="str">
        <x:v>Discovery cfg_rejected_row Selected time</x:v>
      </x:c>
      <x:c r="B423" s="25" t="str">
        <x:v>_MissionControl_Measures</x:v>
      </x:c>
      <x:c r="C423" s="25" t="str">
        <x:v>IF([Discovery history selected] = 1, CALCULATE(MAX(cfg_rejected_row[rejected_at]), KEEPFILTERS(TREATAS(CALCULATETABLE(VALUES('Discovery Job Runs'[job_run_id]),
			            KEEPFILTERS(TREATAS(VALUES('Load Calendar'[Date]), 'Discovery Job Runs'[Run Date]))), cfg_rejected_row[job_run_id]))), IF(ISBLANK([Discovery cfg_rejected_row Latest key]), CALCULATE(MAX(cfg_rejected_row[rejected_at]), KEEPFILTERS(TREATAS({[Discovery cfg_rejected_row Latest time]}, cfg_rejected_row[rejected_at]))), CALCULATE(MAX(cfg_rejected_row[rejected_at]), KEEPFILTERS(TREATAS({[Discovery cfg_rejected_row Latest key]}, cfg_rejected_row[run_id])))))</x:v>
      </x:c>
      <x:c r="D423" s="25" t="str">
        <x:v>Load Calendar (local/calculated model object; no direct notebook producer asserted); monitoring.cfg_rejected_row; monitoring.rpt_job_run_summary</x:v>
      </x:c>
      <x:c r="E423" s="25" t="str">
        <x:v>No direct visible binding verified</x:v>
      </x:c>
      <x:c r="F423" s="25" t="str">
        <x:v>No requirement mapping asserted</x:v>
      </x:c>
      <x:c r="G423" s="25" t="str">
        <x:v>06_reports.py:141; 03_silver_business_rules.py:208</x:v>
      </x:c>
      <x:c r="H423" s="25" t="str">
        <x:v>Saved definition only; includes display/selector helpers. Not an accepted business KPI or proof of runtime/DR/SLA.</x:v>
      </x:c>
      <x:c r="I423" s="25" t="str">
        <x:v>SM WMPP Mission Control Import/SM WMPP Mission Control.SemanticModel/definition/tables/_MissionControl_Measures.tmdl:1297
Full code: KPI_CALCULATION_TRACEABILITY.md</x:v>
      </x:c>
    </x:row>
    <x:row r="424" ht="124" customHeight="1">
      <x:c r="A424" s="25" t="str">
        <x:v>Discovery cfg_rejected_row State</x:v>
      </x:c>
      <x:c r="B424" s="25" t="str">
        <x:v>_MissionControl_Measures</x:v>
      </x:c>
      <x:c r="C424" s="25" t="str">
        <x:v>VAR n = [Discovery cfg_rejected_row Rows]
			RETURN IF(n = 0,
			    IF([Discovery history selected] = 1, "No retained discovery for this selection", "No discovery records available"),
			    "Retained records: " &amp; FORMAT(n, "#,0"))</x:v>
      </x:c>
      <x:c r="D424" s="25" t="str">
        <x:v>Load Calendar (local/calculated model object; no direct notebook producer asserted); monitoring.cfg_rejected_row; monitoring.rpt_job_run_summary</x:v>
      </x:c>
      <x:c r="E424" s="25" t="str">
        <x:v>No direct visible binding verified</x:v>
      </x:c>
      <x:c r="F424" s="25" t="str">
        <x:v>No requirement mapping asserted</x:v>
      </x:c>
      <x:c r="G424" s="25" t="str">
        <x:v>06_reports.py:141; 03_silver_business_rules.py:208</x:v>
      </x:c>
      <x:c r="H424" s="25" t="str">
        <x:v>Saved definition only; includes display/selector helpers. Not an accepted business KPI or proof of runtime/DR/SLA.</x:v>
      </x:c>
      <x:c r="I424" s="25" t="str">
        <x:v>SM WMPP Mission Control Import/SM WMPP Mission Control.SemanticModel/definition/tables/_MissionControl_Measures.tmdl:1304
Full code: KPI_CALCULATION_TRACEABILITY.md</x:v>
      </x:c>
    </x:row>
    <x:row r="425" ht="59" customHeight="1">
      <x:c r="A425" s="25" t="str">
        <x:v>Discovery cfg_referential_exception Latest time</x:v>
      </x:c>
      <x:c r="B425" s="25" t="str">
        <x:v>_MissionControl_Measures</x:v>
      </x:c>
      <x:c r="C425" s="25" t="str">
        <x:v>CALCULATE(MAX(cfg_referential_exception[detected_at]), REMOVEFILTERS())</x:v>
      </x:c>
      <x:c r="D425" s="25" t="str">
        <x:v>monitoring.cfg_referential_exception</x:v>
      </x:c>
      <x:c r="E425" s="25" t="str">
        <x:v>No direct visible binding verified</x:v>
      </x:c>
      <x:c r="F425" s="25" t="str">
        <x:v>No requirement mapping asserted</x:v>
      </x:c>
      <x:c r="G425" s="25" t="str">
        <x:v>03_silver_business_rules.py:208</x:v>
      </x:c>
      <x:c r="H425" s="25" t="str">
        <x:v>Saved definition only; includes display/selector helpers. Not an accepted business KPI or proof of runtime/DR/SLA.</x:v>
      </x:c>
      <x:c r="I425" s="25" t="str">
        <x:v>SM WMPP Mission Control Import/SM WMPP Mission Control.SemanticModel/definition/tables/_MissionControl_Measures.tmdl:1312
Full code: KPI_CALCULATION_TRACEABILITY.md</x:v>
      </x:c>
    </x:row>
    <x:row r="426" ht="176" customHeight="1">
      <x:c r="A426" s="25" t="str">
        <x:v>Discovery cfg_referential_exception Latest key</x:v>
      </x:c>
      <x:c r="B426" s="25" t="str">
        <x:v>_MissionControl_Measures</x:v>
      </x:c>
      <x:c r="C426" s="25" t="str">
        <x:v>VAR Batches = CALCULATETABLE(SUMMARIZE(cfg_referential_exception, cfg_referential_exception[run_id],
			    "DiscoveryTime", MAX(cfg_referential_exception[detected_at])), REMOVEFILTERS())
			VAR LatestBatch = TOPN(1, FILTER(Batches, NOT ISBLANK([DiscoveryTime])),
			    [DiscoveryTime], DESC, cfg_referential_exception[run_id], DESC)
			RETURN MAXX(LatestBatch, cfg_referential_exception[run_id])</x:v>
      </x:c>
      <x:c r="D426" s="25" t="str">
        <x:v>monitoring.cfg_referential_exception</x:v>
      </x:c>
      <x:c r="E426" s="25" t="str">
        <x:v>No direct visible binding verified</x:v>
      </x:c>
      <x:c r="F426" s="25" t="str">
        <x:v>No requirement mapping asserted</x:v>
      </x:c>
      <x:c r="G426" s="25" t="str">
        <x:v>03_silver_business_rules.py:208</x:v>
      </x:c>
      <x:c r="H426" s="25" t="str">
        <x:v>Saved definition only; includes display/selector helpers. Not an accepted business KPI or proof of runtime/DR/SLA.</x:v>
      </x:c>
      <x:c r="I426" s="25" t="str">
        <x:v>SM WMPP Mission Control Import/SM WMPP Mission Control.SemanticModel/definition/tables/_MissionControl_Measures.tmdl:1317
Full code: KPI_CALCULATION_TRACEABILITY.md</x:v>
      </x:c>
    </x:row>
    <x:row r="427" ht="267" customHeight="1">
      <x:c r="A427" s="25" t="str">
        <x:v>Discovery cfg_referential_exception Rows</x:v>
      </x:c>
      <x:c r="B427" s="25" t="str">
        <x:v>_MissionControl_Measures</x:v>
      </x:c>
      <x:c r="C427" s="25" t="str">
        <x:v>COALESCE(IF([Discovery history selected] = 1, CALCULATE(COUNTROWS(cfg_referential_exception), KEEPFILTERS(TREATAS(CALCULATETABLE(VALUES('Discovery Job Runs'[job_run_id]),
			            KEEPFILTERS(TREATAS(VALUES('Load Calendar'[Date]), 'Discovery Job Runs'[Run Date]))), cfg_referential_exception[job_run_id]))), IF(ISBLANK([Discovery cfg_referential_exception Latest key]), CALCULATE(COUNTROWS(cfg_referential_exception), KEEPFILTERS(TREATAS({[Discovery cfg_referential_exception Latest time]}, cfg_referential_exception[detected_at]))), CALCULATE(COUNTROWS(cfg_referential_exception), KEEPFILTERS(TREATAS({[Discovery cfg_referential_exception Latest key]}, cfg_referential_exception[run_id]))))), 0)</x:v>
      </x:c>
      <x:c r="D427" s="25" t="str">
        <x:v>Load Calendar (local/calculated model object; no direct notebook producer asserted); monitoring.cfg_referential_exception; monitoring.rpt_job_run_summary</x:v>
      </x:c>
      <x:c r="E427" s="25" t="str">
        <x:v>No direct visible binding verified</x:v>
      </x:c>
      <x:c r="F427" s="25" t="str">
        <x:v>No requirement mapping asserted</x:v>
      </x:c>
      <x:c r="G427" s="25" t="str">
        <x:v>06_reports.py:141; 03_silver_business_rules.py:208</x:v>
      </x:c>
      <x:c r="H427" s="25" t="str">
        <x:v>Saved definition only; includes display/selector helpers. Not an accepted business KPI or proof of runtime/DR/SLA.</x:v>
      </x:c>
      <x:c r="I427" s="25" t="str">
        <x:v>SM WMPP Mission Control Import/SM WMPP Mission Control.SemanticModel/definition/tables/_MissionControl_Measures.tmdl:1326
Full code: KPI_CALCULATION_TRACEABILITY.md</x:v>
      </x:c>
    </x:row>
    <x:row r="428" ht="72" customHeight="1">
      <x:c r="A428" s="25" t="str">
        <x:v>Discovery cfg_referential_exception Visible</x:v>
      </x:c>
      <x:c r="B428" s="25" t="str">
        <x:v>_MissionControl_Measures</x:v>
      </x:c>
      <x:c r="C428" s="25" t="str">
        <x:v>IF([Discovery cfg_referential_exception Rows] &gt; 0, 1, 0)</x:v>
      </x:c>
      <x:c r="D428" s="25" t="str">
        <x:v>Load Calendar (local/calculated model object; no direct notebook producer asserted); monitoring.cfg_referential_exception; monitoring.rpt_job_run_summary</x:v>
      </x:c>
      <x:c r="E428" s="25" t="str">
        <x:v>Quality &amp; Exceptions</x:v>
      </x:c>
      <x:c r="F428" s="25" t="str">
        <x:v>No requirement mapping asserted</x:v>
      </x:c>
      <x:c r="G428" s="25" t="str">
        <x:v>06_reports.py:141; 03_silver_business_rules.py:208</x:v>
      </x:c>
      <x:c r="H428" s="25" t="str">
        <x:v>Saved definition only; includes display/selector helpers. Not an accepted business KPI or proof of runtime/DR/SLA.</x:v>
      </x:c>
      <x:c r="I428" s="25" t="str">
        <x:v>SM WMPP Mission Control Import/SM WMPP Mission Control.SemanticModel/definition/tables/_MissionControl_Measures.tmdl:1333
Full code: KPI_CALCULATION_TRACEABILITY.md</x:v>
      </x:c>
    </x:row>
    <x:row r="429" ht="267" customHeight="1">
      <x:c r="A429" s="25" t="str">
        <x:v>Discovery cfg_referential_exception Selected time</x:v>
      </x:c>
      <x:c r="B429" s="25" t="str">
        <x:v>_MissionControl_Measures</x:v>
      </x:c>
      <x:c r="C429" s="25" t="str">
        <x:v>IF([Discovery history selected] = 1, CALCULATE(MAX(cfg_referential_exception[detected_at]), KEEPFILTERS(TREATAS(CALCULATETABLE(VALUES('Discovery Job Runs'[job_run_id]),
			            KEEPFILTERS(TREATAS(VALUES('Load Calendar'[Date]), 'Discovery Job Runs'[Run Date]))), cfg_referential_exception[job_run_id]))), IF(ISBLANK([Discovery cfg_referential_exception Latest key]), CALCULATE(MAX(cfg_referential_exception[detected_at]), KEEPFILTERS(TREATAS({[Discovery cfg_referential_exception Latest time]}, cfg_referential_exception[detected_at]))), CALCULATE(MAX(cfg_referential_exception[detected_at]), KEEPFILTERS(TREATAS({[Discovery cfg_referential_exception Latest key]}, cfg_referential_exception[run_id])))))</x:v>
      </x:c>
      <x:c r="D429" s="25" t="str">
        <x:v>Load Calendar (local/calculated model object; no direct notebook producer asserted); monitoring.cfg_referential_exception; monitoring.rpt_job_run_summary</x:v>
      </x:c>
      <x:c r="E429" s="25" t="str">
        <x:v>No direct visible binding verified</x:v>
      </x:c>
      <x:c r="F429" s="25" t="str">
        <x:v>No requirement mapping asserted</x:v>
      </x:c>
      <x:c r="G429" s="25" t="str">
        <x:v>06_reports.py:141; 03_silver_business_rules.py:208</x:v>
      </x:c>
      <x:c r="H429" s="25" t="str">
        <x:v>Saved definition only; includes display/selector helpers. Not an accepted business KPI or proof of runtime/DR/SLA.</x:v>
      </x:c>
      <x:c r="I429" s="25" t="str">
        <x:v>SM WMPP Mission Control Import/SM WMPP Mission Control.SemanticModel/definition/tables/_MissionControl_Measures.tmdl:1338
Full code: KPI_CALCULATION_TRACEABILITY.md</x:v>
      </x:c>
    </x:row>
    <x:row r="430" ht="124" customHeight="1">
      <x:c r="A430" s="25" t="str">
        <x:v>Discovery cfg_referential_exception State</x:v>
      </x:c>
      <x:c r="B430" s="25" t="str">
        <x:v>_MissionControl_Measures</x:v>
      </x:c>
      <x:c r="C430" s="25" t="str">
        <x:v>VAR n = [Discovery cfg_referential_exception Rows]
			RETURN IF(n = 0,
			    IF([Discovery history selected] = 1, "No retained discovery for this selection", "No discovery records available"),
			    "Retained records: " &amp; FORMAT(n, "#,0"))</x:v>
      </x:c>
      <x:c r="D430" s="25" t="str">
        <x:v>Load Calendar (local/calculated model object; no direct notebook producer asserted); monitoring.cfg_referential_exception; monitoring.rpt_job_run_summary</x:v>
      </x:c>
      <x:c r="E430" s="25" t="str">
        <x:v>No direct visible binding verified</x:v>
      </x:c>
      <x:c r="F430" s="25" t="str">
        <x:v>No requirement mapping asserted</x:v>
      </x:c>
      <x:c r="G430" s="25" t="str">
        <x:v>06_reports.py:141; 03_silver_business_rules.py:208</x:v>
      </x:c>
      <x:c r="H430" s="25" t="str">
        <x:v>Saved definition only; includes display/selector helpers. Not an accepted business KPI or proof of runtime/DR/SLA.</x:v>
      </x:c>
      <x:c r="I430" s="25" t="str">
        <x:v>SM WMPP Mission Control Import/SM WMPP Mission Control.SemanticModel/definition/tables/_MissionControl_Measures.tmdl:1345
Full code: KPI_CALCULATION_TRACEABILITY.md</x:v>
      </x:c>
    </x:row>
    <x:row r="431" ht="59" customHeight="1">
      <x:c r="A431" s="25" t="str">
        <x:v>Discovery cfg_table_load_metric Latest time</x:v>
      </x:c>
      <x:c r="B431" s="25" t="str">
        <x:v>_MissionControl_Measures</x:v>
      </x:c>
      <x:c r="C431" s="25" t="str">
        <x:v>CALCULATE(MAX(cfg_table_load_metric[recorded_at]), REMOVEFILTERS())</x:v>
      </x:c>
      <x:c r="D431" s="25" t="str">
        <x:v>monitoring.cfg_table_load_metric</x:v>
      </x:c>
      <x:c r="E431" s="25" t="str">
        <x:v>No direct visible binding verified</x:v>
      </x:c>
      <x:c r="F431" s="25" t="str">
        <x:v>No requirement mapping asserted</x:v>
      </x:c>
      <x:c r="G431" s="25" t="str">
        <x:v>Local semantic calculation; inspect dependencies</x:v>
      </x:c>
      <x:c r="H431" s="25" t="str">
        <x:v>Saved definition only; includes display/selector helpers. Not an accepted business KPI or proof of runtime/DR/SLA.</x:v>
      </x:c>
      <x:c r="I431" s="25" t="str">
        <x:v>SM WMPP Mission Control Import/SM WMPP Mission Control.SemanticModel/definition/tables/_MissionControl_Measures.tmdl:1353
Full code: KPI_CALCULATION_TRACEABILITY.md</x:v>
      </x:c>
    </x:row>
    <x:row r="432" ht="176" customHeight="1">
      <x:c r="A432" s="25" t="str">
        <x:v>Discovery cfg_table_load_metric Latest key</x:v>
      </x:c>
      <x:c r="B432" s="25" t="str">
        <x:v>_MissionControl_Measures</x:v>
      </x:c>
      <x:c r="C432" s="25" t="str">
        <x:v>VAR Batches = CALCULATETABLE(SUMMARIZE(cfg_table_load_metric, cfg_table_load_metric[run_id],
			    "DiscoveryTime", MAX(cfg_table_load_metric[recorded_at])), REMOVEFILTERS())
			VAR LatestBatch = TOPN(1, FILTER(Batches, NOT ISBLANK([DiscoveryTime])),
			    [DiscoveryTime], DESC, cfg_table_load_metric[run_id], DESC)
			RETURN MAXX(LatestBatch, cfg_table_load_metric[run_id])</x:v>
      </x:c>
      <x:c r="D432" s="25" t="str">
        <x:v>monitoring.cfg_table_load_metric</x:v>
      </x:c>
      <x:c r="E432" s="25" t="str">
        <x:v>No direct visible binding verified</x:v>
      </x:c>
      <x:c r="F432" s="25" t="str">
        <x:v>No requirement mapping asserted</x:v>
      </x:c>
      <x:c r="G432" s="25" t="str">
        <x:v>Local semantic calculation; inspect dependencies</x:v>
      </x:c>
      <x:c r="H432" s="25" t="str">
        <x:v>Saved definition only; includes display/selector helpers. Not an accepted business KPI or proof of runtime/DR/SLA.</x:v>
      </x:c>
      <x:c r="I432" s="25" t="str">
        <x:v>SM WMPP Mission Control Import/SM WMPP Mission Control.SemanticModel/definition/tables/_MissionControl_Measures.tmdl:1358
Full code: KPI_CALCULATION_TRACEABILITY.md</x:v>
      </x:c>
    </x:row>
    <x:row r="433" ht="254" customHeight="1">
      <x:c r="A433" s="25" t="str">
        <x:v>Discovery cfg_table_load_metric Rows</x:v>
      </x:c>
      <x:c r="B433" s="25" t="str">
        <x:v>_MissionControl_Measures</x:v>
      </x:c>
      <x:c r="C433" s="25" t="str">
        <x:v>COALESCE(IF([Discovery history selected] = 1, CALCULATE(COUNTROWS(cfg_table_load_metric), KEEPFILTERS(TREATAS(CALCULATETABLE(VALUES('Discovery Job Runs'[job_run_id]),
			            KEEPFILTERS(TREATAS(VALUES('Load Calendar'[Date]), 'Discovery Job Runs'[Run Date]))), cfg_table_load_metric[job_run_id]))), IF(ISBLANK([Discovery cfg_table_load_metric Latest key]), CALCULATE(COUNTROWS(cfg_table_load_metric), KEEPFILTERS(TREATAS({[Discovery cfg_table_load_metric Latest time]}, cfg_table_load_metric[recorded_at]))), CALCULATE(COUNTROWS(cfg_table_load_metric), KEEPFILTERS(TREATAS({[Discovery cfg_table_load_metric Latest key]}, cfg_table_load_metric[run_id]))))), 0)</x:v>
      </x:c>
      <x:c r="D433" s="25" t="str">
        <x:v>Load Calendar (local/calculated model object; no direct notebook producer asserted); monitoring.cfg_table_load_metric; monitoring.rpt_job_run_summary</x:v>
      </x:c>
      <x:c r="E433" s="25" t="str">
        <x:v>Load Metrics &amp; Control</x:v>
      </x:c>
      <x:c r="F433" s="25" t="str">
        <x:v>No requirement mapping asserted</x:v>
      </x:c>
      <x:c r="G433" s="25" t="str">
        <x:v>06_reports.py:141</x:v>
      </x:c>
      <x:c r="H433" s="25" t="str">
        <x:v>Saved definition only; includes display/selector helpers. Not an accepted business KPI or proof of runtime/DR/SLA.</x:v>
      </x:c>
      <x:c r="I433" s="25" t="str">
        <x:v>SM WMPP Mission Control Import/SM WMPP Mission Control.SemanticModel/definition/tables/_MissionControl_Measures.tmdl:1367
Full code: KPI_CALCULATION_TRACEABILITY.md</x:v>
      </x:c>
    </x:row>
    <x:row r="434" ht="72" customHeight="1">
      <x:c r="A434" s="25" t="str">
        <x:v>Discovery cfg_table_load_metric Visible</x:v>
      </x:c>
      <x:c r="B434" s="25" t="str">
        <x:v>_MissionControl_Measures</x:v>
      </x:c>
      <x:c r="C434" s="25" t="str">
        <x:v>IF([Discovery cfg_table_load_metric Rows] &gt; 0, 1, 0)</x:v>
      </x:c>
      <x:c r="D434" s="25" t="str">
        <x:v>Load Calendar (local/calculated model object; no direct notebook producer asserted); monitoring.cfg_table_load_metric; monitoring.rpt_job_run_summary</x:v>
      </x:c>
      <x:c r="E434" s="25" t="str">
        <x:v>Load Metrics &amp; Control</x:v>
      </x:c>
      <x:c r="F434" s="25" t="str">
        <x:v>No requirement mapping asserted</x:v>
      </x:c>
      <x:c r="G434" s="25" t="str">
        <x:v>06_reports.py:141</x:v>
      </x:c>
      <x:c r="H434" s="25" t="str">
        <x:v>Saved definition only; includes display/selector helpers. Not an accepted business KPI or proof of runtime/DR/SLA.</x:v>
      </x:c>
      <x:c r="I434" s="25" t="str">
        <x:v>SM WMPP Mission Control Import/SM WMPP Mission Control.SemanticModel/definition/tables/_MissionControl_Measures.tmdl:1374
Full code: KPI_CALCULATION_TRACEABILITY.md</x:v>
      </x:c>
    </x:row>
    <x:row r="435" ht="254" customHeight="1">
      <x:c r="A435" s="25" t="str">
        <x:v>Discovery cfg_table_load_metric Selected time</x:v>
      </x:c>
      <x:c r="B435" s="25" t="str">
        <x:v>_MissionControl_Measures</x:v>
      </x:c>
      <x:c r="C435" s="25" t="str">
        <x:v>IF([Discovery history selected] = 1, CALCULATE(MAX(cfg_table_load_metric[recorded_at]), KEEPFILTERS(TREATAS(CALCULATETABLE(VALUES('Discovery Job Runs'[job_run_id]),
			            KEEPFILTERS(TREATAS(VALUES('Load Calendar'[Date]), 'Discovery Job Runs'[Run Date]))), cfg_table_load_metric[job_run_id]))), IF(ISBLANK([Discovery cfg_table_load_metric Latest key]), CALCULATE(MAX(cfg_table_load_metric[recorded_at]), KEEPFILTERS(TREATAS({[Discovery cfg_table_load_metric Latest time]}, cfg_table_load_metric[recorded_at]))), CALCULATE(MAX(cfg_table_load_metric[recorded_at]), KEEPFILTERS(TREATAS({[Discovery cfg_table_load_metric Latest key]}, cfg_table_load_metric[run_id])))))</x:v>
      </x:c>
      <x:c r="D435" s="25" t="str">
        <x:v>Load Calendar (local/calculated model object; no direct notebook producer asserted); monitoring.cfg_table_load_metric; monitoring.rpt_job_run_summary</x:v>
      </x:c>
      <x:c r="E435" s="25" t="str">
        <x:v>No direct visible binding verified</x:v>
      </x:c>
      <x:c r="F435" s="25" t="str">
        <x:v>No requirement mapping asserted</x:v>
      </x:c>
      <x:c r="G435" s="25" t="str">
        <x:v>06_reports.py:141</x:v>
      </x:c>
      <x:c r="H435" s="25" t="str">
        <x:v>Saved definition only; includes display/selector helpers. Not an accepted business KPI or proof of runtime/DR/SLA.</x:v>
      </x:c>
      <x:c r="I435" s="25" t="str">
        <x:v>SM WMPP Mission Control Import/SM WMPP Mission Control.SemanticModel/definition/tables/_MissionControl_Measures.tmdl:1379
Full code: KPI_CALCULATION_TRACEABILITY.md</x:v>
      </x:c>
    </x:row>
    <x:row r="436" ht="124" customHeight="1">
      <x:c r="A436" s="25" t="str">
        <x:v>Discovery cfg_table_load_metric State</x:v>
      </x:c>
      <x:c r="B436" s="25" t="str">
        <x:v>_MissionControl_Measures</x:v>
      </x:c>
      <x:c r="C436" s="25" t="str">
        <x:v>VAR n = [Discovery cfg_table_load_metric Rows]
			RETURN IF(n = 0,
			    IF([Discovery history selected] = 1, "No retained discovery for this selection", "No discovery records available"),
			    "Retained records: " &amp; FORMAT(n, "#,0"))</x:v>
      </x:c>
      <x:c r="D436" s="25" t="str">
        <x:v>Load Calendar (local/calculated model object; no direct notebook producer asserted); monitoring.cfg_table_load_metric; monitoring.rpt_job_run_summary</x:v>
      </x:c>
      <x:c r="E436" s="25" t="str">
        <x:v>Load Metrics &amp; Control</x:v>
      </x:c>
      <x:c r="F436" s="25" t="str">
        <x:v>No requirement mapping asserted</x:v>
      </x:c>
      <x:c r="G436" s="25" t="str">
        <x:v>06_reports.py:141</x:v>
      </x:c>
      <x:c r="H436" s="25" t="str">
        <x:v>Saved definition only; includes display/selector helpers. Not an accepted business KPI or proof of runtime/DR/SLA.</x:v>
      </x:c>
      <x:c r="I436" s="25" t="str">
        <x:v>SM WMPP Mission Control Import/SM WMPP Mission Control.SemanticModel/definition/tables/_MissionControl_Measures.tmdl:1386
Full code: KPI_CALCULATION_TRACEABILITY.md</x:v>
      </x:c>
    </x:row>
    <x:row r="437" ht="59" customHeight="1">
      <x:c r="A437" s="25" t="str">
        <x:v>Discovery cfg_silver_export_load Latest time</x:v>
      </x:c>
      <x:c r="B437" s="25" t="str">
        <x:v>_MissionControl_Measures</x:v>
      </x:c>
      <x:c r="C437" s="25" t="str">
        <x:v>CALCULATE(MAX(cfg_silver_export_load[started_at]), REMOVEFILTERS())</x:v>
      </x:c>
      <x:c r="D437" s="25" t="str">
        <x:v>monitoring.cfg_silver_export_load</x:v>
      </x:c>
      <x:c r="E437" s="25" t="str">
        <x:v>No direct visible binding verified</x:v>
      </x:c>
      <x:c r="F437" s="25" t="str">
        <x:v>No requirement mapping asserted</x:v>
      </x:c>
      <x:c r="G437" s="25" t="str">
        <x:v>00_setup_cfg.py:96</x:v>
      </x:c>
      <x:c r="H437" s="25" t="str">
        <x:v>Saved definition only; includes display/selector helpers. Not an accepted business KPI or proof of runtime/DR/SLA.</x:v>
      </x:c>
      <x:c r="I437" s="25" t="str">
        <x:v>SM WMPP Mission Control Import/SM WMPP Mission Control.SemanticModel/definition/tables/_MissionControl_Measures.tmdl:1394
Full code: KPI_CALCULATION_TRACEABILITY.md</x:v>
      </x:c>
    </x:row>
    <x:row r="438" ht="176" customHeight="1">
      <x:c r="A438" s="25" t="str">
        <x:v>Discovery cfg_silver_export_load Latest key</x:v>
      </x:c>
      <x:c r="B438" s="25" t="str">
        <x:v>_MissionControl_Measures</x:v>
      </x:c>
      <x:c r="C438" s="25" t="str">
        <x:v>VAR Batches = CALCULATETABLE(SUMMARIZE(cfg_silver_export_load, cfg_silver_export_load[run_id],
			    "DiscoveryTime", MAX(cfg_silver_export_load[started_at])), REMOVEFILTERS())
			VAR LatestBatch = TOPN(1, FILTER(Batches, NOT ISBLANK([DiscoveryTime])),
			    [DiscoveryTime], DESC, cfg_silver_export_load[run_id], DESC)
			RETURN MAXX(LatestBatch, cfg_silver_export_load[run_id])</x:v>
      </x:c>
      <x:c r="D438" s="25" t="str">
        <x:v>monitoring.cfg_silver_export_load</x:v>
      </x:c>
      <x:c r="E438" s="25" t="str">
        <x:v>No direct visible binding verified</x:v>
      </x:c>
      <x:c r="F438" s="25" t="str">
        <x:v>No requirement mapping asserted</x:v>
      </x:c>
      <x:c r="G438" s="25" t="str">
        <x:v>00_setup_cfg.py:96</x:v>
      </x:c>
      <x:c r="H438" s="25" t="str">
        <x:v>Saved definition only; includes display/selector helpers. Not an accepted business KPI or proof of runtime/DR/SLA.</x:v>
      </x:c>
      <x:c r="I438" s="25" t="str">
        <x:v>SM WMPP Mission Control Import/SM WMPP Mission Control.SemanticModel/definition/tables/_MissionControl_Measures.tmdl:1399
Full code: KPI_CALCULATION_TRACEABILITY.md</x:v>
      </x:c>
    </x:row>
    <x:row r="439" ht="254" customHeight="1">
      <x:c r="A439" s="25" t="str">
        <x:v>Discovery cfg_silver_export_load Rows</x:v>
      </x:c>
      <x:c r="B439" s="25" t="str">
        <x:v>_MissionControl_Measures</x:v>
      </x:c>
      <x:c r="C439" s="25" t="str">
        <x:v>COALESCE(IF([Discovery history selected] = 1, CALCULATE(COUNTROWS(cfg_silver_export_load), KEEPFILTERS(TREATAS(CALCULATETABLE(VALUES('Discovery Job Runs'[job_run_id]),
			            KEEPFILTERS(TREATAS(VALUES('Load Calendar'[Date]), 'Discovery Job Runs'[Run Date]))), cfg_silver_export_load[job_run_id]))), IF(ISBLANK([Discovery cfg_silver_export_load Latest key]), CALCULATE(COUNTROWS(cfg_silver_export_load), KEEPFILTERS(TREATAS({[Discovery cfg_silver_export_load Latest time]}, cfg_silver_export_load[started_at]))), CALCULATE(COUNTROWS(cfg_silver_export_load), KEEPFILTERS(TREATAS({[Discovery cfg_silver_export_load Latest key]}, cfg_silver_export_load[run_id]))))), 0)</x:v>
      </x:c>
      <x:c r="D439" s="25" t="str">
        <x:v>Load Calendar (local/calculated model object; no direct notebook producer asserted); monitoring.cfg_silver_export_load; monitoring.rpt_job_run_summary</x:v>
      </x:c>
      <x:c r="E439" s="25" t="str">
        <x:v>No direct visible binding verified</x:v>
      </x:c>
      <x:c r="F439" s="25" t="str">
        <x:v>No requirement mapping asserted</x:v>
      </x:c>
      <x:c r="G439" s="25" t="str">
        <x:v>06_reports.py:141; 00_setup_cfg.py:96</x:v>
      </x:c>
      <x:c r="H439" s="25" t="str">
        <x:v>Saved definition only; includes display/selector helpers. Not an accepted business KPI or proof of runtime/DR/SLA.</x:v>
      </x:c>
      <x:c r="I439" s="25" t="str">
        <x:v>SM WMPP Mission Control Import/SM WMPP Mission Control.SemanticModel/definition/tables/_MissionControl_Measures.tmdl:1408
Full code: KPI_CALCULATION_TRACEABILITY.md</x:v>
      </x:c>
    </x:row>
    <x:row r="440" ht="72" customHeight="1">
      <x:c r="A440" s="25" t="str">
        <x:v>Discovery cfg_silver_export_load Visible</x:v>
      </x:c>
      <x:c r="B440" s="25" t="str">
        <x:v>_MissionControl_Measures</x:v>
      </x:c>
      <x:c r="C440" s="25" t="str">
        <x:v>IF([Discovery cfg_silver_export_load Rows] &gt; 0, 1, 0)</x:v>
      </x:c>
      <x:c r="D440" s="25" t="str">
        <x:v>Load Calendar (local/calculated model object; no direct notebook producer asserted); monitoring.cfg_silver_export_load; monitoring.rpt_job_run_summary</x:v>
      </x:c>
      <x:c r="E440" s="25" t="str">
        <x:v>Load Metrics &amp; Control</x:v>
      </x:c>
      <x:c r="F440" s="25" t="str">
        <x:v>No requirement mapping asserted</x:v>
      </x:c>
      <x:c r="G440" s="25" t="str">
        <x:v>06_reports.py:141; 00_setup_cfg.py:96</x:v>
      </x:c>
      <x:c r="H440" s="25" t="str">
        <x:v>Saved definition only; includes display/selector helpers. Not an accepted business KPI or proof of runtime/DR/SLA.</x:v>
      </x:c>
      <x:c r="I440" s="25" t="str">
        <x:v>SM WMPP Mission Control Import/SM WMPP Mission Control.SemanticModel/definition/tables/_MissionControl_Measures.tmdl:1415
Full code: KPI_CALCULATION_TRACEABILITY.md</x:v>
      </x:c>
    </x:row>
    <x:row r="441" ht="254" customHeight="1">
      <x:c r="A441" s="25" t="str">
        <x:v>Discovery cfg_silver_export_load Selected time</x:v>
      </x:c>
      <x:c r="B441" s="25" t="str">
        <x:v>_MissionControl_Measures</x:v>
      </x:c>
      <x:c r="C441" s="25" t="str">
        <x:v>IF([Discovery history selected] = 1, CALCULATE(MAX(cfg_silver_export_load[started_at]), KEEPFILTERS(TREATAS(CALCULATETABLE(VALUES('Discovery Job Runs'[job_run_id]),
			            KEEPFILTERS(TREATAS(VALUES('Load Calendar'[Date]), 'Discovery Job Runs'[Run Date]))), cfg_silver_export_load[job_run_id]))), IF(ISBLANK([Discovery cfg_silver_export_load Latest key]), CALCULATE(MAX(cfg_silver_export_load[started_at]), KEEPFILTERS(TREATAS({[Discovery cfg_silver_export_load Latest time]}, cfg_silver_export_load[started_at]))), CALCULATE(MAX(cfg_silver_export_load[started_at]), KEEPFILTERS(TREATAS({[Discovery cfg_silver_export_load Latest key]}, cfg_silver_export_load[run_id])))))</x:v>
      </x:c>
      <x:c r="D441" s="25" t="str">
        <x:v>Load Calendar (local/calculated model object; no direct notebook producer asserted); monitoring.cfg_silver_export_load; monitoring.rpt_job_run_summary</x:v>
      </x:c>
      <x:c r="E441" s="25" t="str">
        <x:v>No direct visible binding verified</x:v>
      </x:c>
      <x:c r="F441" s="25" t="str">
        <x:v>No requirement mapping asserted</x:v>
      </x:c>
      <x:c r="G441" s="25" t="str">
        <x:v>06_reports.py:141; 00_setup_cfg.py:96</x:v>
      </x:c>
      <x:c r="H441" s="25" t="str">
        <x:v>Saved definition only; includes display/selector helpers. Not an accepted business KPI or proof of runtime/DR/SLA.</x:v>
      </x:c>
      <x:c r="I441" s="25" t="str">
        <x:v>SM WMPP Mission Control Import/SM WMPP Mission Control.SemanticModel/definition/tables/_MissionControl_Measures.tmdl:1420
Full code: KPI_CALCULATION_TRACEABILITY.md</x:v>
      </x:c>
    </x:row>
    <x:row r="442" ht="124" customHeight="1">
      <x:c r="A442" s="25" t="str">
        <x:v>Discovery cfg_silver_export_load State</x:v>
      </x:c>
      <x:c r="B442" s="25" t="str">
        <x:v>_MissionControl_Measures</x:v>
      </x:c>
      <x:c r="C442" s="25" t="str">
        <x:v>VAR n = [Discovery cfg_silver_export_load Rows]
			RETURN IF(n = 0,
			    IF([Discovery history selected] = 1, "No retained discovery for this selection", "No discovery records available"),
			    "Retained records: " &amp; FORMAT(n, "#,0"))</x:v>
      </x:c>
      <x:c r="D442" s="25" t="str">
        <x:v>Load Calendar (local/calculated model object; no direct notebook producer asserted); monitoring.cfg_silver_export_load; monitoring.rpt_job_run_summary</x:v>
      </x:c>
      <x:c r="E442" s="25" t="str">
        <x:v>No direct visible binding verified</x:v>
      </x:c>
      <x:c r="F442" s="25" t="str">
        <x:v>No requirement mapping asserted</x:v>
      </x:c>
      <x:c r="G442" s="25" t="str">
        <x:v>06_reports.py:141; 00_setup_cfg.py:96</x:v>
      </x:c>
      <x:c r="H442" s="25" t="str">
        <x:v>Saved definition only; includes display/selector helpers. Not an accepted business KPI or proof of runtime/DR/SLA.</x:v>
      </x:c>
      <x:c r="I442" s="25" t="str">
        <x:v>SM WMPP Mission Control Import/SM WMPP Mission Control.SemanticModel/definition/tables/_MissionControl_Measures.tmdl:1427
Full code: KPI_CALCULATION_TRACEABILITY.md</x:v>
      </x:c>
    </x:row>
    <x:row r="443" ht="59" customHeight="1">
      <x:c r="A443" s="25" t="str">
        <x:v>Discovery cfg_silver_load_control Latest time</x:v>
      </x:c>
      <x:c r="B443" s="25" t="str">
        <x:v>_MissionControl_Measures</x:v>
      </x:c>
      <x:c r="C443" s="25" t="str">
        <x:v>CALCULATE(MAX(cfg_silver_load_control[started_at]), REMOVEFILTERS())</x:v>
      </x:c>
      <x:c r="D443" s="25" t="str">
        <x:v>monitoring.cfg_silver_load_control</x:v>
      </x:c>
      <x:c r="E443" s="25" t="str">
        <x:v>No direct visible binding verified</x:v>
      </x:c>
      <x:c r="F443" s="25" t="str">
        <x:v>No requirement mapping asserted</x:v>
      </x:c>
      <x:c r="G443" s="25" t="str">
        <x:v>Local semantic calculation; inspect dependencies</x:v>
      </x:c>
      <x:c r="H443" s="25" t="str">
        <x:v>Saved definition only; includes display/selector helpers. Not an accepted business KPI or proof of runtime/DR/SLA.</x:v>
      </x:c>
      <x:c r="I443" s="25" t="str">
        <x:v>SM WMPP Mission Control Import/SM WMPP Mission Control.SemanticModel/definition/tables/_MissionControl_Measures.tmdl:1435
Full code: KPI_CALCULATION_TRACEABILITY.md</x:v>
      </x:c>
    </x:row>
    <x:row r="444" ht="176" customHeight="1">
      <x:c r="A444" s="25" t="str">
        <x:v>Discovery cfg_silver_load_control Latest key</x:v>
      </x:c>
      <x:c r="B444" s="25" t="str">
        <x:v>_MissionControl_Measures</x:v>
      </x:c>
      <x:c r="C444" s="25" t="str">
        <x:v>VAR Batches = CALCULATETABLE(SUMMARIZE(cfg_silver_load_control, cfg_silver_load_control[run_id],
			    "DiscoveryTime", MAX(cfg_silver_load_control[started_at])), REMOVEFILTERS())
			VAR LatestBatch = TOPN(1, FILTER(Batches, NOT ISBLANK([DiscoveryTime])),
			    [DiscoveryTime], DESC, cfg_silver_load_control[run_id], DESC)
			RETURN MAXX(LatestBatch, cfg_silver_load_control[run_id])</x:v>
      </x:c>
      <x:c r="D444" s="25" t="str">
        <x:v>monitoring.cfg_silver_load_control</x:v>
      </x:c>
      <x:c r="E444" s="25" t="str">
        <x:v>No direct visible binding verified</x:v>
      </x:c>
      <x:c r="F444" s="25" t="str">
        <x:v>No requirement mapping asserted</x:v>
      </x:c>
      <x:c r="G444" s="25" t="str">
        <x:v>Local semantic calculation; inspect dependencies</x:v>
      </x:c>
      <x:c r="H444" s="25" t="str">
        <x:v>Saved definition only; includes display/selector helpers. Not an accepted business KPI or proof of runtime/DR/SLA.</x:v>
      </x:c>
      <x:c r="I444" s="25" t="str">
        <x:v>SM WMPP Mission Control Import/SM WMPP Mission Control.SemanticModel/definition/tables/_MissionControl_Measures.tmdl:1440
Full code: KPI_CALCULATION_TRACEABILITY.md</x:v>
      </x:c>
    </x:row>
    <x:row r="445" ht="72" customHeight="1">
      <x:c r="A445" s="25" t="str">
        <x:v>Discovery cfg_silver_load_control Rows</x:v>
      </x:c>
      <x:c r="B445" s="25" t="str">
        <x:v>_MissionControl_Measures</x:v>
      </x:c>
      <x:c r="C445" s="25" t="str">
        <x:v>COALESCE(CALCULATE(COUNTROWS(cfg_silver_load_control), KEEPFILTERS(TREATAS({[Discovery cfg_silver_load_control Latest key]}, cfg_silver_load_control[run_id]))), 0)</x:v>
      </x:c>
      <x:c r="D445" s="25" t="str">
        <x:v>monitoring.cfg_silver_load_control</x:v>
      </x:c>
      <x:c r="E445" s="25" t="str">
        <x:v>No direct visible binding verified</x:v>
      </x:c>
      <x:c r="F445" s="25" t="str">
        <x:v>No requirement mapping asserted</x:v>
      </x:c>
      <x:c r="G445" s="25" t="str">
        <x:v>Local semantic calculation; inspect dependencies</x:v>
      </x:c>
      <x:c r="H445" s="25" t="str">
        <x:v>Saved definition only; includes display/selector helpers. Not an accepted business KPI or proof of runtime/DR/SLA.</x:v>
      </x:c>
      <x:c r="I445" s="25" t="str">
        <x:v>SM WMPP Mission Control Import/SM WMPP Mission Control.SemanticModel/definition/tables/_MissionControl_Measures.tmdl:1449
Full code: KPI_CALCULATION_TRACEABILITY.md</x:v>
      </x:c>
    </x:row>
    <x:row r="446" ht="59" customHeight="1">
      <x:c r="A446" s="25" t="str">
        <x:v>Discovery cfg_silver_load_control Visible</x:v>
      </x:c>
      <x:c r="B446" s="25" t="str">
        <x:v>_MissionControl_Measures</x:v>
      </x:c>
      <x:c r="C446" s="25" t="str">
        <x:v>IF([Discovery cfg_silver_load_control Rows] &gt; 0, 1, 0)</x:v>
      </x:c>
      <x:c r="D446" s="25" t="str">
        <x:v>monitoring.cfg_silver_load_control</x:v>
      </x:c>
      <x:c r="E446" s="25" t="str">
        <x:v>Load Metrics &amp; Control</x:v>
      </x:c>
      <x:c r="F446" s="25" t="str">
        <x:v>No requirement mapping asserted</x:v>
      </x:c>
      <x:c r="G446" s="25" t="str">
        <x:v>Local semantic calculation; inspect dependencies</x:v>
      </x:c>
      <x:c r="H446" s="25" t="str">
        <x:v>Saved definition only; includes display/selector helpers. Not an accepted business KPI or proof of runtime/DR/SLA.</x:v>
      </x:c>
      <x:c r="I446" s="25" t="str">
        <x:v>SM WMPP Mission Control Import/SM WMPP Mission Control.SemanticModel/definition/tables/_MissionControl_Measures.tmdl:1454
Full code: KPI_CALCULATION_TRACEABILITY.md</x:v>
      </x:c>
    </x:row>
    <x:row r="447" ht="72" customHeight="1">
      <x:c r="A447" s="25" t="str">
        <x:v>Discovery cfg_silver_load_control Selected time</x:v>
      </x:c>
      <x:c r="B447" s="25" t="str">
        <x:v>_MissionControl_Measures</x:v>
      </x:c>
      <x:c r="C447" s="25" t="str">
        <x:v>CALCULATE(MAX(cfg_silver_load_control[started_at]), KEEPFILTERS(TREATAS({[Discovery cfg_silver_load_control Latest key]}, cfg_silver_load_control[run_id])))</x:v>
      </x:c>
      <x:c r="D447" s="25" t="str">
        <x:v>monitoring.cfg_silver_load_control</x:v>
      </x:c>
      <x:c r="E447" s="25" t="str">
        <x:v>No direct visible binding verified</x:v>
      </x:c>
      <x:c r="F447" s="25" t="str">
        <x:v>No requirement mapping asserted</x:v>
      </x:c>
      <x:c r="G447" s="25" t="str">
        <x:v>Local semantic calculation; inspect dependencies</x:v>
      </x:c>
      <x:c r="H447" s="25" t="str">
        <x:v>Saved definition only; includes display/selector helpers. Not an accepted business KPI or proof of runtime/DR/SLA.</x:v>
      </x:c>
      <x:c r="I447" s="25" t="str">
        <x:v>SM WMPP Mission Control Import/SM WMPP Mission Control.SemanticModel/definition/tables/_MissionControl_Measures.tmdl:1459
Full code: KPI_CALCULATION_TRACEABILITY.md</x:v>
      </x:c>
    </x:row>
    <x:row r="448" ht="124" customHeight="1">
      <x:c r="A448" s="25" t="str">
        <x:v>Discovery cfg_silver_load_control State</x:v>
      </x:c>
      <x:c r="B448" s="25" t="str">
        <x:v>_MissionControl_Measures</x:v>
      </x:c>
      <x:c r="C448" s="25" t="str">
        <x:v>VAR n = [Discovery cfg_silver_load_control Rows]
			RETURN IF(n = 0,
			    IF([Discovery history selected] = 1, "No retained discovery for this selection", "No discovery records available"),
			    "Retained records: " &amp; FORMAT(n, "#,0"))</x:v>
      </x:c>
      <x:c r="D448" s="25" t="str">
        <x:v>Load Calendar (local/calculated model object; no direct notebook producer asserted); monitoring.cfg_silver_load_control; monitoring.rpt_job_run_summary</x:v>
      </x:c>
      <x:c r="E448" s="25" t="str">
        <x:v>No direct visible binding verified</x:v>
      </x:c>
      <x:c r="F448" s="25" t="str">
        <x:v>No requirement mapping asserted</x:v>
      </x:c>
      <x:c r="G448" s="25" t="str">
        <x:v>06_reports.py:141</x:v>
      </x:c>
      <x:c r="H448" s="25" t="str">
        <x:v>Saved definition only; includes display/selector helpers. Not an accepted business KPI or proof of runtime/DR/SLA.</x:v>
      </x:c>
      <x:c r="I448" s="25" t="str">
        <x:v>SM WMPP Mission Control Import/SM WMPP Mission Control.SemanticModel/definition/tables/_MissionControl_Measures.tmdl:1464
Full code: KPI_CALCULATION_TRACEABILITY.md</x:v>
      </x:c>
    </x:row>
    <x:row r="449" ht="59" customHeight="1">
      <x:c r="A449" s="25" t="str">
        <x:v>Discovery rpt_job_layer_lineage Latest time</x:v>
      </x:c>
      <x:c r="B449" s="25" t="str">
        <x:v>_MissionControl_Measures</x:v>
      </x:c>
      <x:c r="C449" s="25" t="str">
        <x:v>CALCULATE(MAX(rpt_job_layer_lineage[observed_at]), REMOVEFILTERS())</x:v>
      </x:c>
      <x:c r="D449" s="25" t="str">
        <x:v>monitoring.rpt_job_layer_lineage</x:v>
      </x:c>
      <x:c r="E449" s="25" t="str">
        <x:v>No direct visible binding verified</x:v>
      </x:c>
      <x:c r="F449" s="25" t="str">
        <x:v>No requirement mapping asserted</x:v>
      </x:c>
      <x:c r="G449" s="25" t="str">
        <x:v>06_reports.py:235</x:v>
      </x:c>
      <x:c r="H449" s="25" t="str">
        <x:v>Saved definition only; includes display/selector helpers. Not an accepted business KPI or proof of runtime/DR/SLA.</x:v>
      </x:c>
      <x:c r="I449" s="25" t="str">
        <x:v>SM WMPP Mission Control Import/SM WMPP Mission Control.SemanticModel/definition/tables/_MissionControl_Measures.tmdl:1472
Full code: KPI_CALCULATION_TRACEABILITY.md</x:v>
      </x:c>
    </x:row>
    <x:row r="450" ht="176" customHeight="1">
      <x:c r="A450" s="25" t="str">
        <x:v>Discovery rpt_job_layer_lineage Latest key</x:v>
      </x:c>
      <x:c r="B450" s="25" t="str">
        <x:v>_MissionControl_Measures</x:v>
      </x:c>
      <x:c r="C450" s="25" t="str">
        <x:v>VAR Batches = CALCULATETABLE(SUMMARIZE(rpt_job_layer_lineage, rpt_job_layer_lineage[job_run_id],
			    "DiscoveryTime", MAX(rpt_job_layer_lineage[observed_at])), REMOVEFILTERS())
			VAR LatestBatch = TOPN(1, FILTER(Batches, NOT ISBLANK([DiscoveryTime])),
			    [DiscoveryTime], DESC, rpt_job_layer_lineage[job_run_id], DESC)
			RETURN MAXX(LatestBatch, rpt_job_layer_lineage[job_run_id])</x:v>
      </x:c>
      <x:c r="D450" s="25" t="str">
        <x:v>monitoring.rpt_job_layer_lineage</x:v>
      </x:c>
      <x:c r="E450" s="25" t="str">
        <x:v>No direct visible binding verified</x:v>
      </x:c>
      <x:c r="F450" s="25" t="str">
        <x:v>No requirement mapping asserted</x:v>
      </x:c>
      <x:c r="G450" s="25" t="str">
        <x:v>06_reports.py:235</x:v>
      </x:c>
      <x:c r="H450" s="25" t="str">
        <x:v>Saved definition only; includes display/selector helpers. Not an accepted business KPI or proof of runtime/DR/SLA.</x:v>
      </x:c>
      <x:c r="I450" s="25" t="str">
        <x:v>SM WMPP Mission Control Import/SM WMPP Mission Control.SemanticModel/definition/tables/_MissionControl_Measures.tmdl:1477
Full code: KPI_CALCULATION_TRACEABILITY.md</x:v>
      </x:c>
    </x:row>
    <x:row r="451" ht="254" customHeight="1">
      <x:c r="A451" s="25" t="str">
        <x:v>Discovery rpt_job_layer_lineage Rows</x:v>
      </x:c>
      <x:c r="B451" s="25" t="str">
        <x:v>_MissionControl_Measures</x:v>
      </x:c>
      <x:c r="C451" s="25" t="str">
        <x:v>COALESCE(IF([Discovery history selected] = 1, CALCULATE(COUNTROWS(rpt_job_layer_lineage), KEEPFILTERS(TREATAS(CALCULATETABLE(VALUES('Discovery Job Runs'[job_run_id]),
			            KEEPFILTERS(TREATAS(VALUES('Load Calendar'[Date]), 'Discovery Job Runs'[Run Date]))), rpt_job_layer_lineage[job_run_id]))), IF(ISBLANK([Discovery rpt_job_layer_lineage Latest key]), CALCULATE(COUNTROWS(rpt_job_layer_lineage), KEEPFILTERS(TREATAS({[Discovery rpt_job_layer_lineage Latest time]}, rpt_job_layer_lineage[observed_at]))), CALCULATE(COUNTROWS(rpt_job_layer_lineage), KEEPFILTERS(TREATAS({[Discovery rpt_job_layer_lineage Latest key]}, rpt_job_layer_lineage[job_run_id]))))), 0)</x:v>
      </x:c>
      <x:c r="D451" s="25" t="str">
        <x:v>Load Calendar (local/calculated model object; no direct notebook producer asserted); monitoring.rpt_job_layer_lineage; monitoring.rpt_job_run_summary</x:v>
      </x:c>
      <x:c r="E451" s="25" t="str">
        <x:v>Lineage &amp; Step Summary</x:v>
      </x:c>
      <x:c r="F451" s="25" t="str">
        <x:v>R69</x:v>
      </x:c>
      <x:c r="G451" s="25" t="str">
        <x:v>06_reports.py:141; 06_reports.py:235</x:v>
      </x:c>
      <x:c r="H451" s="25" t="str">
        <x:v>Saved definition only; includes display/selector helpers. Not an accepted business KPI or proof of runtime/DR/SLA.</x:v>
      </x:c>
      <x:c r="I451" s="25" t="str">
        <x:v>SM WMPP Mission Control Import/SM WMPP Mission Control.SemanticModel/definition/tables/_MissionControl_Measures.tmdl:1486
Full code: KPI_CALCULATION_TRACEABILITY.md</x:v>
      </x:c>
    </x:row>
    <x:row r="452" ht="72" customHeight="1">
      <x:c r="A452" s="25" t="str">
        <x:v>Discovery rpt_job_layer_lineage Visible</x:v>
      </x:c>
      <x:c r="B452" s="25" t="str">
        <x:v>_MissionControl_Measures</x:v>
      </x:c>
      <x:c r="C452" s="25" t="str">
        <x:v>IF([Discovery rpt_job_layer_lineage Rows] &gt; 0, 1, 0)</x:v>
      </x:c>
      <x:c r="D452" s="25" t="str">
        <x:v>Load Calendar (local/calculated model object; no direct notebook producer asserted); monitoring.rpt_job_layer_lineage; monitoring.rpt_job_run_summary</x:v>
      </x:c>
      <x:c r="E452" s="25" t="str">
        <x:v>Lineage &amp; Step Summary</x:v>
      </x:c>
      <x:c r="F452" s="25" t="str">
        <x:v>No requirement mapping asserted</x:v>
      </x:c>
      <x:c r="G452" s="25" t="str">
        <x:v>06_reports.py:141; 06_reports.py:235</x:v>
      </x:c>
      <x:c r="H452" s="25" t="str">
        <x:v>Saved definition only; includes display/selector helpers. Not an accepted business KPI or proof of runtime/DR/SLA.</x:v>
      </x:c>
      <x:c r="I452" s="25" t="str">
        <x:v>SM WMPP Mission Control Import/SM WMPP Mission Control.SemanticModel/definition/tables/_MissionControl_Measures.tmdl:1493
Full code: KPI_CALCULATION_TRACEABILITY.md</x:v>
      </x:c>
    </x:row>
    <x:row r="453" ht="254" customHeight="1">
      <x:c r="A453" s="25" t="str">
        <x:v>Discovery rpt_job_layer_lineage Selected time</x:v>
      </x:c>
      <x:c r="B453" s="25" t="str">
        <x:v>_MissionControl_Measures</x:v>
      </x:c>
      <x:c r="C453" s="25" t="str">
        <x:v>IF([Discovery history selected] = 1, CALCULATE(MAX(rpt_job_layer_lineage[observed_at]), KEEPFILTERS(TREATAS(CALCULATETABLE(VALUES('Discovery Job Runs'[job_run_id]),
			            KEEPFILTERS(TREATAS(VALUES('Load Calendar'[Date]), 'Discovery Job Runs'[Run Date]))), rpt_job_layer_lineage[job_run_id]))), IF(ISBLANK([Discovery rpt_job_layer_lineage Latest key]), CALCULATE(MAX(rpt_job_layer_lineage[observed_at]), KEEPFILTERS(TREATAS({[Discovery rpt_job_layer_lineage Latest time]}, rpt_job_layer_lineage[observed_at]))), CALCULATE(MAX(rpt_job_layer_lineage[observed_at]), KEEPFILTERS(TREATAS({[Discovery rpt_job_layer_lineage Latest key]}, rpt_job_layer_lineage[job_run_id])))))</x:v>
      </x:c>
      <x:c r="D453" s="25" t="str">
        <x:v>Load Calendar (local/calculated model object; no direct notebook producer asserted); monitoring.rpt_job_layer_lineage; monitoring.rpt_job_run_summary</x:v>
      </x:c>
      <x:c r="E453" s="25" t="str">
        <x:v>No direct visible binding verified</x:v>
      </x:c>
      <x:c r="F453" s="25" t="str">
        <x:v>No requirement mapping asserted</x:v>
      </x:c>
      <x:c r="G453" s="25" t="str">
        <x:v>06_reports.py:141; 06_reports.py:235</x:v>
      </x:c>
      <x:c r="H453" s="25" t="str">
        <x:v>Saved definition only; includes display/selector helpers. Not an accepted business KPI or proof of runtime/DR/SLA.</x:v>
      </x:c>
      <x:c r="I453" s="25" t="str">
        <x:v>SM WMPP Mission Control Import/SM WMPP Mission Control.SemanticModel/definition/tables/_MissionControl_Measures.tmdl:1498
Full code: KPI_CALCULATION_TRACEABILITY.md</x:v>
      </x:c>
    </x:row>
    <x:row r="454" ht="124" customHeight="1">
      <x:c r="A454" s="25" t="str">
        <x:v>Discovery rpt_job_layer_lineage State</x:v>
      </x:c>
      <x:c r="B454" s="25" t="str">
        <x:v>_MissionControl_Measures</x:v>
      </x:c>
      <x:c r="C454" s="25" t="str">
        <x:v>VAR n = [Discovery rpt_job_layer_lineage Rows]
			RETURN IF(n = 0,
			    IF([Discovery history selected] = 1, "No retained discovery for this selection", "No discovery records available"),
			    "Retained records: " &amp; FORMAT(n, "#,0"))</x:v>
      </x:c>
      <x:c r="D454" s="25" t="str">
        <x:v>Load Calendar (local/calculated model object; no direct notebook producer asserted); monitoring.rpt_job_layer_lineage; monitoring.rpt_job_run_summary</x:v>
      </x:c>
      <x:c r="E454" s="25" t="str">
        <x:v>Lineage &amp; Step Summary</x:v>
      </x:c>
      <x:c r="F454" s="25" t="str">
        <x:v>No requirement mapping asserted</x:v>
      </x:c>
      <x:c r="G454" s="25" t="str">
        <x:v>06_reports.py:141; 06_reports.py:235</x:v>
      </x:c>
      <x:c r="H454" s="25" t="str">
        <x:v>Saved definition only; includes display/selector helpers. Not an accepted business KPI or proof of runtime/DR/SLA.</x:v>
      </x:c>
      <x:c r="I454" s="25" t="str">
        <x:v>SM WMPP Mission Control Import/SM WMPP Mission Control.SemanticModel/definition/tables/_MissionControl_Measures.tmdl:1505
Full code: KPI_CALCULATION_TRACEABILITY.md</x:v>
      </x:c>
    </x:row>
    <x:row r="455" ht="59" customHeight="1">
      <x:c r="A455" s="25" t="str">
        <x:v>Discovery rpt_job_step_summary Latest time</x:v>
      </x:c>
      <x:c r="B455" s="25" t="str">
        <x:v>_MissionControl_Measures</x:v>
      </x:c>
      <x:c r="C455" s="25" t="str">
        <x:v>CALCULATE(MAX(rpt_job_step_summary[started_at]), REMOVEFILTERS())</x:v>
      </x:c>
      <x:c r="D455" s="25" t="str">
        <x:v>monitoring.rpt_job_step_summary</x:v>
      </x:c>
      <x:c r="E455" s="25" t="str">
        <x:v>No direct visible binding verified</x:v>
      </x:c>
      <x:c r="F455" s="25" t="str">
        <x:v>No requirement mapping asserted</x:v>
      </x:c>
      <x:c r="G455" s="25" t="str">
        <x:v>06_reports.py:74</x:v>
      </x:c>
      <x:c r="H455" s="25" t="str">
        <x:v>Saved definition only; includes display/selector helpers. Not an accepted business KPI or proof of runtime/DR/SLA.</x:v>
      </x:c>
      <x:c r="I455" s="25" t="str">
        <x:v>SM WMPP Mission Control Import/SM WMPP Mission Control.SemanticModel/definition/tables/_MissionControl_Measures.tmdl:1513
Full code: KPI_CALCULATION_TRACEABILITY.md</x:v>
      </x:c>
    </x:row>
    <x:row r="456" ht="176" customHeight="1">
      <x:c r="A456" s="25" t="str">
        <x:v>Discovery rpt_job_step_summary Latest key</x:v>
      </x:c>
      <x:c r="B456" s="25" t="str">
        <x:v>_MissionControl_Measures</x:v>
      </x:c>
      <x:c r="C456" s="25" t="str">
        <x:v>VAR Batches = CALCULATETABLE(SUMMARIZE(rpt_job_step_summary, rpt_job_step_summary[job_run_id],
			    "DiscoveryTime", MAX(rpt_job_step_summary[started_at])), REMOVEFILTERS())
			VAR LatestBatch = TOPN(1, FILTER(Batches, NOT ISBLANK([DiscoveryTime])),
			    [DiscoveryTime], DESC, rpt_job_step_summary[job_run_id], DESC)
			RETURN MAXX(LatestBatch, rpt_job_step_summary[job_run_id])</x:v>
      </x:c>
      <x:c r="D456" s="25" t="str">
        <x:v>monitoring.rpt_job_step_summary</x:v>
      </x:c>
      <x:c r="E456" s="25" t="str">
        <x:v>No direct visible binding verified</x:v>
      </x:c>
      <x:c r="F456" s="25" t="str">
        <x:v>No requirement mapping asserted</x:v>
      </x:c>
      <x:c r="G456" s="25" t="str">
        <x:v>06_reports.py:74</x:v>
      </x:c>
      <x:c r="H456" s="25" t="str">
        <x:v>Saved definition only; includes display/selector helpers. Not an accepted business KPI or proof of runtime/DR/SLA.</x:v>
      </x:c>
      <x:c r="I456" s="25" t="str">
        <x:v>SM WMPP Mission Control Import/SM WMPP Mission Control.SemanticModel/definition/tables/_MissionControl_Measures.tmdl:1518
Full code: KPI_CALCULATION_TRACEABILITY.md</x:v>
      </x:c>
    </x:row>
    <x:row r="457" ht="254" customHeight="1">
      <x:c r="A457" s="25" t="str">
        <x:v>Discovery rpt_job_step_summary Rows</x:v>
      </x:c>
      <x:c r="B457" s="25" t="str">
        <x:v>_MissionControl_Measures</x:v>
      </x:c>
      <x:c r="C457" s="25" t="str">
        <x:v>COALESCE(IF([Discovery history selected] = 1, CALCULATE(COUNTROWS(rpt_job_step_summary), KEEPFILTERS(TREATAS(CALCULATETABLE(VALUES('Discovery Job Runs'[job_run_id]),
			            KEEPFILTERS(TREATAS(VALUES('Load Calendar'[Date]), 'Discovery Job Runs'[Run Date]))), rpt_job_step_summary[job_run_id]))), IF(ISBLANK([Discovery rpt_job_step_summary Latest key]), CALCULATE(COUNTROWS(rpt_job_step_summary), KEEPFILTERS(TREATAS({[Discovery rpt_job_step_summary Latest time]}, rpt_job_step_summary[started_at]))), CALCULATE(COUNTROWS(rpt_job_step_summary), KEEPFILTERS(TREATAS({[Discovery rpt_job_step_summary Latest key]}, rpt_job_step_summary[job_run_id]))))), 0)</x:v>
      </x:c>
      <x:c r="D457" s="25" t="str">
        <x:v>Load Calendar (local/calculated model object; no direct notebook producer asserted); monitoring.rpt_job_run_summary; monitoring.rpt_job_step_summary</x:v>
      </x:c>
      <x:c r="E457" s="25" t="str">
        <x:v>No direct visible binding verified</x:v>
      </x:c>
      <x:c r="F457" s="25" t="str">
        <x:v>No requirement mapping asserted</x:v>
      </x:c>
      <x:c r="G457" s="25" t="str">
        <x:v>06_reports.py:141; 06_reports.py:74</x:v>
      </x:c>
      <x:c r="H457" s="25" t="str">
        <x:v>Saved definition only; includes display/selector helpers. Not an accepted business KPI or proof of runtime/DR/SLA.</x:v>
      </x:c>
      <x:c r="I457" s="25" t="str">
        <x:v>SM WMPP Mission Control Import/SM WMPP Mission Control.SemanticModel/definition/tables/_MissionControl_Measures.tmdl:1527
Full code: KPI_CALCULATION_TRACEABILITY.md</x:v>
      </x:c>
    </x:row>
    <x:row r="458" ht="72" customHeight="1">
      <x:c r="A458" s="25" t="str">
        <x:v>Discovery rpt_job_step_summary Visible</x:v>
      </x:c>
      <x:c r="B458" s="25" t="str">
        <x:v>_MissionControl_Measures</x:v>
      </x:c>
      <x:c r="C458" s="25" t="str">
        <x:v>IF([Discovery rpt_job_step_summary Rows] &gt; 0, 1, 0)</x:v>
      </x:c>
      <x:c r="D458" s="25" t="str">
        <x:v>Load Calendar (local/calculated model object; no direct notebook producer asserted); monitoring.rpt_job_run_summary; monitoring.rpt_job_step_summary</x:v>
      </x:c>
      <x:c r="E458" s="25" t="str">
        <x:v>Lineage &amp; Step Summary</x:v>
      </x:c>
      <x:c r="F458" s="25" t="str">
        <x:v>No requirement mapping asserted</x:v>
      </x:c>
      <x:c r="G458" s="25" t="str">
        <x:v>06_reports.py:141; 06_reports.py:74</x:v>
      </x:c>
      <x:c r="H458" s="25" t="str">
        <x:v>Saved definition only; includes display/selector helpers. Not an accepted business KPI or proof of runtime/DR/SLA.</x:v>
      </x:c>
      <x:c r="I458" s="25" t="str">
        <x:v>SM WMPP Mission Control Import/SM WMPP Mission Control.SemanticModel/definition/tables/_MissionControl_Measures.tmdl:1534
Full code: KPI_CALCULATION_TRACEABILITY.md</x:v>
      </x:c>
    </x:row>
    <x:row r="459" ht="254" customHeight="1">
      <x:c r="A459" s="25" t="str">
        <x:v>Discovery rpt_job_step_summary Selected time</x:v>
      </x:c>
      <x:c r="B459" s="25" t="str">
        <x:v>_MissionControl_Measures</x:v>
      </x:c>
      <x:c r="C459" s="25" t="str">
        <x:v>IF([Discovery history selected] = 1, CALCULATE(MAX(rpt_job_step_summary[started_at]), KEEPFILTERS(TREATAS(CALCULATETABLE(VALUES('Discovery Job Runs'[job_run_id]),
			            KEEPFILTERS(TREATAS(VALUES('Load Calendar'[Date]), 'Discovery Job Runs'[Run Date]))), rpt_job_step_summary[job_run_id]))), IF(ISBLANK([Discovery rpt_job_step_summary Latest key]), CALCULATE(MAX(rpt_job_step_summary[started_at]), KEEPFILTERS(TREATAS({[Discovery rpt_job_step_summary Latest time]}, rpt_job_step_summary[started_at]))), CALCULATE(MAX(rpt_job_step_summary[started_at]), KEEPFILTERS(TREATAS({[Discovery rpt_job_step_summary Latest key]}, rpt_job_step_summary[job_run_id])))))</x:v>
      </x:c>
      <x:c r="D459" s="25" t="str">
        <x:v>Load Calendar (local/calculated model object; no direct notebook producer asserted); monitoring.rpt_job_run_summary; monitoring.rpt_job_step_summary</x:v>
      </x:c>
      <x:c r="E459" s="25" t="str">
        <x:v>No direct visible binding verified</x:v>
      </x:c>
      <x:c r="F459" s="25" t="str">
        <x:v>No requirement mapping asserted</x:v>
      </x:c>
      <x:c r="G459" s="25" t="str">
        <x:v>06_reports.py:141; 06_reports.py:74</x:v>
      </x:c>
      <x:c r="H459" s="25" t="str">
        <x:v>Saved definition only; includes display/selector helpers. Not an accepted business KPI or proof of runtime/DR/SLA.</x:v>
      </x:c>
      <x:c r="I459" s="25" t="str">
        <x:v>SM WMPP Mission Control Import/SM WMPP Mission Control.SemanticModel/definition/tables/_MissionControl_Measures.tmdl:1539
Full code: KPI_CALCULATION_TRACEABILITY.md</x:v>
      </x:c>
    </x:row>
    <x:row r="460" ht="124" customHeight="1">
      <x:c r="A460" s="25" t="str">
        <x:v>Discovery rpt_job_step_summary State</x:v>
      </x:c>
      <x:c r="B460" s="25" t="str">
        <x:v>_MissionControl_Measures</x:v>
      </x:c>
      <x:c r="C460" s="25" t="str">
        <x:v>VAR n = [Discovery rpt_job_step_summary Rows]
			RETURN IF(n = 0,
			    IF([Discovery history selected] = 1, "No retained discovery for this selection", "No discovery records available"),
			    "Retained records: " &amp; FORMAT(n, "#,0"))</x:v>
      </x:c>
      <x:c r="D460" s="25" t="str">
        <x:v>Load Calendar (local/calculated model object; no direct notebook producer asserted); monitoring.rpt_job_run_summary; monitoring.rpt_job_step_summary</x:v>
      </x:c>
      <x:c r="E460" s="25" t="str">
        <x:v>No direct visible binding verified</x:v>
      </x:c>
      <x:c r="F460" s="25" t="str">
        <x:v>No requirement mapping asserted</x:v>
      </x:c>
      <x:c r="G460" s="25" t="str">
        <x:v>06_reports.py:141; 06_reports.py:74</x:v>
      </x:c>
      <x:c r="H460" s="25" t="str">
        <x:v>Saved definition only; includes display/selector helpers. Not an accepted business KPI or proof of runtime/DR/SLA.</x:v>
      </x:c>
      <x:c r="I460" s="25" t="str">
        <x:v>SM WMPP Mission Control Import/SM WMPP Mission Control.SemanticModel/definition/tables/_MissionControl_Measures.tmdl:1546
Full code: KPI_CALCULATION_TRACEABILITY.md</x:v>
      </x:c>
    </x:row>
    <x:row r="461" ht="59" customHeight="1">
      <x:c r="A461" s="25" t="str">
        <x:v>Discovery cfg_gold_lineage_mapping Rows</x:v>
      </x:c>
      <x:c r="B461" s="25" t="str">
        <x:v>_MissionControl_Measures</x:v>
      </x:c>
      <x:c r="C461" s="25" t="str">
        <x:v>COALESCE(COUNTROWS(cfg_gold_lineage_mapping), 0)</x:v>
      </x:c>
      <x:c r="D461" s="25" t="str"/>
      <x:c r="E461" s="25" t="str">
        <x:v>No direct visible binding verified</x:v>
      </x:c>
      <x:c r="F461" s="25" t="str">
        <x:v>No requirement mapping asserted</x:v>
      </x:c>
      <x:c r="G461" s="25" t="str">
        <x:v>Local semantic calculation; inspect dependencies</x:v>
      </x:c>
      <x:c r="H461" s="25" t="str">
        <x:v>Saved definition only; includes display/selector helpers. Not an accepted business KPI or proof of runtime/DR/SLA.</x:v>
      </x:c>
      <x:c r="I461" s="25" t="str">
        <x:v>SM WMPP Mission Control Import/SM WMPP Mission Control.SemanticModel/definition/tables/_MissionControl_Measures.tmdl:1554
Full code: KPI_CALCULATION_TRACEABILITY.md</x:v>
      </x:c>
    </x:row>
    <x:row r="462" ht="59" customHeight="1">
      <x:c r="A462" s="25" t="str">
        <x:v>Discovery cfg_gold_lineage_mapping Visible</x:v>
      </x:c>
      <x:c r="B462" s="25" t="str">
        <x:v>_MissionControl_Measures</x:v>
      </x:c>
      <x:c r="C462" s="25" t="str">
        <x:v>IF([Discovery cfg_gold_lineage_mapping Rows] &gt; 0, 1, 0)</x:v>
      </x:c>
      <x:c r="D462" s="25" t="str"/>
      <x:c r="E462" s="25" t="str">
        <x:v>Lineage &amp; Step Summary</x:v>
      </x:c>
      <x:c r="F462" s="25" t="str">
        <x:v>No requirement mapping asserted</x:v>
      </x:c>
      <x:c r="G462" s="25" t="str">
        <x:v>Local semantic calculation; inspect dependencies</x:v>
      </x:c>
      <x:c r="H462" s="25" t="str">
        <x:v>Saved definition only; includes display/selector helpers. Not an accepted business KPI or proof of runtime/DR/SLA.</x:v>
      </x:c>
      <x:c r="I462" s="25" t="str">
        <x:v>SM WMPP Mission Control Import/SM WMPP Mission Control.SemanticModel/definition/tables/_MissionControl_Measures.tmdl:1559
Full code: KPI_CALCULATION_TRACEABILITY.md</x:v>
      </x:c>
    </x:row>
    <x:row r="463" ht="124" customHeight="1">
      <x:c r="A463" s="25" t="str">
        <x:v>Discovery cfg_gold_lineage_mapping State</x:v>
      </x:c>
      <x:c r="B463" s="25" t="str">
        <x:v>_MissionControl_Measures</x:v>
      </x:c>
      <x:c r="C463" s="25" t="str">
        <x:v>VAR n = [Discovery cfg_gold_lineage_mapping Rows]
			RETURN IF(n = 0,
			    IF([Discovery history selected] = 1, "No retained discovery for this selection", "No discovery records available"),
			    "Retained records: " &amp; FORMAT(n, "#,0"))</x:v>
      </x:c>
      <x:c r="D463" s="25" t="str">
        <x:v>Load Calendar (local/calculated model object; no direct notebook producer asserted); monitoring.rpt_job_run_summary</x:v>
      </x:c>
      <x:c r="E463" s="25" t="str">
        <x:v>No direct visible binding verified</x:v>
      </x:c>
      <x:c r="F463" s="25" t="str">
        <x:v>No requirement mapping asserted</x:v>
      </x:c>
      <x:c r="G463" s="25" t="str">
        <x:v>06_reports.py:141</x:v>
      </x:c>
      <x:c r="H463" s="25" t="str">
        <x:v>Saved definition only; includes display/selector helpers. Not an accepted business KPI or proof of runtime/DR/SLA.</x:v>
      </x:c>
      <x:c r="I463" s="25" t="str">
        <x:v>SM WMPP Mission Control Import/SM WMPP Mission Control.SemanticModel/definition/tables/_MissionControl_Measures.tmdl:1564
Full code: KPI_CALCULATION_TRACEABILITY.md</x:v>
      </x:c>
    </x:row>
    <x:row r="464" ht="202" customHeight="1">
      <x:c r="A464" s="25" t="str">
        <x:v>Discovery cfg_data_domain Context</x:v>
      </x:c>
      <x:c r="B464" s="25" t="str">
        <x:v>_MissionControl_Measures</x:v>
      </x:c>
      <x:c r="C464" s="25" t="str">
        <x:v>VAR History = [Discovery history selected] = 1
			VAR DateChosen = SELECTEDVALUE('Load Calendar'[Date])
			VAR LatestTime = [Discovery cfg_data_domain Latest time]
			RETURN IF(History,
			    "Historical selection" &amp; IF(NOT ISBLANK(DateChosen), " · " &amp; FORMAT(DateChosen, "dd MMM yyyy"), " · chosen job"),
			    IF(ISBLANK(LatestTime), "No latest discovery available", "Latest discovery · " &amp; FORMAT(LatestTime, "dd MMM yyyy HH:mm")))</x:v>
      </x:c>
      <x:c r="D464" s="25" t="str">
        <x:v>Load Calendar (local/calculated model object; no direct notebook producer asserted); monitoring.cfg_data_domain; monitoring.rpt_job_run_summary</x:v>
      </x:c>
      <x:c r="E464" s="25" t="str">
        <x:v>Domains &amp; Reference</x:v>
      </x:c>
      <x:c r="F464" s="25" t="str">
        <x:v>No requirement mapping asserted</x:v>
      </x:c>
      <x:c r="G464" s="25" t="str">
        <x:v>06_reports.py:141; 99_data_domain.py:110; 99_common_library.py:462</x:v>
      </x:c>
      <x:c r="H464" s="25" t="str">
        <x:v>Saved definition only; includes display/selector helpers. Not an accepted business KPI or proof of runtime/DR/SLA.</x:v>
      </x:c>
      <x:c r="I464" s="25" t="str">
        <x:v>SM WMPP Mission Control Import/SM WMPP Mission Control.SemanticModel/definition/tables/_MissionControl_Measures.tmdl:1572
Full code: KPI_CALCULATION_TRACEABILITY.md</x:v>
      </x:c>
    </x:row>
    <x:row r="465" ht="345" customHeight="1">
      <x:c r="A465" s="25" t="str">
        <x:v>Discovery cfg_data_domain Scope count</x:v>
      </x:c>
      <x:c r="B465" s="25" t="str">
        <x:v>_MissionControl_Measures</x:v>
      </x:c>
      <x:c r="C465" s="25" t="str">
        <x:v>COALESCE(IF([Discovery history selected] = 1, CALCULATE(COUNTROWS(SUMMARIZE(cfg_data_domain,cfg_data_domain[source_schema],cfg_data_domain[source_table],cfg_data_domain[column_name])), KEEPFILTERS(TREATAS(CALCULATETABLE(VALUES('Discovery Job Runs'[job_run_id]),
			            KEEPFILTERS(TREATAS(VALUES('Load Calendar'[Date]), 'Discovery Job Runs'[Run Date]))), cfg_data_domain[job_run_id]))), IF(ISBLANK([Discovery cfg_data_domain Latest key]), CALCULATE(COUNTROWS(SUMMARIZE(cfg_data_domain,cfg_data_domain[source_schema],cfg_data_domain[source_table],cfg_data_domain[column_name])), KEEPFILTERS(TREATAS({[Discovery cfg_data_domain Latest time]}, cfg_data_domain[profiled_at]))), CALCULATE(COUNTROWS(SUMMARIZE(cfg_data_domain,cfg_data_domain[source_schema],cfg_data_domain[source_table],cfg_data_domain[column_name])), KEEPFILTERS(TREATAS({[Discovery cfg_data_domain Latest key]}, cfg_data_domain[run_id]))))),0)</x:v>
      </x:c>
      <x:c r="D465" s="25" t="str">
        <x:v>Load Calendar (local/calculated model object; no direct notebook producer asserted); monitoring.cfg_data_domain; monitoring.rpt_job_run_summary</x:v>
      </x:c>
      <x:c r="E465" s="25" t="str">
        <x:v>Domains &amp; Reference</x:v>
      </x:c>
      <x:c r="F465" s="25" t="str">
        <x:v>No requirement mapping asserted</x:v>
      </x:c>
      <x:c r="G465" s="25" t="str">
        <x:v>06_reports.py:141; 99_data_domain.py:110; 99_common_library.py:462</x:v>
      </x:c>
      <x:c r="H465" s="25" t="str">
        <x:v>Saved definition only; includes display/selector helpers. Not an accepted business KPI or proof of runtime/DR/SLA.</x:v>
      </x:c>
      <x:c r="I465" s="25" t="str">
        <x:v>SM WMPP Mission Control Import/SM WMPP Mission Control.SemanticModel/definition/tables/_MissionControl_Measures.tmdl:1582
Full code: KPI_CALCULATION_TRACEABILITY.md</x:v>
      </x:c>
    </x:row>
    <x:row r="466" ht="254" customHeight="1">
      <x:c r="A466" s="25" t="str">
        <x:v>Discovery cfg_data_domain Distinct objects</x:v>
      </x:c>
      <x:c r="B466" s="25" t="str">
        <x:v>_MissionControl_Measures</x:v>
      </x:c>
      <x:c r="C466" s="25" t="str">
        <x:v>COALESCE(IF([Discovery history selected] = 1, CALCULATE(DISTINCTCOUNT(cfg_data_domain[source_table]), KEEPFILTERS(TREATAS(CALCULATETABLE(VALUES('Discovery Job Runs'[job_run_id]),
			            KEEPFILTERS(TREATAS(VALUES('Load Calendar'[Date]), 'Discovery Job Runs'[Run Date]))), cfg_data_domain[job_run_id]))), IF(ISBLANK([Discovery cfg_data_domain Latest key]), CALCULATE(DISTINCTCOUNT(cfg_data_domain[source_table]), KEEPFILTERS(TREATAS({[Discovery cfg_data_domain Latest time]}, cfg_data_domain[profiled_at]))), CALCULATE(DISTINCTCOUNT(cfg_data_domain[source_table]), KEEPFILTERS(TREATAS({[Discovery cfg_data_domain Latest key]}, cfg_data_domain[run_id]))))),0)</x:v>
      </x:c>
      <x:c r="D466" s="25" t="str">
        <x:v>Load Calendar (local/calculated model object; no direct notebook producer asserted); monitoring.cfg_data_domain; monitoring.rpt_job_run_summary</x:v>
      </x:c>
      <x:c r="E466" s="25" t="str">
        <x:v>Domains &amp; Reference</x:v>
      </x:c>
      <x:c r="F466" s="25" t="str">
        <x:v>No requirement mapping asserted</x:v>
      </x:c>
      <x:c r="G466" s="25" t="str">
        <x:v>06_reports.py:141; 99_data_domain.py:110; 99_common_library.py:462</x:v>
      </x:c>
      <x:c r="H466" s="25" t="str">
        <x:v>Saved definition only; includes display/selector helpers. Not an accepted business KPI or proof of runtime/DR/SLA.</x:v>
      </x:c>
      <x:c r="I466" s="25" t="str">
        <x:v>SM WMPP Mission Control Import/SM WMPP Mission Control.SemanticModel/definition/tables/_MissionControl_Measures.tmdl:1589
Full code: KPI_CALCULATION_TRACEABILITY.md</x:v>
      </x:c>
    </x:row>
    <x:row r="467" ht="241" customHeight="1">
      <x:c r="A467" s="25" t="str">
        <x:v>Discovery cfg_data_domain Discovery batches</x:v>
      </x:c>
      <x:c r="B467" s="25" t="str">
        <x:v>_MissionControl_Measures</x:v>
      </x:c>
      <x:c r="C467" s="25" t="str">
        <x:v>COALESCE(IF([Discovery history selected] = 1, CALCULATE(DISTINCTCOUNT(cfg_data_domain[run_id]), KEEPFILTERS(TREATAS(CALCULATETABLE(VALUES('Discovery Job Runs'[job_run_id]),
			            KEEPFILTERS(TREATAS(VALUES('Load Calendar'[Date]), 'Discovery Job Runs'[Run Date]))), cfg_data_domain[job_run_id]))), IF(ISBLANK([Discovery cfg_data_domain Latest key]), CALCULATE(DISTINCTCOUNT(cfg_data_domain[run_id]), KEEPFILTERS(TREATAS({[Discovery cfg_data_domain Latest time]}, cfg_data_domain[profiled_at]))), CALCULATE(DISTINCTCOUNT(cfg_data_domain[run_id]), KEEPFILTERS(TREATAS({[Discovery cfg_data_domain Latest key]}, cfg_data_domain[run_id]))))),0)</x:v>
      </x:c>
      <x:c r="D467" s="25" t="str">
        <x:v>Load Calendar (local/calculated model object; no direct notebook producer asserted); monitoring.cfg_data_domain; monitoring.rpt_job_run_summary</x:v>
      </x:c>
      <x:c r="E467" s="25" t="str">
        <x:v>Domains &amp; Reference</x:v>
      </x:c>
      <x:c r="F467" s="25" t="str">
        <x:v>No requirement mapping asserted</x:v>
      </x:c>
      <x:c r="G467" s="25" t="str">
        <x:v>06_reports.py:141; 99_data_domain.py:110; 99_common_library.py:462</x:v>
      </x:c>
      <x:c r="H467" s="25" t="str">
        <x:v>Saved definition only; includes display/selector helpers. Not an accepted business KPI or proof of runtime/DR/SLA.</x:v>
      </x:c>
      <x:c r="I467" s="25" t="str">
        <x:v>SM WMPP Mission Control Import/SM WMPP Mission Control.SemanticModel/definition/tables/_MissionControl_Measures.tmdl:1596
Full code: KPI_CALCULATION_TRACEABILITY.md</x:v>
      </x:c>
    </x:row>
    <x:row r="468" ht="202" customHeight="1">
      <x:c r="A468" s="25" t="str">
        <x:v>Discovery cfg_schema_drift_event Context</x:v>
      </x:c>
      <x:c r="B468" s="25" t="str">
        <x:v>_MissionControl_Measures</x:v>
      </x:c>
      <x:c r="C468" s="25" t="str">
        <x:v>VAR History = [Discovery history selected] = 1
			VAR DateChosen = SELECTEDVALUE('Load Calendar'[Date])
			VAR LatestTime = [Discovery cfg_schema_drift_event Latest time]
			RETURN IF(History,
			    "Historical selection" &amp; IF(NOT ISBLANK(DateChosen), " · " &amp; FORMAT(DateChosen, "dd MMM yyyy"), " · chosen job"),
			    IF(ISBLANK(LatestTime), "No latest discovery available", "Latest discovery · " &amp; FORMAT(LatestTime, "dd MMM yyyy HH:mm")))</x:v>
      </x:c>
      <x:c r="D468" s="25" t="str">
        <x:v>Load Calendar (local/calculated model object; no direct notebook producer asserted); monitoring.cfg_schema_drift_event; monitoring.rpt_job_run_summary</x:v>
      </x:c>
      <x:c r="E468" s="25" t="str">
        <x:v>Schema &amp; Drift</x:v>
      </x:c>
      <x:c r="F468" s="25" t="str">
        <x:v>No requirement mapping asserted</x:v>
      </x:c>
      <x:c r="G468" s="25" t="str">
        <x:v>06_reports.py:141; 01a_cfg_schema_capture_live.py:308</x:v>
      </x:c>
      <x:c r="H468" s="25" t="str">
        <x:v>Saved definition only; includes display/selector helpers. Not an accepted business KPI or proof of runtime/DR/SLA.</x:v>
      </x:c>
      <x:c r="I468" s="25" t="str">
        <x:v>SM WMPP Mission Control Import/SM WMPP Mission Control.SemanticModel/definition/tables/_MissionControl_Measures.tmdl:1603
Full code: KPI_CALCULATION_TRACEABILITY.md</x:v>
      </x:c>
    </x:row>
    <x:row r="469" ht="306" customHeight="1">
      <x:c r="A469" s="25" t="str">
        <x:v>Discovery cfg_schema_drift_event Scope count</x:v>
      </x:c>
      <x:c r="B469" s="25" t="str">
        <x:v>_MissionControl_Measures</x:v>
      </x:c>
      <x:c r="C469" s="25" t="str">
        <x:v>COALESCE(IF([Discovery history selected] = 1, CALCULATE(COUNTROWS(SUMMARIZE(cfg_schema_drift_event,cfg_schema_drift_event[drift_key])), KEEPFILTERS(TREATAS(CALCULATETABLE(VALUES('Discovery Job Runs'[job_run_id]),
			            KEEPFILTERS(TREATAS(VALUES('Load Calendar'[Date]), 'Discovery Job Runs'[Run Date]))), cfg_schema_drift_event[job_run_id]))), IF(ISBLANK([Discovery cfg_schema_drift_event Latest key]), CALCULATE(COUNTROWS(SUMMARIZE(cfg_schema_drift_event,cfg_schema_drift_event[drift_key])), KEEPFILTERS(TREATAS({[Discovery cfg_schema_drift_event Latest time]}, cfg_schema_drift_event[detected_at]))), CALCULATE(COUNTROWS(SUMMARIZE(cfg_schema_drift_event,cfg_schema_drift_event[drift_key])), KEEPFILTERS(TREATAS({[Discovery cfg_schema_drift_event Latest key]}, cfg_schema_drift_event[run_id]))))),0)</x:v>
      </x:c>
      <x:c r="D469" s="25" t="str">
        <x:v>Load Calendar (local/calculated model object; no direct notebook producer asserted); monitoring.cfg_schema_drift_event; monitoring.rpt_job_run_summary</x:v>
      </x:c>
      <x:c r="E469" s="25" t="str">
        <x:v>Schema &amp; Drift</x:v>
      </x:c>
      <x:c r="F469" s="25" t="str">
        <x:v>No requirement mapping asserted</x:v>
      </x:c>
      <x:c r="G469" s="25" t="str">
        <x:v>06_reports.py:141; 01a_cfg_schema_capture_live.py:308</x:v>
      </x:c>
      <x:c r="H469" s="25" t="str">
        <x:v>Saved definition only; includes display/selector helpers. Not an accepted business KPI or proof of runtime/DR/SLA.</x:v>
      </x:c>
      <x:c r="I469" s="25" t="str">
        <x:v>SM WMPP Mission Control Import/SM WMPP Mission Control.SemanticModel/definition/tables/_MissionControl_Measures.tmdl:1613
Full code: KPI_CALCULATION_TRACEABILITY.md</x:v>
      </x:c>
    </x:row>
    <x:row r="470" ht="280" customHeight="1">
      <x:c r="A470" s="25" t="str">
        <x:v>Discovery cfg_schema_drift_event Distinct objects</x:v>
      </x:c>
      <x:c r="B470" s="25" t="str">
        <x:v>_MissionControl_Measures</x:v>
      </x:c>
      <x:c r="C470" s="25" t="str">
        <x:v>COALESCE(IF([Discovery history selected] = 1, CALCULATE(DISTINCTCOUNT(cfg_schema_drift_event[target_table]), KEEPFILTERS(TREATAS(CALCULATETABLE(VALUES('Discovery Job Runs'[job_run_id]),
			            KEEPFILTERS(TREATAS(VALUES('Load Calendar'[Date]), 'Discovery Job Runs'[Run Date]))), cfg_schema_drift_event[job_run_id]))), IF(ISBLANK([Discovery cfg_schema_drift_event Latest key]), CALCULATE(DISTINCTCOUNT(cfg_schema_drift_event[target_table]), KEEPFILTERS(TREATAS({[Discovery cfg_schema_drift_event Latest time]}, cfg_schema_drift_event[detected_at]))), CALCULATE(DISTINCTCOUNT(cfg_schema_drift_event[target_table]), KEEPFILTERS(TREATAS({[Discovery cfg_schema_drift_event Latest key]}, cfg_schema_drift_event[run_id]))))),0)</x:v>
      </x:c>
      <x:c r="D470" s="25" t="str">
        <x:v>Load Calendar (local/calculated model object; no direct notebook producer asserted); monitoring.cfg_schema_drift_event; monitoring.rpt_job_run_summary</x:v>
      </x:c>
      <x:c r="E470" s="25" t="str">
        <x:v>Schema &amp; Drift</x:v>
      </x:c>
      <x:c r="F470" s="25" t="str">
        <x:v>No requirement mapping asserted</x:v>
      </x:c>
      <x:c r="G470" s="25" t="str">
        <x:v>06_reports.py:141; 01a_cfg_schema_capture_live.py:308</x:v>
      </x:c>
      <x:c r="H470" s="25" t="str">
        <x:v>Saved definition only; includes display/selector helpers. Not an accepted business KPI or proof of runtime/DR/SLA.</x:v>
      </x:c>
      <x:c r="I470" s="25" t="str">
        <x:v>SM WMPP Mission Control Import/SM WMPP Mission Control.SemanticModel/definition/tables/_MissionControl_Measures.tmdl:1620
Full code: KPI_CALCULATION_TRACEABILITY.md</x:v>
      </x:c>
    </x:row>
    <x:row r="471" ht="267" customHeight="1">
      <x:c r="A471" s="25" t="str">
        <x:v>Discovery cfg_schema_drift_event Discovery batches</x:v>
      </x:c>
      <x:c r="B471" s="25" t="str">
        <x:v>_MissionControl_Measures</x:v>
      </x:c>
      <x:c r="C471" s="25" t="str">
        <x:v>COALESCE(IF([Discovery history selected] = 1, CALCULATE(DISTINCTCOUNT(cfg_schema_drift_event[run_id]), KEEPFILTERS(TREATAS(CALCULATETABLE(VALUES('Discovery Job Runs'[job_run_id]),
			            KEEPFILTERS(TREATAS(VALUES('Load Calendar'[Date]), 'Discovery Job Runs'[Run Date]))), cfg_schema_drift_event[job_run_id]))), IF(ISBLANK([Discovery cfg_schema_drift_event Latest key]), CALCULATE(DISTINCTCOUNT(cfg_schema_drift_event[run_id]), KEEPFILTERS(TREATAS({[Discovery cfg_schema_drift_event Latest time]}, cfg_schema_drift_event[detected_at]))), CALCULATE(DISTINCTCOUNT(cfg_schema_drift_event[run_id]), KEEPFILTERS(TREATAS({[Discovery cfg_schema_drift_event Latest key]}, cfg_schema_drift_event[run_id]))))),0)</x:v>
      </x:c>
      <x:c r="D471" s="25" t="str">
        <x:v>Load Calendar (local/calculated model object; no direct notebook producer asserted); monitoring.cfg_schema_drift_event; monitoring.rpt_job_run_summary</x:v>
      </x:c>
      <x:c r="E471" s="25" t="str">
        <x:v>Schema &amp; Drift</x:v>
      </x:c>
      <x:c r="F471" s="25" t="str">
        <x:v>No requirement mapping asserted</x:v>
      </x:c>
      <x:c r="G471" s="25" t="str">
        <x:v>06_reports.py:141; 01a_cfg_schema_capture_live.py:308</x:v>
      </x:c>
      <x:c r="H471" s="25" t="str">
        <x:v>Saved definition only; includes display/selector helpers. Not an accepted business KPI or proof of runtime/DR/SLA.</x:v>
      </x:c>
      <x:c r="I471" s="25" t="str">
        <x:v>SM WMPP Mission Control Import/SM WMPP Mission Control.SemanticModel/definition/tables/_MissionControl_Measures.tmdl:1627
Full code: KPI_CALCULATION_TRACEABILITY.md</x:v>
      </x:c>
    </x:row>
    <x:row r="472" ht="202" customHeight="1">
      <x:c r="A472" s="25" t="str">
        <x:v>Discovery cfg_bronze_schema_live Context</x:v>
      </x:c>
      <x:c r="B472" s="25" t="str">
        <x:v>_MissionControl_Measures</x:v>
      </x:c>
      <x:c r="C472" s="25" t="str">
        <x:v>VAR History = [Discovery history selected] = 1
			VAR DateChosen = SELECTEDVALUE('Load Calendar'[Date])
			VAR LatestTime = [Discovery cfg_bronze_schema_live Latest time]
			RETURN IF(History,
			    "Historical selection" &amp; IF(NOT ISBLANK(DateChosen), " · " &amp; FORMAT(DateChosen, "dd MMM yyyy"), " · chosen job"),
			    IF(ISBLANK(LatestTime), "No latest discovery available", "Latest discovery · " &amp; FORMAT(LatestTime, "dd MMM yyyy HH:mm")))</x:v>
      </x:c>
      <x:c r="D472" s="25" t="str">
        <x:v>Load Calendar (local/calculated model object; no direct notebook producer asserted); monitoring.cfg_bronze_schema_live; monitoring.rpt_job_run_summary</x:v>
      </x:c>
      <x:c r="E472" s="25" t="str">
        <x:v>Contracts &amp; Schema</x:v>
      </x:c>
      <x:c r="F472" s="25" t="str">
        <x:v>No requirement mapping asserted</x:v>
      </x:c>
      <x:c r="G472" s="25" t="str">
        <x:v>06_reports.py:141; 01a_cfg_schema_capture_live.py:308</x:v>
      </x:c>
      <x:c r="H472" s="25" t="str">
        <x:v>Saved definition only; includes display/selector helpers. Not an accepted business KPI or proof of runtime/DR/SLA.</x:v>
      </x:c>
      <x:c r="I472" s="25" t="str">
        <x:v>SM WMPP Mission Control Import/SM WMPP Mission Control.SemanticModel/definition/tables/_MissionControl_Measures.tmdl:1634
Full code: KPI_CALCULATION_TRACEABILITY.md</x:v>
      </x:c>
    </x:row>
    <x:row r="473" ht="345" customHeight="1">
      <x:c r="A473" s="25" t="str">
        <x:v>Discovery cfg_bronze_schema_live Scope count</x:v>
      </x:c>
      <x:c r="B473" s="25" t="str">
        <x:v>_MissionControl_Measures</x:v>
      </x:c>
      <x:c r="C473" s="25" t="str">
        <x:v>COALESCE(IF([Discovery history selected] = 1, CALCULATE(COUNTROWS(SUMMARIZE(cfg_bronze_schema_live,cfg_bronze_schema_live[table_name],cfg_bronze_schema_live[column_name])), KEEPFILTERS(TREATAS(CALCULATETABLE(VALUES('Discovery Job Runs'[job_run_id]),
			            KEEPFILTERS(TREATAS(VALUES('Load Calendar'[Date]), 'Discovery Job Runs'[Run Date]))), cfg_bronze_schema_live[job_run_id]))), IF(ISBLANK([Discovery cfg_bronze_schema_live Latest key]), CALCULATE(COUNTROWS(SUMMARIZE(cfg_bronze_schema_live,cfg_bronze_schema_live[table_name],cfg_bronze_schema_live[column_name])), KEEPFILTERS(TREATAS({[Discovery cfg_bronze_schema_live Latest time]}, cfg_bronze_schema_live[captured_at]))), CALCULATE(COUNTROWS(SUMMARIZE(cfg_bronze_schema_live,cfg_bronze_schema_live[table_name],cfg_bronze_schema_live[column_name])), KEEPFILTERS(TREATAS({[Discovery cfg_bronze_schema_live Latest key]}, cfg_bronze_schema_live[run_id]))))),0)</x:v>
      </x:c>
      <x:c r="D473" s="25" t="str">
        <x:v>Load Calendar (local/calculated model object; no direct notebook producer asserted); monitoring.cfg_bronze_schema_live; monitoring.rpt_job_run_summary</x:v>
      </x:c>
      <x:c r="E473" s="25" t="str">
        <x:v>Contracts &amp; Schema</x:v>
      </x:c>
      <x:c r="F473" s="25" t="str">
        <x:v>No requirement mapping asserted</x:v>
      </x:c>
      <x:c r="G473" s="25" t="str">
        <x:v>06_reports.py:141; 01a_cfg_schema_capture_live.py:308</x:v>
      </x:c>
      <x:c r="H473" s="25" t="str">
        <x:v>Saved definition only; includes display/selector helpers. Not an accepted business KPI or proof of runtime/DR/SLA.</x:v>
      </x:c>
      <x:c r="I473" s="25" t="str">
        <x:v>SM WMPP Mission Control Import/SM WMPP Mission Control.SemanticModel/definition/tables/_MissionControl_Measures.tmdl:1644
Full code: KPI_CALCULATION_TRACEABILITY.md</x:v>
      </x:c>
    </x:row>
    <x:row r="474" ht="267" customHeight="1">
      <x:c r="A474" s="25" t="str">
        <x:v>Discovery cfg_bronze_schema_live Distinct objects</x:v>
      </x:c>
      <x:c r="B474" s="25" t="str">
        <x:v>_MissionControl_Measures</x:v>
      </x:c>
      <x:c r="C474" s="25" t="str">
        <x:v>COALESCE(IF([Discovery history selected] = 1, CALCULATE(DISTINCTCOUNT(cfg_bronze_schema_live[table_name]), KEEPFILTERS(TREATAS(CALCULATETABLE(VALUES('Discovery Job Runs'[job_run_id]),
			            KEEPFILTERS(TREATAS(VALUES('Load Calendar'[Date]), 'Discovery Job Runs'[Run Date]))), cfg_bronze_schema_live[job_run_id]))), IF(ISBLANK([Discovery cfg_bronze_schema_live Latest key]), CALCULATE(DISTINCTCOUNT(cfg_bronze_schema_live[table_name]), KEEPFILTERS(TREATAS({[Discovery cfg_bronze_schema_live Latest time]}, cfg_bronze_schema_live[captured_at]))), CALCULATE(DISTINCTCOUNT(cfg_bronze_schema_live[table_name]), KEEPFILTERS(TREATAS({[Discovery cfg_bronze_schema_live Latest key]}, cfg_bronze_schema_live[run_id]))))),0)</x:v>
      </x:c>
      <x:c r="D474" s="25" t="str">
        <x:v>Load Calendar (local/calculated model object; no direct notebook producer asserted); monitoring.cfg_bronze_schema_live; monitoring.rpt_job_run_summary</x:v>
      </x:c>
      <x:c r="E474" s="25" t="str">
        <x:v>Contracts &amp; Schema</x:v>
      </x:c>
      <x:c r="F474" s="25" t="str">
        <x:v>No requirement mapping asserted</x:v>
      </x:c>
      <x:c r="G474" s="25" t="str">
        <x:v>06_reports.py:141; 01a_cfg_schema_capture_live.py:308</x:v>
      </x:c>
      <x:c r="H474" s="25" t="str">
        <x:v>Saved definition only; includes display/selector helpers. Not an accepted business KPI or proof of runtime/DR/SLA.</x:v>
      </x:c>
      <x:c r="I474" s="25" t="str">
        <x:v>SM WMPP Mission Control Import/SM WMPP Mission Control.SemanticModel/definition/tables/_MissionControl_Measures.tmdl:1651
Full code: KPI_CALCULATION_TRACEABILITY.md</x:v>
      </x:c>
    </x:row>
    <x:row r="475" ht="267" customHeight="1">
      <x:c r="A475" s="25" t="str">
        <x:v>Discovery cfg_bronze_schema_live Discovery batches</x:v>
      </x:c>
      <x:c r="B475" s="25" t="str">
        <x:v>_MissionControl_Measures</x:v>
      </x:c>
      <x:c r="C475" s="25" t="str">
        <x:v>COALESCE(IF([Discovery history selected] = 1, CALCULATE(DISTINCTCOUNT(cfg_bronze_schema_live[run_id]), KEEPFILTERS(TREATAS(CALCULATETABLE(VALUES('Discovery Job Runs'[job_run_id]),
			            KEEPFILTERS(TREATAS(VALUES('Load Calendar'[Date]), 'Discovery Job Runs'[Run Date]))), cfg_bronze_schema_live[job_run_id]))), IF(ISBLANK([Discovery cfg_bronze_schema_live Latest key]), CALCULATE(DISTINCTCOUNT(cfg_bronze_schema_live[run_id]), KEEPFILTERS(TREATAS({[Discovery cfg_bronze_schema_live Latest time]}, cfg_bronze_schema_live[captured_at]))), CALCULATE(DISTINCTCOUNT(cfg_bronze_schema_live[run_id]), KEEPFILTERS(TREATAS({[Discovery cfg_bronze_schema_live Latest key]}, cfg_bronze_schema_live[run_id]))))),0)</x:v>
      </x:c>
      <x:c r="D475" s="25" t="str">
        <x:v>Load Calendar (local/calculated model object; no direct notebook producer asserted); monitoring.cfg_bronze_schema_live; monitoring.rpt_job_run_summary</x:v>
      </x:c>
      <x:c r="E475" s="25" t="str">
        <x:v>Contracts &amp; Schema</x:v>
      </x:c>
      <x:c r="F475" s="25" t="str">
        <x:v>No requirement mapping asserted</x:v>
      </x:c>
      <x:c r="G475" s="25" t="str">
        <x:v>06_reports.py:141; 01a_cfg_schema_capture_live.py:308</x:v>
      </x:c>
      <x:c r="H475" s="25" t="str">
        <x:v>Saved definition only; includes display/selector helpers. Not an accepted business KPI or proof of runtime/DR/SLA.</x:v>
      </x:c>
      <x:c r="I475" s="25" t="str">
        <x:v>SM WMPP Mission Control Import/SM WMPP Mission Control.SemanticModel/definition/tables/_MissionControl_Measures.tmdl:1658
Full code: KPI_CALCULATION_TRACEABILITY.md</x:v>
      </x:c>
    </x:row>
    <x:row r="476" ht="202" customHeight="1">
      <x:c r="A476" s="25" t="str">
        <x:v>Discovery rpt_job_data_quality Context</x:v>
      </x:c>
      <x:c r="B476" s="25" t="str">
        <x:v>_MissionControl_Measures</x:v>
      </x:c>
      <x:c r="C476" s="25" t="str">
        <x:v>VAR History = [Discovery history selected] = 1
			VAR DateChosen = SELECTEDVALUE('Load Calendar'[Date])
			VAR LatestTime = [Discovery rpt_job_data_quality Latest time]
			RETURN IF(History,
			    "Historical selection" &amp; IF(NOT ISBLANK(DateChosen), " · " &amp; FORMAT(DateChosen, "dd MMM yyyy"), " · chosen job"),
			    IF(ISBLANK(LatestTime), "No latest discovery available", "Latest discovery · " &amp; FORMAT(LatestTime, "dd MMM yyyy HH:mm")))</x:v>
      </x:c>
      <x:c r="D476" s="25" t="str">
        <x:v>Load Calendar (local/calculated model object; no direct notebook producer asserted); monitoring.rpt_job_data_quality; monitoring.rpt_job_run_summary</x:v>
      </x:c>
      <x:c r="E476" s="25" t="str">
        <x:v>Quality &amp; Exceptions</x:v>
      </x:c>
      <x:c r="F476" s="25" t="str">
        <x:v>No requirement mapping asserted</x:v>
      </x:c>
      <x:c r="G476" s="25" t="str">
        <x:v>06_reports.py:141; 06_reports.py:202</x:v>
      </x:c>
      <x:c r="H476" s="25" t="str">
        <x:v>Saved definition only; includes display/selector helpers. Not an accepted business KPI or proof of runtime/DR/SLA.</x:v>
      </x:c>
      <x:c r="I476" s="25" t="str">
        <x:v>SM WMPP Mission Control Import/SM WMPP Mission Control.SemanticModel/definition/tables/_MissionControl_Measures.tmdl:1665
Full code: KPI_CALCULATION_TRACEABILITY.md</x:v>
      </x:c>
    </x:row>
    <x:row r="477" ht="293" customHeight="1">
      <x:c r="A477" s="25" t="str">
        <x:v>Discovery rpt_job_data_quality Scope count</x:v>
      </x:c>
      <x:c r="B477" s="25" t="str">
        <x:v>_MissionControl_Measures</x:v>
      </x:c>
      <x:c r="C477" s="25" t="str">
        <x:v>COALESCE(IF([Discovery history selected] = 1, CALCULATE(COUNTROWS(SUMMARIZE(rpt_job_data_quality,rpt_job_data_quality[rule_id])), KEEPFILTERS(TREATAS(CALCULATETABLE(VALUES('Discovery Job Runs'[job_run_id]),
			            KEEPFILTERS(TREATAS(VALUES('Load Calendar'[Date]), 'Discovery Job Runs'[Run Date]))), rpt_job_data_quality[job_run_id]))), IF(ISBLANK([Discovery rpt_job_data_quality Latest key]), CALCULATE(COUNTROWS(SUMMARIZE(rpt_job_data_quality,rpt_job_data_quality[rule_id])), KEEPFILTERS(TREATAS({[Discovery rpt_job_data_quality Latest time]}, rpt_job_data_quality[checked_at]))), CALCULATE(COUNTROWS(SUMMARIZE(rpt_job_data_quality,rpt_job_data_quality[rule_id])), KEEPFILTERS(TREATAS({[Discovery rpt_job_data_quality Latest key]}, rpt_job_data_quality[run_id]))))),0)</x:v>
      </x:c>
      <x:c r="D477" s="25" t="str">
        <x:v>Load Calendar (local/calculated model object; no direct notebook producer asserted); monitoring.rpt_job_data_quality; monitoring.rpt_job_run_summary</x:v>
      </x:c>
      <x:c r="E477" s="25" t="str">
        <x:v>Quality &amp; Exceptions</x:v>
      </x:c>
      <x:c r="F477" s="25" t="str">
        <x:v>No requirement mapping asserted</x:v>
      </x:c>
      <x:c r="G477" s="25" t="str">
        <x:v>06_reports.py:141; 06_reports.py:202</x:v>
      </x:c>
      <x:c r="H477" s="25" t="str">
        <x:v>Saved definition only; includes display/selector helpers. Not an accepted business KPI or proof of runtime/DR/SLA.</x:v>
      </x:c>
      <x:c r="I477" s="25" t="str">
        <x:v>SM WMPP Mission Control Import/SM WMPP Mission Control.SemanticModel/definition/tables/_MissionControl_Measures.tmdl:1675
Full code: KPI_CALCULATION_TRACEABILITY.md</x:v>
      </x:c>
    </x:row>
    <x:row r="478" ht="267" customHeight="1">
      <x:c r="A478" s="25" t="str">
        <x:v>Discovery rpt_job_data_quality Distinct objects</x:v>
      </x:c>
      <x:c r="B478" s="25" t="str">
        <x:v>_MissionControl_Measures</x:v>
      </x:c>
      <x:c r="C478" s="25" t="str">
        <x:v>COALESCE(IF([Discovery history selected] = 1, CALCULATE(DISTINCTCOUNT(rpt_job_data_quality[source_table]), KEEPFILTERS(TREATAS(CALCULATETABLE(VALUES('Discovery Job Runs'[job_run_id]),
			            KEEPFILTERS(TREATAS(VALUES('Load Calendar'[Date]), 'Discovery Job Runs'[Run Date]))), rpt_job_data_quality[job_run_id]))), IF(ISBLANK([Discovery rpt_job_data_quality Latest key]), CALCULATE(DISTINCTCOUNT(rpt_job_data_quality[source_table]), KEEPFILTERS(TREATAS({[Discovery rpt_job_data_quality Latest time]}, rpt_job_data_quality[checked_at]))), CALCULATE(DISTINCTCOUNT(rpt_job_data_quality[source_table]), KEEPFILTERS(TREATAS({[Discovery rpt_job_data_quality Latest key]}, rpt_job_data_quality[run_id]))))),0)</x:v>
      </x:c>
      <x:c r="D478" s="25" t="str">
        <x:v>Load Calendar (local/calculated model object; no direct notebook producer asserted); monitoring.rpt_job_data_quality; monitoring.rpt_job_run_summary</x:v>
      </x:c>
      <x:c r="E478" s="25" t="str">
        <x:v>Quality &amp; Exceptions</x:v>
      </x:c>
      <x:c r="F478" s="25" t="str">
        <x:v>No requirement mapping asserted</x:v>
      </x:c>
      <x:c r="G478" s="25" t="str">
        <x:v>06_reports.py:141; 06_reports.py:202</x:v>
      </x:c>
      <x:c r="H478" s="25" t="str">
        <x:v>Saved definition only; includes display/selector helpers. Not an accepted business KPI or proof of runtime/DR/SLA.</x:v>
      </x:c>
      <x:c r="I478" s="25" t="str">
        <x:v>SM WMPP Mission Control Import/SM WMPP Mission Control.SemanticModel/definition/tables/_MissionControl_Measures.tmdl:1682
Full code: KPI_CALCULATION_TRACEABILITY.md</x:v>
      </x:c>
    </x:row>
    <x:row r="479" ht="254" customHeight="1">
      <x:c r="A479" s="25" t="str">
        <x:v>Discovery rpt_job_data_quality Discovery batches</x:v>
      </x:c>
      <x:c r="B479" s="25" t="str">
        <x:v>_MissionControl_Measures</x:v>
      </x:c>
      <x:c r="C479" s="25" t="str">
        <x:v>COALESCE(IF([Discovery history selected] = 1, CALCULATE(DISTINCTCOUNT(rpt_job_data_quality[run_id]), KEEPFILTERS(TREATAS(CALCULATETABLE(VALUES('Discovery Job Runs'[job_run_id]),
			            KEEPFILTERS(TREATAS(VALUES('Load Calendar'[Date]), 'Discovery Job Runs'[Run Date]))), rpt_job_data_quality[job_run_id]))), IF(ISBLANK([Discovery rpt_job_data_quality Latest key]), CALCULATE(DISTINCTCOUNT(rpt_job_data_quality[run_id]), KEEPFILTERS(TREATAS({[Discovery rpt_job_data_quality Latest time]}, rpt_job_data_quality[checked_at]))), CALCULATE(DISTINCTCOUNT(rpt_job_data_quality[run_id]), KEEPFILTERS(TREATAS({[Discovery rpt_job_data_quality Latest key]}, rpt_job_data_quality[run_id]))))),0)</x:v>
      </x:c>
      <x:c r="D479" s="25" t="str">
        <x:v>Load Calendar (local/calculated model object; no direct notebook producer asserted); monitoring.rpt_job_data_quality; monitoring.rpt_job_run_summary</x:v>
      </x:c>
      <x:c r="E479" s="25" t="str">
        <x:v>Quality &amp; Exceptions</x:v>
      </x:c>
      <x:c r="F479" s="25" t="str">
        <x:v>No requirement mapping asserted</x:v>
      </x:c>
      <x:c r="G479" s="25" t="str">
        <x:v>06_reports.py:141; 06_reports.py:202</x:v>
      </x:c>
      <x:c r="H479" s="25" t="str">
        <x:v>Saved definition only; includes display/selector helpers. Not an accepted business KPI or proof of runtime/DR/SLA.</x:v>
      </x:c>
      <x:c r="I479" s="25" t="str">
        <x:v>SM WMPP Mission Control Import/SM WMPP Mission Control.SemanticModel/definition/tables/_MissionControl_Measures.tmdl:1689
Full code: KPI_CALCULATION_TRACEABILITY.md</x:v>
      </x:c>
    </x:row>
    <x:row r="480" ht="202" customHeight="1">
      <x:c r="A480" s="25" t="str">
        <x:v>Discovery cfg_table_load_metric Context</x:v>
      </x:c>
      <x:c r="B480" s="25" t="str">
        <x:v>_MissionControl_Measures</x:v>
      </x:c>
      <x:c r="C480" s="25" t="str">
        <x:v>VAR History = [Discovery history selected] = 1
			VAR DateChosen = SELECTEDVALUE('Load Calendar'[Date])
			VAR LatestTime = [Discovery cfg_table_load_metric Latest time]
			RETURN IF(History,
			    "Historical selection" &amp; IF(NOT ISBLANK(DateChosen), " · " &amp; FORMAT(DateChosen, "dd MMM yyyy"), " · chosen job"),
			    IF(ISBLANK(LatestTime), "No latest discovery available", "Latest discovery · " &amp; FORMAT(LatestTime, "dd MMM yyyy HH:mm")))</x:v>
      </x:c>
      <x:c r="D480" s="25" t="str">
        <x:v>Load Calendar (local/calculated model object; no direct notebook producer asserted); monitoring.cfg_table_load_metric; monitoring.rpt_job_run_summary</x:v>
      </x:c>
      <x:c r="E480" s="25" t="str">
        <x:v>Load Metrics &amp; Control</x:v>
      </x:c>
      <x:c r="F480" s="25" t="str">
        <x:v>No requirement mapping asserted</x:v>
      </x:c>
      <x:c r="G480" s="25" t="str">
        <x:v>06_reports.py:141</x:v>
      </x:c>
      <x:c r="H480" s="25" t="str">
        <x:v>Saved definition only; includes display/selector helpers. Not an accepted business KPI or proof of runtime/DR/SLA.</x:v>
      </x:c>
      <x:c r="I480" s="25" t="str">
        <x:v>SM WMPP Mission Control Import/SM WMPP Mission Control.SemanticModel/definition/tables/_MissionControl_Measures.tmdl:1696
Full code: KPI_CALCULATION_TRACEABILITY.md</x:v>
      </x:c>
    </x:row>
    <x:row r="481" ht="306" customHeight="1">
      <x:c r="A481" s="25" t="str">
        <x:v>Discovery cfg_table_load_metric Scope count</x:v>
      </x:c>
      <x:c r="B481" s="25" t="str">
        <x:v>_MissionControl_Measures</x:v>
      </x:c>
      <x:c r="C481" s="25" t="str">
        <x:v>COALESCE(IF([Discovery history selected] = 1, CALCULATE(COUNTROWS(SUMMARIZE(cfg_table_load_metric,cfg_table_load_metric[target_object])), KEEPFILTERS(TREATAS(CALCULATETABLE(VALUES('Discovery Job Runs'[job_run_id]),
			            KEEPFILTERS(TREATAS(VALUES('Load Calendar'[Date]), 'Discovery Job Runs'[Run Date]))), cfg_table_load_metric[job_run_id]))), IF(ISBLANK([Discovery cfg_table_load_metric Latest key]), CALCULATE(COUNTROWS(SUMMARIZE(cfg_table_load_metric,cfg_table_load_metric[target_object])), KEEPFILTERS(TREATAS({[Discovery cfg_table_load_metric Latest time]}, cfg_table_load_metric[recorded_at]))), CALCULATE(COUNTROWS(SUMMARIZE(cfg_table_load_metric,cfg_table_load_metric[target_object])), KEEPFILTERS(TREATAS({[Discovery cfg_table_load_metric Latest key]}, cfg_table_load_metric[run_id]))))),0)</x:v>
      </x:c>
      <x:c r="D481" s="25" t="str">
        <x:v>Load Calendar (local/calculated model object; no direct notebook producer asserted); monitoring.cfg_table_load_metric; monitoring.rpt_job_run_summary</x:v>
      </x:c>
      <x:c r="E481" s="25" t="str">
        <x:v>Load Metrics &amp; Control</x:v>
      </x:c>
      <x:c r="F481" s="25" t="str">
        <x:v>No requirement mapping asserted</x:v>
      </x:c>
      <x:c r="G481" s="25" t="str">
        <x:v>06_reports.py:141</x:v>
      </x:c>
      <x:c r="H481" s="25" t="str">
        <x:v>Saved definition only; includes display/selector helpers. Not an accepted business KPI or proof of runtime/DR/SLA.</x:v>
      </x:c>
      <x:c r="I481" s="25" t="str">
        <x:v>SM WMPP Mission Control Import/SM WMPP Mission Control.SemanticModel/definition/tables/_MissionControl_Measures.tmdl:1706
Full code: KPI_CALCULATION_TRACEABILITY.md</x:v>
      </x:c>
    </x:row>
    <x:row r="482" ht="280" customHeight="1">
      <x:c r="A482" s="25" t="str">
        <x:v>Discovery cfg_table_load_metric Distinct objects</x:v>
      </x:c>
      <x:c r="B482" s="25" t="str">
        <x:v>_MissionControl_Measures</x:v>
      </x:c>
      <x:c r="C482" s="25" t="str">
        <x:v>COALESCE(IF([Discovery history selected] = 1, CALCULATE(DISTINCTCOUNT(cfg_table_load_metric[source_object]), KEEPFILTERS(TREATAS(CALCULATETABLE(VALUES('Discovery Job Runs'[job_run_id]),
			            KEEPFILTERS(TREATAS(VALUES('Load Calendar'[Date]), 'Discovery Job Runs'[Run Date]))), cfg_table_load_metric[job_run_id]))), IF(ISBLANK([Discovery cfg_table_load_metric Latest key]), CALCULATE(DISTINCTCOUNT(cfg_table_load_metric[source_object]), KEEPFILTERS(TREATAS({[Discovery cfg_table_load_metric Latest time]}, cfg_table_load_metric[recorded_at]))), CALCULATE(DISTINCTCOUNT(cfg_table_load_metric[source_object]), KEEPFILTERS(TREATAS({[Discovery cfg_table_load_metric Latest key]}, cfg_table_load_metric[run_id]))))),0)</x:v>
      </x:c>
      <x:c r="D482" s="25" t="str">
        <x:v>Load Calendar (local/calculated model object; no direct notebook producer asserted); monitoring.cfg_table_load_metric; monitoring.rpt_job_run_summary</x:v>
      </x:c>
      <x:c r="E482" s="25" t="str">
        <x:v>Load Metrics &amp; Control</x:v>
      </x:c>
      <x:c r="F482" s="25" t="str">
        <x:v>No requirement mapping asserted</x:v>
      </x:c>
      <x:c r="G482" s="25" t="str">
        <x:v>06_reports.py:141</x:v>
      </x:c>
      <x:c r="H482" s="25" t="str">
        <x:v>Saved definition only; includes display/selector helpers. Not an accepted business KPI or proof of runtime/DR/SLA.</x:v>
      </x:c>
      <x:c r="I482" s="25" t="str">
        <x:v>SM WMPP Mission Control Import/SM WMPP Mission Control.SemanticModel/definition/tables/_MissionControl_Measures.tmdl:1713
Full code: KPI_CALCULATION_TRACEABILITY.md</x:v>
      </x:c>
    </x:row>
    <x:row r="483" ht="267" customHeight="1">
      <x:c r="A483" s="25" t="str">
        <x:v>Discovery cfg_table_load_metric Discovery batches</x:v>
      </x:c>
      <x:c r="B483" s="25" t="str">
        <x:v>_MissionControl_Measures</x:v>
      </x:c>
      <x:c r="C483" s="25" t="str">
        <x:v>COALESCE(IF([Discovery history selected] = 1, CALCULATE(DISTINCTCOUNT(cfg_table_load_metric[run_id]), KEEPFILTERS(TREATAS(CALCULATETABLE(VALUES('Discovery Job Runs'[job_run_id]),
			            KEEPFILTERS(TREATAS(VALUES('Load Calendar'[Date]), 'Discovery Job Runs'[Run Date]))), cfg_table_load_metric[job_run_id]))), IF(ISBLANK([Discovery cfg_table_load_metric Latest key]), CALCULATE(DISTINCTCOUNT(cfg_table_load_metric[run_id]), KEEPFILTERS(TREATAS({[Discovery cfg_table_load_metric Latest time]}, cfg_table_load_metric[recorded_at]))), CALCULATE(DISTINCTCOUNT(cfg_table_load_metric[run_id]), KEEPFILTERS(TREATAS({[Discovery cfg_table_load_metric Latest key]}, cfg_table_load_metric[run_id]))))),0)</x:v>
      </x:c>
      <x:c r="D483" s="25" t="str">
        <x:v>Load Calendar (local/calculated model object; no direct notebook producer asserted); monitoring.cfg_table_load_metric; monitoring.rpt_job_run_summary</x:v>
      </x:c>
      <x:c r="E483" s="25" t="str">
        <x:v>Load Metrics &amp; Control</x:v>
      </x:c>
      <x:c r="F483" s="25" t="str">
        <x:v>No requirement mapping asserted</x:v>
      </x:c>
      <x:c r="G483" s="25" t="str">
        <x:v>06_reports.py:141</x:v>
      </x:c>
      <x:c r="H483" s="25" t="str">
        <x:v>Saved definition only; includes display/selector helpers. Not an accepted business KPI or proof of runtime/DR/SLA.</x:v>
      </x:c>
      <x:c r="I483" s="25" t="str">
        <x:v>SM WMPP Mission Control Import/SM WMPP Mission Control.SemanticModel/definition/tables/_MissionControl_Measures.tmdl:1720
Full code: KPI_CALCULATION_TRACEABILITY.md</x:v>
      </x:c>
    </x:row>
    <x:row r="484" ht="202" customHeight="1">
      <x:c r="A484" s="25" t="str">
        <x:v>Discovery rpt_job_layer_lineage Context</x:v>
      </x:c>
      <x:c r="B484" s="25" t="str">
        <x:v>_MissionControl_Measures</x:v>
      </x:c>
      <x:c r="C484" s="25" t="str">
        <x:v>VAR History = [Discovery history selected] = 1
			VAR DateChosen = SELECTEDVALUE('Load Calendar'[Date])
			VAR LatestTime = [Discovery rpt_job_layer_lineage Latest time]
			RETURN IF(History,
			    "Historical selection" &amp; IF(NOT ISBLANK(DateChosen), " · " &amp; FORMAT(DateChosen, "dd MMM yyyy"), " · chosen job"),
			    IF(ISBLANK(LatestTime), "No latest discovery available", "Latest discovery · " &amp; FORMAT(LatestTime, "dd MMM yyyy HH:mm")))</x:v>
      </x:c>
      <x:c r="D484" s="25" t="str">
        <x:v>Load Calendar (local/calculated model object; no direct notebook producer asserted); monitoring.rpt_job_layer_lineage; monitoring.rpt_job_run_summary</x:v>
      </x:c>
      <x:c r="E484" s="25" t="str">
        <x:v>Lineage &amp; Step Summary</x:v>
      </x:c>
      <x:c r="F484" s="25" t="str">
        <x:v>No requirement mapping asserted</x:v>
      </x:c>
      <x:c r="G484" s="25" t="str">
        <x:v>06_reports.py:141; 06_reports.py:235</x:v>
      </x:c>
      <x:c r="H484" s="25" t="str">
        <x:v>Saved definition only; includes display/selector helpers. Not an accepted business KPI or proof of runtime/DR/SLA.</x:v>
      </x:c>
      <x:c r="I484" s="25" t="str">
        <x:v>SM WMPP Mission Control Import/SM WMPP Mission Control.SemanticModel/definition/tables/_MissionControl_Measures.tmdl:1727
Full code: KPI_CALCULATION_TRACEABILITY.md</x:v>
      </x:c>
    </x:row>
    <x:row r="485" ht="345" customHeight="1">
      <x:c r="A485" s="25" t="str">
        <x:v>Discovery rpt_job_layer_lineage Scope count</x:v>
      </x:c>
      <x:c r="B485" s="25" t="str">
        <x:v>_MissionControl_Measures</x:v>
      </x:c>
      <x:c r="C485" s="25" t="str">
        <x:v>COALESCE(IF([Discovery history selected] = 1, CALCULATE(COUNTROWS(SUMMARIZE(rpt_job_layer_lineage,rpt_job_layer_lineage[target_layer],rpt_job_layer_lineage[target_object])), KEEPFILTERS(TREATAS(CALCULATETABLE(VALUES('Discovery Job Runs'[job_run_id]),
			            KEEPFILTERS(TREATAS(VALUES('Load Calendar'[Date]), 'Discovery Job Runs'[Run Date]))), rpt_job_layer_lineage[job_run_id]))), IF(ISBLANK([Discovery rpt_job_layer_lineage Latest key]), CALCULATE(COUNTROWS(SUMMARIZE(rpt_job_layer_lineage,rpt_job_layer_lineage[target_layer],rpt_job_layer_lineage[target_object])), KEEPFILTERS(TREATAS({[Discovery rpt_job_layer_lineage Latest time]}, rpt_job_layer_lineage[observed_at]))), CALCULATE(COUNTROWS(SUMMARIZE(rpt_job_layer_lineage,rpt_job_layer_lineage[target_layer],rpt_job_layer_lineage[target_object])), KEEPFILTERS(TREATAS({[Discovery rpt_job_layer_lineage Latest key]}, rpt_job_layer_lineage[job_run_id]))))),0)</x:v>
      </x:c>
      <x:c r="D485" s="25" t="str">
        <x:v>Load Calendar (local/calculated model object; no direct notebook producer asserted); monitoring.rpt_job_layer_lineage; monitoring.rpt_job_run_summary</x:v>
      </x:c>
      <x:c r="E485" s="25" t="str">
        <x:v>Lineage &amp; Step Summary</x:v>
      </x:c>
      <x:c r="F485" s="25" t="str">
        <x:v>No requirement mapping asserted</x:v>
      </x:c>
      <x:c r="G485" s="25" t="str">
        <x:v>06_reports.py:141; 06_reports.py:235</x:v>
      </x:c>
      <x:c r="H485" s="25" t="str">
        <x:v>Saved definition only; includes display/selector helpers. Not an accepted business KPI or proof of runtime/DR/SLA.</x:v>
      </x:c>
      <x:c r="I485" s="25" t="str">
        <x:v>SM WMPP Mission Control Import/SM WMPP Mission Control.SemanticModel/definition/tables/_MissionControl_Measures.tmdl:1737
Full code: KPI_CALCULATION_TRACEABILITY.md</x:v>
      </x:c>
    </x:row>
    <x:row r="486" ht="280" customHeight="1">
      <x:c r="A486" s="25" t="str">
        <x:v>Discovery rpt_job_layer_lineage Distinct objects</x:v>
      </x:c>
      <x:c r="B486" s="25" t="str">
        <x:v>_MissionControl_Measures</x:v>
      </x:c>
      <x:c r="C486" s="25" t="str">
        <x:v>COALESCE(IF([Discovery history selected] = 1, CALCULATE(DISTINCTCOUNT(rpt_job_layer_lineage[source_object]), KEEPFILTERS(TREATAS(CALCULATETABLE(VALUES('Discovery Job Runs'[job_run_id]),
			            KEEPFILTERS(TREATAS(VALUES('Load Calendar'[Date]), 'Discovery Job Runs'[Run Date]))), rpt_job_layer_lineage[job_run_id]))), IF(ISBLANK([Discovery rpt_job_layer_lineage Latest key]), CALCULATE(DISTINCTCOUNT(rpt_job_layer_lineage[source_object]), KEEPFILTERS(TREATAS({[Discovery rpt_job_layer_lineage Latest time]}, rpt_job_layer_lineage[observed_at]))), CALCULATE(DISTINCTCOUNT(rpt_job_layer_lineage[source_object]), KEEPFILTERS(TREATAS({[Discovery rpt_job_layer_lineage Latest key]}, rpt_job_layer_lineage[job_run_id]))))),0)</x:v>
      </x:c>
      <x:c r="D486" s="25" t="str">
        <x:v>Load Calendar (local/calculated model object; no direct notebook producer asserted); monitoring.rpt_job_layer_lineage; monitoring.rpt_job_run_summary</x:v>
      </x:c>
      <x:c r="E486" s="25" t="str">
        <x:v>Lineage &amp; Step Summary</x:v>
      </x:c>
      <x:c r="F486" s="25" t="str">
        <x:v>No requirement mapping asserted</x:v>
      </x:c>
      <x:c r="G486" s="25" t="str">
        <x:v>06_reports.py:141; 06_reports.py:235</x:v>
      </x:c>
      <x:c r="H486" s="25" t="str">
        <x:v>Saved definition only; includes display/selector helpers. Not an accepted business KPI or proof of runtime/DR/SLA.</x:v>
      </x:c>
      <x:c r="I486" s="25" t="str">
        <x:v>SM WMPP Mission Control Import/SM WMPP Mission Control.SemanticModel/definition/tables/_MissionControl_Measures.tmdl:1744
Full code: KPI_CALCULATION_TRACEABILITY.md</x:v>
      </x:c>
    </x:row>
    <x:row r="487" ht="267" customHeight="1">
      <x:c r="A487" s="25" t="str">
        <x:v>Discovery rpt_job_layer_lineage Discovery batches</x:v>
      </x:c>
      <x:c r="B487" s="25" t="str">
        <x:v>_MissionControl_Measures</x:v>
      </x:c>
      <x:c r="C487" s="25" t="str">
        <x:v>COALESCE(IF([Discovery history selected] = 1, CALCULATE(DISTINCTCOUNT(rpt_job_layer_lineage[job_run_id]), KEEPFILTERS(TREATAS(CALCULATETABLE(VALUES('Discovery Job Runs'[job_run_id]),
			            KEEPFILTERS(TREATAS(VALUES('Load Calendar'[Date]), 'Discovery Job Runs'[Run Date]))), rpt_job_layer_lineage[job_run_id]))), IF(ISBLANK([Discovery rpt_job_layer_lineage Latest key]), CALCULATE(DISTINCTCOUNT(rpt_job_layer_lineage[job_run_id]), KEEPFILTERS(TREATAS({[Discovery rpt_job_layer_lineage Latest time]}, rpt_job_layer_lineage[observed_at]))), CALCULATE(DISTINCTCOUNT(rpt_job_layer_lineage[job_run_id]), KEEPFILTERS(TREATAS({[Discovery rpt_job_layer_lineage Latest key]}, rpt_job_layer_lineage[job_run_id]))))),0)</x:v>
      </x:c>
      <x:c r="D487" s="25" t="str">
        <x:v>Load Calendar (local/calculated model object; no direct notebook producer asserted); monitoring.rpt_job_layer_lineage; monitoring.rpt_job_run_summary</x:v>
      </x:c>
      <x:c r="E487" s="25" t="str">
        <x:v>Lineage &amp; Step Summary</x:v>
      </x:c>
      <x:c r="F487" s="25" t="str">
        <x:v>No requirement mapping asserted</x:v>
      </x:c>
      <x:c r="G487" s="25" t="str">
        <x:v>06_reports.py:141; 06_reports.py:235</x:v>
      </x:c>
      <x:c r="H487" s="25" t="str">
        <x:v>Saved definition only; includes display/selector helpers. Not an accepted business KPI or proof of runtime/DR/SLA.</x:v>
      </x:c>
      <x:c r="I487" s="25" t="str">
        <x:v>SM WMPP Mission Control Import/SM WMPP Mission Control.SemanticModel/definition/tables/_MissionControl_Measures.tmdl:1751
Full code: KPI_CALCULATION_TRACEABILITY.md</x:v>
      </x:c>
    </x:row>
    <x:row r="488" ht="267" customHeight="1">
      <x:c r="A488" s="25" t="str">
        <x:v>Latest Pipeline Row Visible</x:v>
      </x:c>
      <x:c r="B488" s="25" t="str">
        <x:v>_MissionControl_Measures</x:v>
      </x:c>
      <x:c r="C488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COUNTROWS(cfg_pipeline_run),
			    CALCULATE(COUNTROWS(cfg_pipeline_run), KEEPFILTERS(TREATAS({LatestId}, rpt_job_run_summary[job_run_id]))))
			RETURN IF(n &gt; 0, 1, 0)</x:v>
      </x:c>
      <x:c r="D488" s="25" t="str">
        <x:v>Load Calendar (local/calculated model object; no direct notebook producer asserted); monitoring.rpt_job_run_summary</x:v>
      </x:c>
      <x:c r="E488" s="25" t="str">
        <x:v>No direct visible binding verified</x:v>
      </x:c>
      <x:c r="F488" s="25" t="str">
        <x:v>No requirement mapping asserted</x:v>
      </x:c>
      <x:c r="G488" s="25" t="str">
        <x:v>06_reports.py:141</x:v>
      </x:c>
      <x:c r="H488" s="25" t="str">
        <x:v>Saved definition only; includes display/selector helpers. Not an accepted business KPI or proof of runtime/DR/SLA.</x:v>
      </x:c>
      <x:c r="I488" s="25" t="str">
        <x:v>SM WMPP Mission Control Import/SM WMPP Mission Control.SemanticModel/definition/tables/_MissionControl_Measures.tmdl:1758
Full code: KPI_CALCULATION_TRACEABILITY.md</x:v>
      </x:c>
    </x:row>
    <x:row r="489" ht="228" customHeight="1">
      <x:c r="A489" s="25" t="str">
        <x:v>Latest or selected Runs</x:v>
      </x:c>
      <x:c r="B489" s="25" t="str">
        <x:v>_MissionControl_Measures</x:v>
      </x:c>
      <x:c r="C489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[Runs],
			    CALCULATE([Runs], KEEPFILTERS(TREATAS({LatestId}, rpt_job_run_summary[job_run_id]))))</x:v>
      </x:c>
      <x:c r="D489" s="25" t="str">
        <x:v>Load Calendar (local/calculated model object; no direct notebook producer asserted); monitoring.rpt_job_run_summary</x:v>
      </x:c>
      <x:c r="E489" s="25" t="str">
        <x:v>Load Calendar</x:v>
      </x:c>
      <x:c r="F489" s="25" t="str">
        <x:v>No requirement mapping asserted</x:v>
      </x:c>
      <x:c r="G489" s="25" t="str">
        <x:v>06_reports.py:141</x:v>
      </x:c>
      <x:c r="H489" s="25" t="str">
        <x:v>Saved definition only; includes display/selector helpers. Not an accepted business KPI or proof of runtime/DR/SLA.</x:v>
      </x:c>
      <x:c r="I489" s="25" t="str">
        <x:v>SM WMPP Mission Control Import/SM WMPP Mission Control.SemanticModel/definition/tables/_MissionControl_Measures.tmdl:1771
Full code: KPI_CALCULATION_TRACEABILITY.md</x:v>
      </x:c>
    </x:row>
    <x:row r="490" ht="228" customHeight="1">
      <x:c r="A490" s="25" t="str">
        <x:v>Latest or selected Success rate</x:v>
      </x:c>
      <x:c r="B490" s="25" t="str">
        <x:v>_MissionControl_Measures</x:v>
      </x:c>
      <x:c r="C490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[Success rate],
			    CALCULATE([Success rate], KEEPFILTERS(TREATAS({LatestId}, rpt_job_run_summary[job_run_id]))))</x:v>
      </x:c>
      <x:c r="D490" s="25" t="str">
        <x:v>Load Calendar (local/calculated model object; no direct notebook producer asserted); monitoring.rpt_job_run_summary</x:v>
      </x:c>
      <x:c r="E490" s="25" t="str">
        <x:v>Load Calendar</x:v>
      </x:c>
      <x:c r="F490" s="25" t="str">
        <x:v>No requirement mapping asserted</x:v>
      </x:c>
      <x:c r="G490" s="25" t="str">
        <x:v>06_reports.py:141</x:v>
      </x:c>
      <x:c r="H490" s="25" t="str">
        <x:v>Saved definition only; includes display/selector helpers. Not an accepted business KPI or proof of runtime/DR/SLA.</x:v>
      </x:c>
      <x:c r="I490" s="25" t="str">
        <x:v>SM WMPP Mission Control Import/SM WMPP Mission Control.SemanticModel/definition/tables/_MissionControl_Measures.tmdl:1783
Full code: KPI_CALCULATION_TRACEABILITY.md</x:v>
      </x:c>
    </x:row>
    <x:row r="491" ht="228" customHeight="1">
      <x:c r="A491" s="25" t="str">
        <x:v>Latest or selected Failures</x:v>
      </x:c>
      <x:c r="B491" s="25" t="str">
        <x:v>_MissionControl_Measures</x:v>
      </x:c>
      <x:c r="C491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[Failures],
			    CALCULATE([Failures], KEEPFILTERS(TREATAS({LatestId}, rpt_job_run_summary[job_run_id]))))</x:v>
      </x:c>
      <x:c r="D491" s="25" t="str">
        <x:v>Load Calendar (local/calculated model object; no direct notebook producer asserted); monitoring.rpt_job_run_summary</x:v>
      </x:c>
      <x:c r="E491" s="25" t="str">
        <x:v>Load Calendar</x:v>
      </x:c>
      <x:c r="F491" s="25" t="str">
        <x:v>No requirement mapping asserted</x:v>
      </x:c>
      <x:c r="G491" s="25" t="str">
        <x:v>06_reports.py:141</x:v>
      </x:c>
      <x:c r="H491" s="25" t="str">
        <x:v>Saved definition only; includes display/selector helpers. Not an accepted business KPI or proof of runtime/DR/SLA.</x:v>
      </x:c>
      <x:c r="I491" s="25" t="str">
        <x:v>SM WMPP Mission Control Import/SM WMPP Mission Control.SemanticModel/definition/tables/_MissionControl_Measures.tmdl:1795
Full code: KPI_CALCULATION_TRACEABILITY.md</x:v>
      </x:c>
    </x:row>
    <x:row r="492" ht="228" customHeight="1">
      <x:c r="A492" s="25" t="str">
        <x:v>Latest or selected P95 duration min</x:v>
      </x:c>
      <x:c r="B492" s="25" t="str">
        <x:v>_MissionControl_Measures</x:v>
      </x:c>
      <x:c r="C492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[P95 duration min],
			    CALCULATE([P95 duration min], KEEPFILTERS(TREATAS({LatestId}, rpt_job_run_summary[job_run_id]))))</x:v>
      </x:c>
      <x:c r="D492" s="25" t="str">
        <x:v>Load Calendar (local/calculated model object; no direct notebook producer asserted); monitoring.rpt_job_run_summary</x:v>
      </x:c>
      <x:c r="E492" s="25" t="str">
        <x:v>Load Calendar</x:v>
      </x:c>
      <x:c r="F492" s="25" t="str">
        <x:v>No requirement mapping asserted</x:v>
      </x:c>
      <x:c r="G492" s="25" t="str">
        <x:v>06_reports.py:141</x:v>
      </x:c>
      <x:c r="H492" s="25" t="str">
        <x:v>Saved definition only; includes display/selector helpers. Not an accepted business KPI or proof of runtime/DR/SLA.</x:v>
      </x:c>
      <x:c r="I492" s="25" t="str">
        <x:v>SM WMPP Mission Control Import/SM WMPP Mission Control.SemanticModel/definition/tables/_MissionControl_Measures.tmdl:1807
Full code: KPI_CALCULATION_TRACEABILITY.md</x:v>
      </x:c>
    </x:row>
    <x:row r="493" ht="228" customHeight="1">
      <x:c r="A493" s="25" t="str">
        <x:v>Latest or selected Rows written</x:v>
      </x:c>
      <x:c r="B493" s="25" t="str">
        <x:v>_MissionControl_Measures</x:v>
      </x:c>
      <x:c r="C493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[Rows written],
			    CALCULATE([Rows written], KEEPFILTERS(TREATAS({LatestId}, rpt_job_run_summary[job_run_id]))))</x:v>
      </x:c>
      <x:c r="D493" s="25" t="str">
        <x:v>Load Calendar (local/calculated model object; no direct notebook producer asserted); monitoring.rpt_job_run_summary</x:v>
      </x:c>
      <x:c r="E493" s="25" t="str">
        <x:v>Load Calendar</x:v>
      </x:c>
      <x:c r="F493" s="25" t="str">
        <x:v>No requirement mapping asserted</x:v>
      </x:c>
      <x:c r="G493" s="25" t="str">
        <x:v>06_reports.py:141</x:v>
      </x:c>
      <x:c r="H493" s="25" t="str">
        <x:v>Saved definition only; includes display/selector helpers. Not an accepted business KPI or proof of runtime/DR/SLA.</x:v>
      </x:c>
      <x:c r="I493" s="25" t="str">
        <x:v>SM WMPP Mission Control Import/SM WMPP Mission Control.SemanticModel/definition/tables/_MissionControl_Measures.tmdl:1819
Full code: KPI_CALCULATION_TRACEABILITY.md</x:v>
      </x:c>
    </x:row>
    <x:row r="494" ht="59" customHeight="1">
      <x:c r="A494" s="25" t="str">
        <x:v>Discovery cfg_archived_schema_live Latest time</x:v>
      </x:c>
      <x:c r="B494" s="25" t="str">
        <x:v>_MissionControl_Measures</x:v>
      </x:c>
      <x:c r="C494" s="25" t="str">
        <x:v>CALCULATE(MAX(cfg_archived_schema_live[contract_loaded_at]), REMOVEFILTERS())</x:v>
      </x:c>
      <x:c r="D494" s="25" t="str">
        <x:v>monitoring.cfg_archived_schema_live</x:v>
      </x:c>
      <x:c r="E494" s="25" t="str">
        <x:v>No direct visible binding verified</x:v>
      </x:c>
      <x:c r="F494" s="25" t="str">
        <x:v>No requirement mapping asserted</x:v>
      </x:c>
      <x:c r="G494" s="25" t="str">
        <x:v>01a_cfg_schema_capture_archive.py:107</x:v>
      </x:c>
      <x:c r="H494" s="25" t="str">
        <x:v>Saved definition only; includes display/selector helpers. Not an accepted business KPI or proof of runtime/DR/SLA.</x:v>
      </x:c>
      <x:c r="I494" s="25" t="str">
        <x:v>SM WMPP Mission Control Import/SM WMPP Mission Control.SemanticModel/definition/tables/_MissionControl_Measures.tmdl:1831
Full code: KPI_CALCULATION_TRACEABILITY.md</x:v>
      </x:c>
    </x:row>
    <x:row r="495" ht="72" customHeight="1">
      <x:c r="A495" s="25" t="str">
        <x:v>Discovery cfg_archived_schema_live Rows</x:v>
      </x:c>
      <x:c r="B495" s="25" t="str">
        <x:v>_MissionControl_Measures</x:v>
      </x:c>
      <x:c r="C495" s="25" t="str">
        <x:v>COALESCE(CALCULATE(COUNTROWS(cfg_archived_schema_live), KEEPFILTERS(TREATAS({[Discovery cfg_archived_schema_live Latest time]}, cfg_archived_schema_live[contract_loaded_at]))), 0)</x:v>
      </x:c>
      <x:c r="D495" s="25" t="str">
        <x:v>monitoring.cfg_archived_schema_live</x:v>
      </x:c>
      <x:c r="E495" s="25" t="str">
        <x:v>No direct visible binding verified</x:v>
      </x:c>
      <x:c r="F495" s="25" t="str">
        <x:v>No requirement mapping asserted</x:v>
      </x:c>
      <x:c r="G495" s="25" t="str">
        <x:v>01a_cfg_schema_capture_archive.py:107</x:v>
      </x:c>
      <x:c r="H495" s="25" t="str">
        <x:v>Saved definition only; includes display/selector helpers. Not an accepted business KPI or proof of runtime/DR/SLA.</x:v>
      </x:c>
      <x:c r="I495" s="25" t="str">
        <x:v>SM WMPP Mission Control Import/SM WMPP Mission Control.SemanticModel/definition/tables/_MissionControl_Measures.tmdl:1836
Full code: KPI_CALCULATION_TRACEABILITY.md</x:v>
      </x:c>
    </x:row>
    <x:row r="496" ht="59" customHeight="1">
      <x:c r="A496" s="25" t="str">
        <x:v>Discovery cfg_archived_schema_live Visible</x:v>
      </x:c>
      <x:c r="B496" s="25" t="str">
        <x:v>_MissionControl_Measures</x:v>
      </x:c>
      <x:c r="C496" s="25" t="str">
        <x:v>IF([Discovery cfg_archived_schema_live Rows] &gt; 0, 1, 0)</x:v>
      </x:c>
      <x:c r="D496" s="25" t="str">
        <x:v>monitoring.cfg_archived_schema_live</x:v>
      </x:c>
      <x:c r="E496" s="25" t="str">
        <x:v>Quality &amp; Schema</x:v>
      </x:c>
      <x:c r="F496" s="25" t="str">
        <x:v>No requirement mapping asserted</x:v>
      </x:c>
      <x:c r="G496" s="25" t="str">
        <x:v>01a_cfg_schema_capture_archive.py:107</x:v>
      </x:c>
      <x:c r="H496" s="25" t="str">
        <x:v>Saved definition only; includes display/selector helpers. Not an accepted business KPI or proof of runtime/DR/SLA.</x:v>
      </x:c>
      <x:c r="I496" s="25" t="str">
        <x:v>SM WMPP Mission Control Import/SM WMPP Mission Control.SemanticModel/definition/tables/_MissionControl_Measures.tmdl:1841
Full code: KPI_CALCULATION_TRACEABILITY.md</x:v>
      </x:c>
    </x:row>
    <x:row r="497" ht="72" customHeight="1">
      <x:c r="A497" s="25" t="str">
        <x:v>Discovery cfg_archived_schema_live Selected time</x:v>
      </x:c>
      <x:c r="B497" s="25" t="str">
        <x:v>_MissionControl_Measures</x:v>
      </x:c>
      <x:c r="C497" s="25" t="str">
        <x:v>CALCULATE(MAX(cfg_archived_schema_live[contract_loaded_at]), KEEPFILTERS(TREATAS({[Discovery cfg_archived_schema_live Latest time]}, cfg_archived_schema_live[contract_loaded_at])))</x:v>
      </x:c>
      <x:c r="D497" s="25" t="str">
        <x:v>monitoring.cfg_archived_schema_live</x:v>
      </x:c>
      <x:c r="E497" s="25" t="str">
        <x:v>No direct visible binding verified</x:v>
      </x:c>
      <x:c r="F497" s="25" t="str">
        <x:v>No requirement mapping asserted</x:v>
      </x:c>
      <x:c r="G497" s="25" t="str">
        <x:v>01a_cfg_schema_capture_archive.py:107</x:v>
      </x:c>
      <x:c r="H497" s="25" t="str">
        <x:v>Saved definition only; includes display/selector helpers. Not an accepted business KPI or proof of runtime/DR/SLA.</x:v>
      </x:c>
      <x:c r="I497" s="25" t="str">
        <x:v>SM WMPP Mission Control Import/SM WMPP Mission Control.SemanticModel/definition/tables/_MissionControl_Measures.tmdl:1846
Full code: KPI_CALCULATION_TRACEABILITY.md</x:v>
      </x:c>
    </x:row>
    <x:row r="498" ht="124" customHeight="1">
      <x:c r="A498" s="25" t="str">
        <x:v>Discovery cfg_archived_schema_live State</x:v>
      </x:c>
      <x:c r="B498" s="25" t="str">
        <x:v>_MissionControl_Measures</x:v>
      </x:c>
      <x:c r="C498" s="25" t="str">
        <x:v>VAR n = [Discovery cfg_archived_schema_live Rows]
			RETURN IF(n = 0,
			    IF([Discovery history selected] = 1, "No retained discovery for this selection", "No discovery records available"),
			    "Retained records: " &amp; FORMAT(n, "#,0"))</x:v>
      </x:c>
      <x:c r="D498" s="25" t="str">
        <x:v>Load Calendar (local/calculated model object; no direct notebook producer asserted); monitoring.cfg_archived_schema_live; monitoring.rpt_job_run_summary</x:v>
      </x:c>
      <x:c r="E498" s="25" t="str">
        <x:v>No direct visible binding verified</x:v>
      </x:c>
      <x:c r="F498" s="25" t="str">
        <x:v>No requirement mapping asserted</x:v>
      </x:c>
      <x:c r="G498" s="25" t="str">
        <x:v>01a_cfg_schema_capture_archive.py:107; 06_reports.py:141</x:v>
      </x:c>
      <x:c r="H498" s="25" t="str">
        <x:v>Saved definition only; includes display/selector helpers. Not an accepted business KPI or proof of runtime/DR/SLA.</x:v>
      </x:c>
      <x:c r="I498" s="25" t="str">
        <x:v>SM WMPP Mission Control Import/SM WMPP Mission Control.SemanticModel/definition/tables/_MissionControl_Measures.tmdl:1851
Full code: KPI_CALCULATION_TRACEABILITY.md</x:v>
      </x:c>
    </x:row>
    <x:row r="499" ht="59" customHeight="1">
      <x:c r="A499" s="25" t="str">
        <x:v>Discovery cfg_archive_zip_load Latest time</x:v>
      </x:c>
      <x:c r="B499" s="25" t="str">
        <x:v>_MissionControl_Measures</x:v>
      </x:c>
      <x:c r="C499" s="25" t="str">
        <x:v>CALCULATE(MAX(cfg_archive_zip_load[started_at]), REMOVEFILTERS())</x:v>
      </x:c>
      <x:c r="D499" s="25" t="str">
        <x:v>monitoring.cfg_archive_zip_load</x:v>
      </x:c>
      <x:c r="E499" s="25" t="str">
        <x:v>No direct visible binding verified</x:v>
      </x:c>
      <x:c r="F499" s="25" t="str">
        <x:v>No requirement mapping asserted</x:v>
      </x:c>
      <x:c r="G499" s="25" t="str">
        <x:v>00_archive_load.py:653</x:v>
      </x:c>
      <x:c r="H499" s="25" t="str">
        <x:v>Saved definition only; includes display/selector helpers. Not an accepted business KPI or proof of runtime/DR/SLA.</x:v>
      </x:c>
      <x:c r="I499" s="25" t="str">
        <x:v>SM WMPP Mission Control Import/SM WMPP Mission Control.SemanticModel/definition/tables/_MissionControl_Measures.tmdl:1859
Full code: KPI_CALCULATION_TRACEABILITY.md</x:v>
      </x:c>
    </x:row>
    <x:row r="500" ht="150" customHeight="1">
      <x:c r="A500" s="25" t="str">
        <x:v>Discovery cfg_archive_zip_load Latest key</x:v>
      </x:c>
      <x:c r="B500" s="25" t="str">
        <x:v>_MissionControl_Measures</x:v>
      </x:c>
      <x:c r="C500" s="25" t="str">
        <x:v>VAR Batches = CALCULATETABLE(SUMMARIZE(cfg_archive_zip_load, cfg_archive_zip_load[run_id], "DiscoveryTime", MAX(cfg_archive_zip_load[started_at])), ALLSELECTED(cfg_archive_zip_load))
			VAR LatestBatch = TOPN(1, FILTER(Batches, NOT ISBLANK([DiscoveryTime])), [DiscoveryTime], DESC, cfg_archive_zip_load[run_id], DESC)
			RETURN MAXX(LatestBatch, cfg_archive_zip_load[run_id])</x:v>
      </x:c>
      <x:c r="D500" s="25" t="str">
        <x:v>monitoring.cfg_archive_zip_load</x:v>
      </x:c>
      <x:c r="E500" s="25" t="str">
        <x:v>No direct visible binding verified</x:v>
      </x:c>
      <x:c r="F500" s="25" t="str">
        <x:v>No requirement mapping asserted</x:v>
      </x:c>
      <x:c r="G500" s="25" t="str">
        <x:v>00_archive_load.py:653</x:v>
      </x:c>
      <x:c r="H500" s="25" t="str">
        <x:v>Saved definition only; includes display/selector helpers. Not an accepted business KPI or proof of runtime/DR/SLA.</x:v>
      </x:c>
      <x:c r="I500" s="25" t="str">
        <x:v>SM WMPP Mission Control Import/SM WMPP Mission Control.SemanticModel/definition/tables/_MissionControl_Measures.tmdl:1864
Full code: KPI_CALCULATION_TRACEABILITY.md</x:v>
      </x:c>
    </x:row>
    <x:row r="501" ht="72" customHeight="1">
      <x:c r="A501" s="25" t="str">
        <x:v>Discovery cfg_archive_zip_load Rows</x:v>
      </x:c>
      <x:c r="B501" s="25" t="str">
        <x:v>_MissionControl_Measures</x:v>
      </x:c>
      <x:c r="C501" s="25" t="str">
        <x:v>COALESCE(CALCULATE(COUNTROWS(cfg_archive_zip_load), KEEPFILTERS(TREATAS({[Discovery cfg_archive_zip_load Latest key]}, cfg_archive_zip_load[run_id]))), 0)</x:v>
      </x:c>
      <x:c r="D501" s="25" t="str">
        <x:v>monitoring.cfg_archive_zip_load</x:v>
      </x:c>
      <x:c r="E501" s="25" t="str">
        <x:v>No direct visible binding verified</x:v>
      </x:c>
      <x:c r="F501" s="25" t="str">
        <x:v>No requirement mapping asserted</x:v>
      </x:c>
      <x:c r="G501" s="25" t="str">
        <x:v>00_archive_load.py:653</x:v>
      </x:c>
      <x:c r="H501" s="25" t="str">
        <x:v>Saved definition only; includes display/selector helpers. Not an accepted business KPI or proof of runtime/DR/SLA.</x:v>
      </x:c>
      <x:c r="I501" s="25" t="str">
        <x:v>SM WMPP Mission Control Import/SM WMPP Mission Control.SemanticModel/definition/tables/_MissionControl_Measures.tmdl:1871
Full code: KPI_CALCULATION_TRACEABILITY.md</x:v>
      </x:c>
    </x:row>
    <x:row r="502" ht="59" customHeight="1">
      <x:c r="A502" s="25" t="str">
        <x:v>Discovery cfg_archive_zip_load Visible</x:v>
      </x:c>
      <x:c r="B502" s="25" t="str">
        <x:v>_MissionControl_Measures</x:v>
      </x:c>
      <x:c r="C502" s="25" t="str">
        <x:v>IF([Discovery cfg_archive_zip_load Rows] &gt; 0, 1, 0)</x:v>
      </x:c>
      <x:c r="D502" s="25" t="str">
        <x:v>monitoring.cfg_archive_zip_load</x:v>
      </x:c>
      <x:c r="E502" s="25" t="str">
        <x:v>Archive &amp; Replay</x:v>
      </x:c>
      <x:c r="F502" s="25" t="str">
        <x:v>No requirement mapping asserted</x:v>
      </x:c>
      <x:c r="G502" s="25" t="str">
        <x:v>00_archive_load.py:653</x:v>
      </x:c>
      <x:c r="H502" s="25" t="str">
        <x:v>Saved definition only; includes display/selector helpers. Not an accepted business KPI or proof of runtime/DR/SLA.</x:v>
      </x:c>
      <x:c r="I502" s="25" t="str">
        <x:v>SM WMPP Mission Control Import/SM WMPP Mission Control.SemanticModel/definition/tables/_MissionControl_Measures.tmdl:1876
Full code: KPI_CALCULATION_TRACEABILITY.md</x:v>
      </x:c>
    </x:row>
    <x:row r="503" ht="59" customHeight="1">
      <x:c r="A503" s="25" t="str">
        <x:v>Discovery cfg_archive_zip_load Selected time</x:v>
      </x:c>
      <x:c r="B503" s="25" t="str">
        <x:v>_MissionControl_Measures</x:v>
      </x:c>
      <x:c r="C503" s="25" t="str">
        <x:v>CALCULATE(MAX(cfg_archive_zip_load[started_at]), KEEPFILTERS(TREATAS({[Discovery cfg_archive_zip_load Latest key]}, cfg_archive_zip_load[run_id])))</x:v>
      </x:c>
      <x:c r="D503" s="25" t="str">
        <x:v>monitoring.cfg_archive_zip_load</x:v>
      </x:c>
      <x:c r="E503" s="25" t="str">
        <x:v>No direct visible binding verified</x:v>
      </x:c>
      <x:c r="F503" s="25" t="str">
        <x:v>No requirement mapping asserted</x:v>
      </x:c>
      <x:c r="G503" s="25" t="str">
        <x:v>00_archive_load.py:653</x:v>
      </x:c>
      <x:c r="H503" s="25" t="str">
        <x:v>Saved definition only; includes display/selector helpers. Not an accepted business KPI or proof of runtime/DR/SLA.</x:v>
      </x:c>
      <x:c r="I503" s="25" t="str">
        <x:v>SM WMPP Mission Control Import/SM WMPP Mission Control.SemanticModel/definition/tables/_MissionControl_Measures.tmdl:1881
Full code: KPI_CALCULATION_TRACEABILITY.md</x:v>
      </x:c>
    </x:row>
    <x:row r="504" ht="124" customHeight="1">
      <x:c r="A504" s="25" t="str">
        <x:v>Discovery cfg_archive_zip_load State</x:v>
      </x:c>
      <x:c r="B504" s="25" t="str">
        <x:v>_MissionControl_Measures</x:v>
      </x:c>
      <x:c r="C504" s="25" t="str">
        <x:v>VAR n = [Discovery cfg_archive_zip_load Rows]
			RETURN IF(n = 0,
			    IF([Discovery history selected] = 1, "No retained discovery for this selection", "No discovery records available"),
			    "Retained records: " &amp; FORMAT(n, "#,0"))</x:v>
      </x:c>
      <x:c r="D504" s="25" t="str">
        <x:v>Load Calendar (local/calculated model object; no direct notebook producer asserted); monitoring.cfg_archive_zip_load; monitoring.rpt_job_run_summary</x:v>
      </x:c>
      <x:c r="E504" s="25" t="str">
        <x:v>No direct visible binding verified</x:v>
      </x:c>
      <x:c r="F504" s="25" t="str">
        <x:v>No requirement mapping asserted</x:v>
      </x:c>
      <x:c r="G504" s="25" t="str">
        <x:v>00_archive_load.py:653; 06_reports.py:141</x:v>
      </x:c>
      <x:c r="H504" s="25" t="str">
        <x:v>Saved definition only; includes display/selector helpers. Not an accepted business KPI or proof of runtime/DR/SLA.</x:v>
      </x:c>
      <x:c r="I504" s="25" t="str">
        <x:v>SM WMPP Mission Control Import/SM WMPP Mission Control.SemanticModel/definition/tables/_MissionControl_Measures.tmdl:1886
Full code: KPI_CALCULATION_TRACEABILITY.md</x:v>
      </x:c>
    </x:row>
    <x:row r="505" ht="59" customHeight="1">
      <x:c r="A505" s="25" t="str">
        <x:v>Discovery cfg_month_end_gold_run Latest time</x:v>
      </x:c>
      <x:c r="B505" s="25" t="str">
        <x:v>_MissionControl_Measures</x:v>
      </x:c>
      <x:c r="C505" s="25" t="str">
        <x:v>CALCULATE(MAX(cfg_month_end_gold_run[started_at]), REMOVEFILTERS())</x:v>
      </x:c>
      <x:c r="D505" s="25" t="str">
        <x:v>monitoring.cfg_month_end_gold_run</x:v>
      </x:c>
      <x:c r="E505" s="25" t="str">
        <x:v>No direct visible binding verified</x:v>
      </x:c>
      <x:c r="F505" s="25" t="str">
        <x:v>No requirement mapping asserted</x:v>
      </x:c>
      <x:c r="G505" s="25" t="str">
        <x:v>02a_archive_silver.py:611</x:v>
      </x:c>
      <x:c r="H505" s="25" t="str">
        <x:v>Saved definition only; includes display/selector helpers. Not an accepted business KPI or proof of runtime/DR/SLA.</x:v>
      </x:c>
      <x:c r="I505" s="25" t="str">
        <x:v>SM WMPP Mission Control Import/SM WMPP Mission Control.SemanticModel/definition/tables/_MissionControl_Measures.tmdl:1894
Full code: KPI_CALCULATION_TRACEABILITY.md</x:v>
      </x:c>
    </x:row>
    <x:row r="506" ht="163" customHeight="1">
      <x:c r="A506" s="25" t="str">
        <x:v>Discovery cfg_month_end_gold_run Latest key</x:v>
      </x:c>
      <x:c r="B506" s="25" t="str">
        <x:v>_MissionControl_Measures</x:v>
      </x:c>
      <x:c r="C506" s="25" t="str">
        <x:v>VAR Batches = CALCULATETABLE(SUMMARIZE(cfg_month_end_gold_run, cfg_month_end_gold_run[run_id], "DiscoveryTime", MAX(cfg_month_end_gold_run[started_at])), ALLSELECTED(cfg_month_end_gold_run))
			VAR LatestBatch = TOPN(1, FILTER(Batches, NOT ISBLANK([DiscoveryTime])), [DiscoveryTime], DESC, cfg_month_end_gold_run[run_id], DESC)
			RETURN MAXX(LatestBatch, cfg_month_end_gold_run[run_id])</x:v>
      </x:c>
      <x:c r="D506" s="25" t="str">
        <x:v>monitoring.cfg_month_end_gold_run</x:v>
      </x:c>
      <x:c r="E506" s="25" t="str">
        <x:v>No direct visible binding verified</x:v>
      </x:c>
      <x:c r="F506" s="25" t="str">
        <x:v>No requirement mapping asserted</x:v>
      </x:c>
      <x:c r="G506" s="25" t="str">
        <x:v>02a_archive_silver.py:611</x:v>
      </x:c>
      <x:c r="H506" s="25" t="str">
        <x:v>Saved definition only; includes display/selector helpers. Not an accepted business KPI or proof of runtime/DR/SLA.</x:v>
      </x:c>
      <x:c r="I506" s="25" t="str">
        <x:v>SM WMPP Mission Control Import/SM WMPP Mission Control.SemanticModel/definition/tables/_MissionControl_Measures.tmdl:1899
Full code: KPI_CALCULATION_TRACEABILITY.md</x:v>
      </x:c>
    </x:row>
    <x:row r="507" ht="72" customHeight="1">
      <x:c r="A507" s="25" t="str">
        <x:v>Discovery cfg_month_end_gold_run Rows</x:v>
      </x:c>
      <x:c r="B507" s="25" t="str">
        <x:v>_MissionControl_Measures</x:v>
      </x:c>
      <x:c r="C507" s="25" t="str">
        <x:v>COALESCE(CALCULATE(COUNTROWS(cfg_month_end_gold_run), KEEPFILTERS(TREATAS({[Discovery cfg_month_end_gold_run Latest key]}, cfg_month_end_gold_run[run_id]))), 0)</x:v>
      </x:c>
      <x:c r="D507" s="25" t="str">
        <x:v>monitoring.cfg_month_end_gold_run</x:v>
      </x:c>
      <x:c r="E507" s="25" t="str">
        <x:v>No direct visible binding verified</x:v>
      </x:c>
      <x:c r="F507" s="25" t="str">
        <x:v>No requirement mapping asserted</x:v>
      </x:c>
      <x:c r="G507" s="25" t="str">
        <x:v>02a_archive_silver.py:611</x:v>
      </x:c>
      <x:c r="H507" s="25" t="str">
        <x:v>Saved definition only; includes display/selector helpers. Not an accepted business KPI or proof of runtime/DR/SLA.</x:v>
      </x:c>
      <x:c r="I507" s="25" t="str">
        <x:v>SM WMPP Mission Control Import/SM WMPP Mission Control.SemanticModel/definition/tables/_MissionControl_Measures.tmdl:1906
Full code: KPI_CALCULATION_TRACEABILITY.md</x:v>
      </x:c>
    </x:row>
    <x:row r="508" ht="59" customHeight="1">
      <x:c r="A508" s="25" t="str">
        <x:v>Discovery cfg_month_end_gold_run Visible</x:v>
      </x:c>
      <x:c r="B508" s="25" t="str">
        <x:v>_MissionControl_Measures</x:v>
      </x:c>
      <x:c r="C508" s="25" t="str">
        <x:v>IF([Discovery cfg_month_end_gold_run Rows] &gt; 0, 1, 0)</x:v>
      </x:c>
      <x:c r="D508" s="25" t="str">
        <x:v>monitoring.cfg_month_end_gold_run</x:v>
      </x:c>
      <x:c r="E508" s="25" t="str">
        <x:v>Archive &amp; Replay</x:v>
      </x:c>
      <x:c r="F508" s="25" t="str">
        <x:v>No requirement mapping asserted</x:v>
      </x:c>
      <x:c r="G508" s="25" t="str">
        <x:v>02a_archive_silver.py:611</x:v>
      </x:c>
      <x:c r="H508" s="25" t="str">
        <x:v>Saved definition only; includes display/selector helpers. Not an accepted business KPI or proof of runtime/DR/SLA.</x:v>
      </x:c>
      <x:c r="I508" s="25" t="str">
        <x:v>SM WMPP Mission Control Import/SM WMPP Mission Control.SemanticModel/definition/tables/_MissionControl_Measures.tmdl:1911
Full code: KPI_CALCULATION_TRACEABILITY.md</x:v>
      </x:c>
    </x:row>
    <x:row r="509" ht="72" customHeight="1">
      <x:c r="A509" s="25" t="str">
        <x:v>Discovery cfg_month_end_gold_run Selected time</x:v>
      </x:c>
      <x:c r="B509" s="25" t="str">
        <x:v>_MissionControl_Measures</x:v>
      </x:c>
      <x:c r="C509" s="25" t="str">
        <x:v>CALCULATE(MAX(cfg_month_end_gold_run[started_at]), KEEPFILTERS(TREATAS({[Discovery cfg_month_end_gold_run Latest key]}, cfg_month_end_gold_run[run_id])))</x:v>
      </x:c>
      <x:c r="D509" s="25" t="str">
        <x:v>monitoring.cfg_month_end_gold_run</x:v>
      </x:c>
      <x:c r="E509" s="25" t="str">
        <x:v>No direct visible binding verified</x:v>
      </x:c>
      <x:c r="F509" s="25" t="str">
        <x:v>No requirement mapping asserted</x:v>
      </x:c>
      <x:c r="G509" s="25" t="str">
        <x:v>02a_archive_silver.py:611</x:v>
      </x:c>
      <x:c r="H509" s="25" t="str">
        <x:v>Saved definition only; includes display/selector helpers. Not an accepted business KPI or proof of runtime/DR/SLA.</x:v>
      </x:c>
      <x:c r="I509" s="25" t="str">
        <x:v>SM WMPP Mission Control Import/SM WMPP Mission Control.SemanticModel/definition/tables/_MissionControl_Measures.tmdl:1916
Full code: KPI_CALCULATION_TRACEABILITY.md</x:v>
      </x:c>
    </x:row>
    <x:row r="510" ht="124" customHeight="1">
      <x:c r="A510" s="25" t="str">
        <x:v>Discovery cfg_month_end_gold_run State</x:v>
      </x:c>
      <x:c r="B510" s="25" t="str">
        <x:v>_MissionControl_Measures</x:v>
      </x:c>
      <x:c r="C510" s="25" t="str">
        <x:v>VAR n = [Discovery cfg_month_end_gold_run Rows]
			RETURN IF(n = 0,
			    IF([Discovery history selected] = 1, "No retained discovery for this selection", "No discovery records available"),
			    "Retained records: " &amp; FORMAT(n, "#,0"))</x:v>
      </x:c>
      <x:c r="D510" s="25" t="str">
        <x:v>Load Calendar (local/calculated model object; no direct notebook producer asserted); monitoring.cfg_month_end_gold_run; monitoring.rpt_job_run_summary</x:v>
      </x:c>
      <x:c r="E510" s="25" t="str">
        <x:v>No direct visible binding verified</x:v>
      </x:c>
      <x:c r="F510" s="25" t="str">
        <x:v>No requirement mapping asserted</x:v>
      </x:c>
      <x:c r="G510" s="25" t="str">
        <x:v>02a_archive_silver.py:611; 06_reports.py:141</x:v>
      </x:c>
      <x:c r="H510" s="25" t="str">
        <x:v>Saved definition only; includes display/selector helpers. Not an accepted business KPI or proof of runtime/DR/SLA.</x:v>
      </x:c>
      <x:c r="I510" s="25" t="str">
        <x:v>SM WMPP Mission Control Import/SM WMPP Mission Control.SemanticModel/definition/tables/_MissionControl_Measures.tmdl:1921
Full code: KPI_CALCULATION_TRACEABILITY.md</x:v>
      </x:c>
    </x:row>
    <x:row r="511" ht="59" customHeight="1">
      <x:c r="A511" s="25" t="str">
        <x:v>Latest matching Archive ZIP Batches</x:v>
      </x:c>
      <x:c r="B511" s="25" t="str">
        <x:v>_MissionControl_Measures</x:v>
      </x:c>
      <x:c r="C511" s="25" t="str">
        <x:v>CALCULATE([Archive ZIP Batches], KEEPFILTERS(TREATAS({[Discovery cfg_archive_zip_load Latest key]}, cfg_archive_zip_load[run_id])))</x:v>
      </x:c>
      <x:c r="D511" s="25" t="str">
        <x:v>monitoring.cfg_archive_zip_load</x:v>
      </x:c>
      <x:c r="E511" s="25" t="str">
        <x:v>Archive &amp; Replay</x:v>
      </x:c>
      <x:c r="F511" s="25" t="str">
        <x:v>No requirement mapping asserted</x:v>
      </x:c>
      <x:c r="G511" s="25" t="str">
        <x:v>00_archive_load.py:653</x:v>
      </x:c>
      <x:c r="H511" s="25" t="str">
        <x:v>Saved definition only; includes display/selector helpers. Not an accepted business KPI or proof of runtime/DR/SLA.</x:v>
      </x:c>
      <x:c r="I511" s="25" t="str">
        <x:v>SM WMPP Mission Control Import/SM WMPP Mission Control.SemanticModel/definition/tables/_MissionControl_Measures.tmdl:1929
Full code: KPI_CALCULATION_TRACEABILITY.md</x:v>
      </x:c>
    </x:row>
    <x:row r="512" ht="59" customHeight="1">
      <x:c r="A512" s="25" t="str">
        <x:v>Latest matching Archive ZIP Batches Awaiting Reload</x:v>
      </x:c>
      <x:c r="B512" s="25" t="str">
        <x:v>_MissionControl_Measures</x:v>
      </x:c>
      <x:c r="C512" s="25" t="str">
        <x:v>CALCULATE([Archive ZIP Batches Awaiting Reload], KEEPFILTERS(TREATAS({[Discovery cfg_archive_zip_load Latest key]}, cfg_archive_zip_load[run_id])))</x:v>
      </x:c>
      <x:c r="D512" s="25" t="str">
        <x:v>monitoring.cfg_archive_zip_load</x:v>
      </x:c>
      <x:c r="E512" s="25" t="str">
        <x:v>Archive &amp; Replay</x:v>
      </x:c>
      <x:c r="F512" s="25" t="str">
        <x:v>No requirement mapping asserted</x:v>
      </x:c>
      <x:c r="G512" s="25" t="str">
        <x:v>00_archive_load.py:653</x:v>
      </x:c>
      <x:c r="H512" s="25" t="str">
        <x:v>Saved definition only; includes display/selector helpers. Not an accepted business KPI or proof of runtime/DR/SLA.</x:v>
      </x:c>
      <x:c r="I512" s="25" t="str">
        <x:v>SM WMPP Mission Control Import/SM WMPP Mission Control.SemanticModel/definition/tables/_MissionControl_Measures.tmdl:1934
Full code: KPI_CALCULATION_TRACEABILITY.md</x:v>
      </x:c>
    </x:row>
    <x:row r="513" ht="59" customHeight="1">
      <x:c r="A513" s="25" t="str">
        <x:v>Latest matching Failed Archive ZIP Batches</x:v>
      </x:c>
      <x:c r="B513" s="25" t="str">
        <x:v>_MissionControl_Measures</x:v>
      </x:c>
      <x:c r="C513" s="25" t="str">
        <x:v>CALCULATE([Failed Archive ZIP Batches], KEEPFILTERS(TREATAS({[Discovery cfg_archive_zip_load Latest key]}, cfg_archive_zip_load[run_id])))</x:v>
      </x:c>
      <x:c r="D513" s="25" t="str">
        <x:v>monitoring.cfg_archive_zip_load</x:v>
      </x:c>
      <x:c r="E513" s="25" t="str">
        <x:v>Archive &amp; Replay</x:v>
      </x:c>
      <x:c r="F513" s="25" t="str">
        <x:v>No requirement mapping asserted</x:v>
      </x:c>
      <x:c r="G513" s="25" t="str">
        <x:v>00_archive_load.py:653</x:v>
      </x:c>
      <x:c r="H513" s="25" t="str">
        <x:v>Saved definition only; includes display/selector helpers. Not an accepted business KPI or proof of runtime/DR/SLA.</x:v>
      </x:c>
      <x:c r="I513" s="25" t="str">
        <x:v>SM WMPP Mission Control Import/SM WMPP Mission Control.SemanticModel/definition/tables/_MissionControl_Measures.tmdl:1939
Full code: KPI_CALCULATION_TRACEABILITY.md</x:v>
      </x:c>
    </x:row>
    <x:row r="514" ht="59" customHeight="1">
      <x:c r="A514" s="25" t="str">
        <x:v>Latest matching Failed Gold Snapshots</x:v>
      </x:c>
      <x:c r="B514" s="25" t="str">
        <x:v>_MissionControl_Measures</x:v>
      </x:c>
      <x:c r="C514" s="25" t="str">
        <x:v>CALCULATE([Failed Gold Snapshots], KEEPFILTERS(TREATAS({[Discovery cfg_month_end_gold_run Latest key]}, cfg_month_end_gold_run[run_id])))</x:v>
      </x:c>
      <x:c r="D514" s="25" t="str">
        <x:v>monitoring.cfg_month_end_gold_run</x:v>
      </x:c>
      <x:c r="E514" s="25" t="str">
        <x:v>Archive &amp; Replay</x:v>
      </x:c>
      <x:c r="F514" s="25" t="str">
        <x:v>No requirement mapping asserted</x:v>
      </x:c>
      <x:c r="G514" s="25" t="str">
        <x:v>02a_archive_silver.py:611</x:v>
      </x:c>
      <x:c r="H514" s="25" t="str">
        <x:v>Saved definition only; includes display/selector helpers. Not an accepted business KPI or proof of runtime/DR/SLA.</x:v>
      </x:c>
      <x:c r="I514" s="25" t="str">
        <x:v>SM WMPP Mission Control Import/SM WMPP Mission Control.SemanticModel/definition/tables/_MissionControl_Measures.tmdl:1944
Full code: KPI_CALCULATION_TRACEABILITY.md</x:v>
      </x:c>
    </x:row>
    <x:row r="515" ht="72" customHeight="1">
      <x:c r="A515" s="25" t="str">
        <x:v>Discovery calendar jobs</x:v>
      </x:c>
      <x:c r="B515" s="25" t="str">
        <x:v>_MissionControl_Measures</x:v>
      </x:c>
      <x:c r="C515" s="25" t="str">
        <x:v>COALESCE(CALCULATE(COUNTROWS('Discovery Job Runs'),
			    KEEPFILTERS(TREATAS(VALUES('Load Calendar'[Date]), 'Discovery Job Runs'[Run Date]))), 0)</x:v>
      </x:c>
      <x:c r="D515" s="25" t="str">
        <x:v>Load Calendar (local/calculated model object; no direct notebook producer asserted); monitoring.rpt_job_run_summary</x:v>
      </x:c>
      <x:c r="E515" s="25" t="str">
        <x:v>Contracts &amp; Schema; Domains &amp; Reference; Lineage &amp; Step Summary; Load Metrics &amp; Control; Quality &amp; Exceptions; Schema &amp; Drift</x:v>
      </x:c>
      <x:c r="F515" s="25" t="str">
        <x:v>No requirement mapping asserted</x:v>
      </x:c>
      <x:c r="G515" s="25" t="str">
        <x:v>06_reports.py:141</x:v>
      </x:c>
      <x:c r="H515" s="25" t="str">
        <x:v>Saved definition only; includes display/selector helpers. Not an accepted business KPI or proof of runtime/DR/SLA.</x:v>
      </x:c>
      <x:c r="I515" s="25" t="str">
        <x:v>SM WMPP Mission Control Import/SM WMPP Mission Control.SemanticModel/definition/tables/_MissionControl_Measures.tmdl:1949
Full code: KPI_CALCULATION_TRACEABILITY.md</x:v>
      </x:c>
    </x:row>
    <x:row r="516" ht="137" customHeight="1">
      <x:c r="A516" s="25" t="str">
        <x:v>Discovery calendar failures</x:v>
      </x:c>
      <x:c r="B516" s="25" t="str">
        <x:v>_MissionControl_Measures</x:v>
      </x:c>
      <x:c r="C516" s="25" t="str">
        <x:v>COALESCE(CALCULATE(COUNTROWS('Discovery Job Runs'),
			    KEEPFILTERS(TREATAS(VALUES('Load Calendar'[Date]), 'Discovery Job Runs'[Run Date])),
			    FILTER('Discovery Job Runs', UPPER('Discovery Job Runs'[status]) IN {"FAILED", "FAILURE", "ERROR"}
			        || 'Discovery Job Runs'[steps_failed] &gt; 0)), 0)</x:v>
      </x:c>
      <x:c r="D516" s="25" t="str">
        <x:v>Load Calendar (local/calculated model object; no direct notebook producer asserted); monitoring.rpt_job_run_summary</x:v>
      </x:c>
      <x:c r="E516" s="25" t="str">
        <x:v>Contracts &amp; Schema; Domains &amp; Reference; Lineage &amp; Step Summary; Load Metrics &amp; Control; Quality &amp; Exceptions; Schema &amp; Drift</x:v>
      </x:c>
      <x:c r="F516" s="25" t="str">
        <x:v>No requirement mapping asserted</x:v>
      </x:c>
      <x:c r="G516" s="25" t="str">
        <x:v>06_reports.py:141</x:v>
      </x:c>
      <x:c r="H516" s="25" t="str">
        <x:v>Saved definition only; includes display/selector helpers. Not an accepted business KPI or proof of runtime/DR/SLA.</x:v>
      </x:c>
      <x:c r="I516" s="25" t="str">
        <x:v>SM WMPP Mission Control Import/SM WMPP Mission Control.SemanticModel/definition/tables/_MissionControl_Measures.tmdl:1956
Full code: KPI_CALCULATION_TRACEABILITY.md</x:v>
      </x:c>
    </x:row>
    <x:row r="517" ht="163" customHeight="1">
      <x:c r="A517" s="25" t="str">
        <x:v>Discovery calendar other</x:v>
      </x:c>
      <x:c r="B517" s="25" t="str">
        <x:v>_MissionControl_Measures</x:v>
      </x:c>
      <x:c r="C517" s="25" t="str">
        <x:v>COALESCE(CALCULATE(COUNTROWS('Discovery Job Runs'),
			    KEEPFILTERS(TREATAS(VALUES('Load Calendar'[Date]), 'Discovery Job Runs'[Run Date])),
			    FILTER('Discovery Job Runs', NOT(UPPER('Discovery Job Runs'[status]) IN {"SUCCESS", "SUCCESSFUL", "SUCCEEDED", "FAILED", "FAILURE", "ERROR"})
			        &amp;&amp; COALESCE('Discovery Job Runs'[steps_failed], 0) = 0)), 0)</x:v>
      </x:c>
      <x:c r="D517" s="25" t="str">
        <x:v>Load Calendar (local/calculated model object; no direct notebook producer asserted); monitoring.rpt_job_run_summary</x:v>
      </x:c>
      <x:c r="E517" s="25" t="str">
        <x:v>Contracts &amp; Schema; Domains &amp; Reference; Lineage &amp; Step Summary; Load Metrics &amp; Control; Quality &amp; Exceptions; Schema &amp; Drift</x:v>
      </x:c>
      <x:c r="F517" s="25" t="str">
        <x:v>No requirement mapping asserted</x:v>
      </x:c>
      <x:c r="G517" s="25" t="str">
        <x:v>06_reports.py:141</x:v>
      </x:c>
      <x:c r="H517" s="25" t="str">
        <x:v>Saved definition only; includes display/selector helpers. Not an accepted business KPI or proof of runtime/DR/SLA.</x:v>
      </x:c>
      <x:c r="I517" s="25" t="str">
        <x:v>SM WMPP Mission Control Import/SM WMPP Mission Control.SemanticModel/definition/tables/_MissionControl_Measures.tmdl:1965
Full code: KPI_CALCULATION_TRACEABILITY.md</x:v>
      </x:c>
    </x:row>
    <x:row r="518" ht="72" customHeight="1">
      <x:c r="A518" s="25" t="str">
        <x:v>Discovery job picker visible</x:v>
      </x:c>
      <x:c r="B518" s="25" t="str">
        <x:v>_MissionControl_Measures</x:v>
      </x:c>
      <x:c r="C518" s="25" t="str">
        <x:v>IF(CALCULATE(COUNTROWS('Discovery Job Runs'),
			    KEEPFILTERS(TREATAS(VALUES('Load Calendar'[Date]), 'Discovery Job Runs'[Run Date]))) &gt; 0, 1, 0)</x:v>
      </x:c>
      <x:c r="D518" s="25" t="str">
        <x:v>Load Calendar (local/calculated model object; no direct notebook producer asserted); monitoring.rpt_job_run_summary</x:v>
      </x:c>
      <x:c r="E518" s="25" t="str">
        <x:v>Contracts &amp; Schema; Domains &amp; Reference; Lineage &amp; Step Summary; Load Metrics &amp; Control; Quality &amp; Exceptions; Schema &amp; Drift</x:v>
      </x:c>
      <x:c r="F518" s="25" t="str">
        <x:v>No requirement mapping asserted</x:v>
      </x:c>
      <x:c r="G518" s="25" t="str">
        <x:v>06_reports.py:141</x:v>
      </x:c>
      <x:c r="H518" s="25" t="str">
        <x:v>Saved definition only; includes display/selector helpers. Not an accepted business KPI or proof of runtime/DR/SLA.</x:v>
      </x:c>
      <x:c r="I518" s="25" t="str">
        <x:v>SM WMPP Mission Control Import/SM WMPP Mission Control.SemanticModel/definition/tables/_MissionControl_Measures.tmdl:1974
Full code: KPI_CALCULATION_TRACEABILITY.md</x:v>
      </x:c>
    </x:row>
    <x:row r="519" ht="397" customHeight="1">
      <x:c r="A519" s="25" t="str">
        <x:v>Job baseline n</x:v>
      </x:c>
      <x:c r="B519" s="25" t="str">
        <x:v>_Run Benchmarks</x:v>
      </x:c>
      <x:c r="C519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ISBLANK('rpt_job_run_summary'[job_duration_seconds]) &amp;&amp; 'rpt_job_run_summary'[job_duration_seconds]&gt;=0
			    &amp;&amp; 'rpt_job_run_summary'[Outcome]="Successful")
			RETURN
[excerpt; full exact logic in KPI_CALCULATION_TRACEABILITY.md]</x:v>
      </x:c>
      <x:c r="D519" s="25" t="str">
        <x:v>Load Calendar (local/calculated model object; no direct notebook producer asserted); monitoring.rpt_job_run_summary</x:v>
      </x:c>
      <x:c r="E519" s="25" t="str">
        <x:v>Job &amp; Step Timelines; Load Calendar</x:v>
      </x:c>
      <x:c r="F519" s="25" t="str">
        <x:v>No requirement mapping asserted</x:v>
      </x:c>
      <x:c r="G519" s="25" t="str">
        <x:v>06_reports.py:141</x:v>
      </x:c>
      <x:c r="H519" s="25" t="str">
        <x:v>Saved definition only; includes display/selector helpers. Not an accepted business KPI or proof of runtime/DR/SLA.</x:v>
      </x:c>
      <x:c r="I519" s="25" t="str">
        <x:v>SM WMPP Mission Control Import/SM WMPP Mission Control.SemanticModel/definition/tables/_Run Benchmarks.tmdl:4
Full code: KPI_CALCULATION_TRACEABILITY.md</x:v>
      </x:c>
    </x:row>
    <x:row r="520" ht="397" customHeight="1">
      <x:c r="A520" s="25" t="str">
        <x:v>Job prior mean min</x:v>
      </x:c>
      <x:c r="B520" s="25" t="str">
        <x:v>_Run Benchmarks</x:v>
      </x:c>
      <x:c r="C520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ISBLANK('rpt_job_run_summary'[job_duration_seconds]) &amp;&amp; 'rpt_job_run_summary'[job_duration_seconds]&gt;=0
			    &amp;&amp; 'rpt_job_run_summary'[Outcome]="Successful")
			RETURN
[excerpt; full exact logic in KPI_CALCULATION_TRACEABILITY.md]</x:v>
      </x:c>
      <x:c r="D520" s="25" t="str">
        <x:v>Load Calendar (local/calculated model object; no direct notebook producer asserted); monitoring.rpt_job_run_summary</x:v>
      </x:c>
      <x:c r="E520" s="25" t="str">
        <x:v>Job &amp; Step Timelines; Load Calendar</x:v>
      </x:c>
      <x:c r="F520" s="25" t="str">
        <x:v>No requirement mapping asserted</x:v>
      </x:c>
      <x:c r="G520" s="25" t="str">
        <x:v>06_reports.py:141</x:v>
      </x:c>
      <x:c r="H520" s="25" t="str">
        <x:v>Saved definition only; includes display/selector helpers. Not an accepted business KPI or proof of runtime/DR/SLA.</x:v>
      </x:c>
      <x:c r="I520" s="25" t="str">
        <x:v>SM WMPP Mission Control Import/SM WMPP Mission Control.SemanticModel/definition/tables/_Run Benchmarks.tmdl:19
Full code: KPI_CALCULATION_TRACEABILITY.md</x:v>
      </x:c>
    </x:row>
    <x:row r="521" ht="397" customHeight="1">
      <x:c r="A521" s="25" t="str">
        <x:v>Job prior median min</x:v>
      </x:c>
      <x:c r="B521" s="25" t="str">
        <x:v>_Run Benchmarks</x:v>
      </x:c>
      <x:c r="C521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ISBLANK('rpt_job_run_summary'[job_duration_seconds]) &amp;&amp; 'rpt_job_run_summary'[job_duration_seconds]&gt;=0
			    &amp;&amp; 'rpt_job_run_summary'[Outcome]="Successful")
			RETURN
[excerpt; full exact logic in KPI_CALCULATION_TRACEABILITY.md]</x:v>
      </x:c>
      <x:c r="D521" s="25" t="str">
        <x:v>Load Calendar (local/calculated model object; no direct notebook producer asserted); monitoring.rpt_job_run_summary</x:v>
      </x:c>
      <x:c r="E521" s="25" t="str">
        <x:v>Job &amp; Step Timelines; Load Calendar</x:v>
      </x:c>
      <x:c r="F521" s="25" t="str">
        <x:v>R82</x:v>
      </x:c>
      <x:c r="G521" s="25" t="str">
        <x:v>06_reports.py:141</x:v>
      </x:c>
      <x:c r="H521" s="25" t="str">
        <x:v>Saved definition only; includes display/selector helpers. Not an accepted business KPI or proof of runtime/DR/SLA.</x:v>
      </x:c>
      <x:c r="I521" s="25" t="str">
        <x:v>SM WMPP Mission Control Import/SM WMPP Mission Control.SemanticModel/definition/tables/_Run Benchmarks.tmdl:34
Full code: KPI_CALCULATION_TRACEABILITY.md</x:v>
      </x:c>
    </x:row>
    <x:row r="522" ht="397" customHeight="1">
      <x:c r="A522" s="25" t="str">
        <x:v>Job prior p25 min</x:v>
      </x:c>
      <x:c r="B522" s="25" t="str">
        <x:v>_Run Benchmarks</x:v>
      </x:c>
      <x:c r="C522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ISBLANK('rpt_job_run_summary'[job_duration_seconds]) &amp;&amp; 'rpt_job_run_summary'[job_duration_seconds]&gt;=0
			    &amp;&amp; 'rpt_job_run_summary'[Outcome]="Successful")
			RETURN
[excerpt; full exact logic in KPI_CALCULATION_TRACEABILITY.md]</x:v>
      </x:c>
      <x:c r="D522" s="25" t="str">
        <x:v>Load Calendar (local/calculated model object; no direct notebook producer asserted); monitoring.rpt_job_run_summary</x:v>
      </x:c>
      <x:c r="E522" s="25" t="str">
        <x:v>Job &amp; Step Timelines; Load Calendar</x:v>
      </x:c>
      <x:c r="F522" s="25" t="str">
        <x:v>No requirement mapping asserted</x:v>
      </x:c>
      <x:c r="G522" s="25" t="str">
        <x:v>06_reports.py:141</x:v>
      </x:c>
      <x:c r="H522" s="25" t="str">
        <x:v>Saved definition only; includes display/selector helpers. Not an accepted business KPI or proof of runtime/DR/SLA.</x:v>
      </x:c>
      <x:c r="I522" s="25" t="str">
        <x:v>SM WMPP Mission Control Import/SM WMPP Mission Control.SemanticModel/definition/tables/_Run Benchmarks.tmdl:49
Full code: KPI_CALCULATION_TRACEABILITY.md</x:v>
      </x:c>
    </x:row>
    <x:row r="523" ht="397" customHeight="1">
      <x:c r="A523" s="25" t="str">
        <x:v>Job prior p75 min</x:v>
      </x:c>
      <x:c r="B523" s="25" t="str">
        <x:v>_Run Benchmarks</x:v>
      </x:c>
      <x:c r="C523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ISBLANK('rpt_job_run_summary'[job_duration_seconds]) &amp;&amp; 'rpt_job_run_summary'[job_duration_seconds]&gt;=0
			    &amp;&amp; 'rpt_job_run_summary'[Outcome]="Successful")
			RETURN
[excerpt; full exact logic in KPI_CALCULATION_TRACEABILITY.md]</x:v>
      </x:c>
      <x:c r="D523" s="25" t="str">
        <x:v>Load Calendar (local/calculated model object; no direct notebook producer asserted); monitoring.rpt_job_run_summary</x:v>
      </x:c>
      <x:c r="E523" s="25" t="str">
        <x:v>Job &amp; Step Timelines; Load Calendar</x:v>
      </x:c>
      <x:c r="F523" s="25" t="str">
        <x:v>No requirement mapping asserted</x:v>
      </x:c>
      <x:c r="G523" s="25" t="str">
        <x:v>06_reports.py:141</x:v>
      </x:c>
      <x:c r="H523" s="25" t="str">
        <x:v>Saved definition only; includes display/selector helpers. Not an accepted business KPI or proof of runtime/DR/SLA.</x:v>
      </x:c>
      <x:c r="I523" s="25" t="str">
        <x:v>SM WMPP Mission Control Import/SM WMPP Mission Control.SemanticModel/definition/tables/_Run Benchmarks.tmdl:64
Full code: KPI_CALCULATION_TRACEABILITY.md</x:v>
      </x:c>
    </x:row>
    <x:row r="524" ht="46" customHeight="1">
      <x:c r="A524" s="25" t="str">
        <x:v>Job actual min</x:v>
      </x:c>
      <x:c r="B524" s="25" t="str">
        <x:v>_Run Benchmarks</x:v>
      </x:c>
      <x:c r="C524" s="25" t="str">
        <x:v>DIVIDE(SELECTEDVALUE('rpt_job_run_summary'[job_duration_seconds]),60)</x:v>
      </x:c>
      <x:c r="D524" s="25" t="str">
        <x:v>monitoring.rpt_job_run_summary</x:v>
      </x:c>
      <x:c r="E524" s="25" t="str">
        <x:v>Job &amp; Step Timelines; Load Calendar</x:v>
      </x:c>
      <x:c r="F524" s="25" t="str">
        <x:v>No requirement mapping asserted</x:v>
      </x:c>
      <x:c r="G524" s="25" t="str">
        <x:v>06_reports.py:141</x:v>
      </x:c>
      <x:c r="H524" s="25" t="str">
        <x:v>Saved definition only; includes display/selector helpers. Not an accepted business KPI or proof of runtime/DR/SLA.</x:v>
      </x:c>
      <x:c r="I524" s="25" t="str">
        <x:v>SM WMPP Mission Control Import/SM WMPP Mission Control.SemanticModel/definition/tables/_Run Benchmarks.tmdl:79
Full code: KPI_CALCULATION_TRACEABILITY.md</x:v>
      </x:c>
    </x:row>
    <x:row r="525" ht="124" customHeight="1">
      <x:c r="A525" s="25" t="str">
        <x:v>Job comparison</x:v>
      </x:c>
      <x:c r="B525" s="25" t="str">
        <x:v>_Run Benchmarks</x:v>
      </x:c>
      <x:c r="C525" s="25" t="str">
        <x:v>VAR n=[Job baseline n]
			VAR actual=[Job actual min]
			RETURN SWITCH(TRUE(),ISBLANK(n),"Select one job",n&lt;5,"Insufficient history",ISBLANK(actual),"No duration recorded",actual&lt;[Job prior p25 min],"Below prior P25",actual&gt;[Job prior p75 min],"Above prior P75","Within prior IQR")</x:v>
      </x:c>
      <x:c r="D525" s="25" t="str">
        <x:v>Load Calendar (local/calculated model object; no direct notebook producer asserted); monitoring.rpt_job_run_summary</x:v>
      </x:c>
      <x:c r="E525" s="25" t="str">
        <x:v>Job &amp; Step Timelines; Load Calendar</x:v>
      </x:c>
      <x:c r="F525" s="25" t="str">
        <x:v>No requirement mapping asserted</x:v>
      </x:c>
      <x:c r="G525" s="25" t="str">
        <x:v>06_reports.py:141</x:v>
      </x:c>
      <x:c r="H525" s="25" t="str">
        <x:v>Saved definition only; includes display/selector helpers. Not an accepted business KPI or proof of runtime/DR/SLA.</x:v>
      </x:c>
      <x:c r="I525" s="25" t="str">
        <x:v>SM WMPP Mission Control Import/SM WMPP Mission Control.SemanticModel/definition/tables/_Run Benchmarks.tmdl:84
Full code: KPI_CALCULATION_TRACEABILITY.md</x:v>
      </x:c>
    </x:row>
    <x:row r="526" ht="384" customHeight="1">
      <x:c r="A526" s="25" t="str">
        <x:v>Step baseline n</x:v>
      </x:c>
      <x:c r="B526" s="25" t="str">
        <x:v>_Run Benchmarks</x:v>
      </x:c>
      <x:c r="C526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ISBLANK('rpt_job_step_timing'[ended_at]) &amp;&amp; 'rpt_job_step_timing'[ended_at]&gt;='rpt_job_step_timing'[started_at]
			    &amp;&amp; NOT ISBLANK('rpt_job_step_timing'[step_durat
[excerpt; full exact logic in KPI_CALCULATION_TRACEABILITY.md]</x:v>
      </x:c>
      <x:c r="D526" s="25" t="str">
        <x:v>Load Calendar (local/calculated model object; no direct notebook producer asserted); monitoring.rpt_job_run_summary; monitoring.rpt_job_step_timing</x:v>
      </x:c>
      <x:c r="E526" s="25" t="str">
        <x:v>Job &amp; Step Timelines</x:v>
      </x:c>
      <x:c r="F526" s="25" t="str">
        <x:v>No requirement mapping asserted</x:v>
      </x:c>
      <x:c r="G526" s="25" t="str">
        <x:v>06_reports.py:141; 06_reports.py:45</x:v>
      </x:c>
      <x:c r="H526" s="25" t="str">
        <x:v>Saved definition only; includes display/selector helpers. Not an accepted business KPI or proof of runtime/DR/SLA.</x:v>
      </x:c>
      <x:c r="I526" s="25" t="str">
        <x:v>SM WMPP Mission Control Import/SM WMPP Mission Control.SemanticModel/definition/tables/_Run Benchmarks.tmdl:91
Full code: KPI_CALCULATION_TRACEABILITY.md</x:v>
      </x:c>
    </x:row>
    <x:row r="527" ht="384" customHeight="1">
      <x:c r="A527" s="25" t="str">
        <x:v>Step prior mean min</x:v>
      </x:c>
      <x:c r="B527" s="25" t="str">
        <x:v>_Run Benchmarks</x:v>
      </x:c>
      <x:c r="C527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ISBLANK('rpt_job_step_timing'[ended_at]) &amp;&amp; 'rpt_job_step_timing'[ended_at]&gt;='rpt_job_step_timing'[started_at]
			    &amp;&amp; NOT ISBLANK('rpt_job_step_timing'[step_durat
[excerpt; full exact logic in KPI_CALCULATION_TRACEABILITY.md]</x:v>
      </x:c>
      <x:c r="D527" s="25" t="str">
        <x:v>Load Calendar (local/calculated model object; no direct notebook producer asserted); monitoring.rpt_job_run_summary; monitoring.rpt_job_step_timing</x:v>
      </x:c>
      <x:c r="E527" s="25" t="str">
        <x:v>Job &amp; Step Timelines</x:v>
      </x:c>
      <x:c r="F527" s="25" t="str">
        <x:v>No requirement mapping asserted</x:v>
      </x:c>
      <x:c r="G527" s="25" t="str">
        <x:v>06_reports.py:141; 06_reports.py:45</x:v>
      </x:c>
      <x:c r="H527" s="25" t="str">
        <x:v>Saved definition only; includes display/selector helpers. Not an accepted business KPI or proof of runtime/DR/SLA.</x:v>
      </x:c>
      <x:c r="I527" s="25" t="str">
        <x:v>SM WMPP Mission Control Import/SM WMPP Mission Control.SemanticModel/definition/tables/_Run Benchmarks.tmdl:108
Full code: KPI_CALCULATION_TRACEABILITY.md</x:v>
      </x:c>
    </x:row>
    <x:row r="528" ht="384" customHeight="1">
      <x:c r="A528" s="25" t="str">
        <x:v>Step prior median min</x:v>
      </x:c>
      <x:c r="B528" s="25" t="str">
        <x:v>_Run Benchmarks</x:v>
      </x:c>
      <x:c r="C528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ISBLANK('rpt_job_step_timing'[ended_at]) &amp;&amp; 'rpt_job_step_timing'[ended_at]&gt;='rpt_job_step_timing'[started_at]
			    &amp;&amp; NOT ISBLANK('rpt_job_step_timing'[step_durat
[excerpt; full exact logic in KPI_CALCULATION_TRACEABILITY.md]</x:v>
      </x:c>
      <x:c r="D528" s="25" t="str">
        <x:v>Load Calendar (local/calculated model object; no direct notebook producer asserted); monitoring.rpt_job_run_summary; monitoring.rpt_job_step_timing</x:v>
      </x:c>
      <x:c r="E528" s="25" t="str">
        <x:v>Job &amp; Step Timelines</x:v>
      </x:c>
      <x:c r="F528" s="25" t="str">
        <x:v>No requirement mapping asserted</x:v>
      </x:c>
      <x:c r="G528" s="25" t="str">
        <x:v>06_reports.py:141; 06_reports.py:45</x:v>
      </x:c>
      <x:c r="H528" s="25" t="str">
        <x:v>Saved definition only; includes display/selector helpers. Not an accepted business KPI or proof of runtime/DR/SLA.</x:v>
      </x:c>
      <x:c r="I528" s="25" t="str">
        <x:v>SM WMPP Mission Control Import/SM WMPP Mission Control.SemanticModel/definition/tables/_Run Benchmarks.tmdl:125
Full code: KPI_CALCULATION_TRACEABILITY.md</x:v>
      </x:c>
    </x:row>
    <x:row r="529" ht="384" customHeight="1">
      <x:c r="A529" s="25" t="str">
        <x:v>Step prior p25 min</x:v>
      </x:c>
      <x:c r="B529" s="25" t="str">
        <x:v>_Run Benchmarks</x:v>
      </x:c>
      <x:c r="C529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ISBLANK('rpt_job_step_timing'[ended_at]) &amp;&amp; 'rpt_job_step_timing'[ended_at]&gt;='rpt_job_step_timing'[started_at]
			    &amp;&amp; NOT ISBLANK('rpt_job_step_timing'[step_durat
[excerpt; full exact logic in KPI_CALCULATION_TRACEABILITY.md]</x:v>
      </x:c>
      <x:c r="D529" s="25" t="str">
        <x:v>Load Calendar (local/calculated model object; no direct notebook producer asserted); monitoring.rpt_job_run_summary; monitoring.rpt_job_step_timing</x:v>
      </x:c>
      <x:c r="E529" s="25" t="str">
        <x:v>Job &amp; Step Timelines</x:v>
      </x:c>
      <x:c r="F529" s="25" t="str">
        <x:v>No requirement mapping asserted</x:v>
      </x:c>
      <x:c r="G529" s="25" t="str">
        <x:v>06_reports.py:141; 06_reports.py:45</x:v>
      </x:c>
      <x:c r="H529" s="25" t="str">
        <x:v>Saved definition only; includes display/selector helpers. Not an accepted business KPI or proof of runtime/DR/SLA.</x:v>
      </x:c>
      <x:c r="I529" s="25" t="str">
        <x:v>SM WMPP Mission Control Import/SM WMPP Mission Control.SemanticModel/definition/tables/_Run Benchmarks.tmdl:142
Full code: KPI_CALCULATION_TRACEABILITY.md</x:v>
      </x:c>
    </x:row>
    <x:row r="530" ht="384" customHeight="1">
      <x:c r="A530" s="25" t="str">
        <x:v>Step prior p75 min</x:v>
      </x:c>
      <x:c r="B530" s="25" t="str">
        <x:v>_Run Benchmarks</x:v>
      </x:c>
      <x:c r="C530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ISBLANK('rpt_job_step_timing'[ended_at]) &amp;&amp; 'rpt_job_step_timing'[ended_at]&gt;='rpt_job_step_timing'[started_at]
			    &amp;&amp; NOT ISBLANK('rpt_job_step_timing'[step_durat
[excerpt; full exact logic in KPI_CALCULATION_TRACEABILITY.md]</x:v>
      </x:c>
      <x:c r="D530" s="25" t="str">
        <x:v>Load Calendar (local/calculated model object; no direct notebook producer asserted); monitoring.rpt_job_run_summary; monitoring.rpt_job_step_timing</x:v>
      </x:c>
      <x:c r="E530" s="25" t="str">
        <x:v>Job &amp; Step Timelines</x:v>
      </x:c>
      <x:c r="F530" s="25" t="str">
        <x:v>No requirement mapping asserted</x:v>
      </x:c>
      <x:c r="G530" s="25" t="str">
        <x:v>06_reports.py:141; 06_reports.py:45</x:v>
      </x:c>
      <x:c r="H530" s="25" t="str">
        <x:v>Saved definition only; includes display/selector helpers. Not an accepted business KPI or proof of runtime/DR/SLA.</x:v>
      </x:c>
      <x:c r="I530" s="25" t="str">
        <x:v>SM WMPP Mission Control Import/SM WMPP Mission Control.SemanticModel/definition/tables/_Run Benchmarks.tmdl:159
Full code: KPI_CALCULATION_TRACEABILITY.md</x:v>
      </x:c>
    </x:row>
    <x:row r="531" ht="46" customHeight="1">
      <x:c r="A531" s="25" t="str">
        <x:v>Step actual min</x:v>
      </x:c>
      <x:c r="B531" s="25" t="str">
        <x:v>_Run Benchmarks</x:v>
      </x:c>
      <x:c r="C531" s="25" t="str">
        <x:v>DIVIDE(SELECTEDVALUE('rpt_job_step_timing'[step_duration_seconds]),60)</x:v>
      </x:c>
      <x:c r="D531" s="25" t="str">
        <x:v>monitoring.rpt_job_step_timing</x:v>
      </x:c>
      <x:c r="E531" s="25" t="str">
        <x:v>Job &amp; Step Timelines</x:v>
      </x:c>
      <x:c r="F531" s="25" t="str">
        <x:v>No requirement mapping asserted</x:v>
      </x:c>
      <x:c r="G531" s="25" t="str">
        <x:v>06_reports.py:45</x:v>
      </x:c>
      <x:c r="H531" s="25" t="str">
        <x:v>Saved definition only; includes display/selector helpers. Not an accepted business KPI or proof of runtime/DR/SLA.</x:v>
      </x:c>
      <x:c r="I531" s="25" t="str">
        <x:v>SM WMPP Mission Control Import/SM WMPP Mission Control.SemanticModel/definition/tables/_Run Benchmarks.tmdl:176
Full code: KPI_CALCULATION_TRACEABILITY.md</x:v>
      </x:c>
    </x:row>
    <x:row r="532" ht="124" customHeight="1">
      <x:c r="A532" s="25" t="str">
        <x:v>Step comparison</x:v>
      </x:c>
      <x:c r="B532" s="25" t="str">
        <x:v>_Run Benchmarks</x:v>
      </x:c>
      <x:c r="C532" s="25" t="str">
        <x:v>VAR n=[Step baseline n]
			VAR actual=[Step actual min]
			RETURN SWITCH(TRUE(),ISBLANK(n),"Select one step",n&lt;5,"Insufficient history",ISBLANK(actual),"No duration recorded",actual&lt;[Step prior p25 min],"Below prior P25",actual&gt;[Step prior p75 min],"Above prior P75","Within prior IQR")</x:v>
      </x:c>
      <x:c r="D532" s="25" t="str">
        <x:v>Load Calendar (local/calculated model object; no direct notebook producer asserted); monitoring.rpt_job_run_summary; monitoring.rpt_job_step_timing</x:v>
      </x:c>
      <x:c r="E532" s="25" t="str">
        <x:v>Job &amp; Step Timelines</x:v>
      </x:c>
      <x:c r="F532" s="25" t="str">
        <x:v>No requirement mapping asserted</x:v>
      </x:c>
      <x:c r="G532" s="25" t="str">
        <x:v>06_reports.py:141; 06_reports.py:45</x:v>
      </x:c>
      <x:c r="H532" s="25" t="str">
        <x:v>Saved definition only; includes display/selector helpers. Not an accepted business KPI or proof of runtime/DR/SLA.</x:v>
      </x:c>
      <x:c r="I532" s="25" t="str">
        <x:v>SM WMPP Mission Control Import/SM WMPP Mission Control.SemanticModel/definition/tables/_Run Benchmarks.tmdl:181
Full code: KPI_CALCULATION_TRACEABILITY.md</x:v>
      </x:c>
    </x:row>
    <x:row r="533" ht="46" customHeight="1">
      <x:c r="A533" s="25" t="str">
        <x:v>Single calendar day</x:v>
      </x:c>
      <x:c r="B533" s="25" t="str">
        <x:v>_Run Benchmarks</x:v>
      </x:c>
      <x:c r="C533" s="25" t="str">
        <x:v>IF(HASONEVALUE('Load Calendar'[Date]),1,0)</x:v>
      </x:c>
      <x:c r="D533" s="25" t="str">
        <x:v>Load Calendar (local/calculated model object; no direct notebook producer asserted)</x:v>
      </x:c>
      <x:c r="E533" s="25" t="str">
        <x:v>Job &amp; Step Timelines; Load Calendar</x:v>
      </x:c>
      <x:c r="F533" s="25" t="str">
        <x:v>No requirement mapping asserted</x:v>
      </x:c>
      <x:c r="G533" s="25" t="str">
        <x:v>Local semantic calculation; inspect dependencies</x:v>
      </x:c>
      <x:c r="H533" s="25" t="str">
        <x:v>Saved definition only; includes display/selector helpers. Not an accepted business KPI or proof of runtime/DR/SLA.</x:v>
      </x:c>
      <x:c r="I533" s="25" t="str">
        <x:v>SM WMPP Mission Control Import/SM WMPP Mission Control.SemanticModel/definition/tables/_Run Benchmarks.tmdl:188
Full code: KPI_CALCULATION_TRACEABILITY.md</x:v>
      </x:c>
    </x:row>
    <x:row r="536" ht="25" customHeight="1">
      <x:c r="A536" s="22" t="str">
        <x:v>Current business semantic-model inventory</x:v>
      </x:c>
      <x:c r="B536" s="22"/>
      <x:c r="C536" s="22"/>
      <x:c r="D536" s="22"/>
      <x:c r="E536" s="22"/>
      <x:c r="F536" s="22"/>
      <x:c r="G536" s="22"/>
      <x:c r="H536" s="22"/>
      <x:c r="I536" s="22"/>
    </x:row>
    <x:row r="537" ht="35" customHeight="1">
      <x:c r="A537" s="27" t="str">
        <x:v>Model table</x:v>
      </x:c>
      <x:c r="B537" s="27" t="str">
        <x:v>Source schema / kind</x:v>
      </x:c>
      <x:c r="C537" s="27" t="str">
        <x:v>Source object</x:v>
      </x:c>
      <x:c r="D537" s="27" t="str">
        <x:v>Column definitions</x:v>
      </x:c>
      <x:c r="E537" s="27" t="str">
        <x:v>Partition interpretation</x:v>
      </x:c>
      <x:c r="F537" s="27" t="str">
        <x:v>Definition member</x:v>
      </x:c>
      <x:c r="G537" s="27" t="str">
        <x:v>Assessment date</x:v>
      </x:c>
      <x:c r="H537" s="27" t="str">
        <x:v>Source commit</x:v>
      </x:c>
      <x:c r="I537" s="27" t="str">
        <x:v>Boundary</x:v>
      </x:c>
    </x:row>
    <x:row r="538" ht="46" customHeight="1">
      <x:c r="A538" s="25" t="str">
        <x:v>_Design Measures</x:v>
      </x:c>
      <x:c r="B538" s="25" t="str">
        <x:v>Local / embedded / calculated</x:v>
      </x:c>
      <x:c r="C538" s="25" t="str">
        <x:v>No direct physical partition asserted</x:v>
      </x:c>
      <x:c r="D538" s="25" t="n">
        <x:v>0</x:v>
      </x:c>
      <x:c r="E538" s="25" t="str">
        <x:v>Model helper/reference; not a physical Gold table</x:v>
      </x:c>
      <x:c r="F538" s="25" t="str">
        <x:v>SM WMPP v16 updated WIP/SM_WMPP_v16.SemanticModel/definition/tables/_Design Measures.tmdl</x:v>
      </x:c>
      <x:c r="G538" s="25" t="str">
        <x:v>17 October 2026</x:v>
      </x:c>
      <x:c r="H538" s="25" t="str">
        <x:v>0a65e962ff3a</x:v>
      </x:c>
      <x:c r="I538" s="25" t="str">
        <x:v>Saved structure only; not source population or client acceptance</x:v>
      </x:c>
    </x:row>
    <x:row r="539" ht="46" customHeight="1">
      <x:c r="A539" s="25" t="str">
        <x:v>_Explore Measures</x:v>
      </x:c>
      <x:c r="B539" s="25" t="str">
        <x:v>Local / embedded / calculated</x:v>
      </x:c>
      <x:c r="C539" s="25" t="str">
        <x:v>No direct physical partition asserted</x:v>
      </x:c>
      <x:c r="D539" s="25" t="n">
        <x:v>0</x:v>
      </x:c>
      <x:c r="E539" s="25" t="str">
        <x:v>Model helper/reference; not a physical Gold table</x:v>
      </x:c>
      <x:c r="F539" s="25" t="str">
        <x:v>SM WMPP v16 updated WIP/SM_WMPP_v16.SemanticModel/definition/tables/_Explore Measures.tmdl</x:v>
      </x:c>
      <x:c r="G539" s="25" t="str">
        <x:v>17 October 2026</x:v>
      </x:c>
      <x:c r="H539" s="25" t="str">
        <x:v>0a65e962ff3a</x:v>
      </x:c>
      <x:c r="I539" s="25" t="str">
        <x:v>Saved structure only; not source population or client acceptance</x:v>
      </x:c>
    </x:row>
    <x:row r="540" ht="59" customHeight="1">
      <x:c r="A540" s="25" t="str">
        <x:v>_Explorer KPI Measures</x:v>
      </x:c>
      <x:c r="B540" s="25" t="str">
        <x:v>Local / embedded / calculated</x:v>
      </x:c>
      <x:c r="C540" s="25" t="str">
        <x:v>No direct physical partition asserted</x:v>
      </x:c>
      <x:c r="D540" s="25" t="n">
        <x:v>0</x:v>
      </x:c>
      <x:c r="E540" s="25" t="str">
        <x:v>Model helper/reference; not a physical Gold table</x:v>
      </x:c>
      <x:c r="F540" s="25" t="str">
        <x:v>SM WMPP v16 updated WIP/SM_WMPP_v16.SemanticModel/definition/tables/_Explorer KPI Measures.tmdl</x:v>
      </x:c>
      <x:c r="G540" s="25" t="str">
        <x:v>17 October 2026</x:v>
      </x:c>
      <x:c r="H540" s="25" t="str">
        <x:v>0a65e962ff3a</x:v>
      </x:c>
      <x:c r="I540" s="25" t="str">
        <x:v>Saved structure only; not source population or client acceptance</x:v>
      </x:c>
    </x:row>
    <x:row r="541" ht="46" customHeight="1">
      <x:c r="A541" s="25" t="str">
        <x:v>_Journey Interaction</x:v>
      </x:c>
      <x:c r="B541" s="25" t="str">
        <x:v>Local / embedded / calculated</x:v>
      </x:c>
      <x:c r="C541" s="25" t="str">
        <x:v>No direct physical partition asserted</x:v>
      </x:c>
      <x:c r="D541" s="25" t="n">
        <x:v>0</x:v>
      </x:c>
      <x:c r="E541" s="25" t="str">
        <x:v>Model helper/reference; not a physical Gold table</x:v>
      </x:c>
      <x:c r="F541" s="25" t="str">
        <x:v>SM WMPP v16 updated WIP/SM_WMPP_v16.SemanticModel/definition/tables/_Journey Interaction.tmdl</x:v>
      </x:c>
      <x:c r="G541" s="25" t="str">
        <x:v>17 October 2026</x:v>
      </x:c>
      <x:c r="H541" s="25" t="str">
        <x:v>0a65e962ff3a</x:v>
      </x:c>
      <x:c r="I541" s="25" t="str">
        <x:v>Saved structure only; not source population or client acceptance</x:v>
      </x:c>
    </x:row>
    <x:row r="542" ht="46" customHeight="1">
      <x:c r="A542" s="25" t="str">
        <x:v>_Journey Measures</x:v>
      </x:c>
      <x:c r="B542" s="25" t="str">
        <x:v>Local / embedded / calculated</x:v>
      </x:c>
      <x:c r="C542" s="25" t="str">
        <x:v>No direct physical partition asserted</x:v>
      </x:c>
      <x:c r="D542" s="25" t="n">
        <x:v>0</x:v>
      </x:c>
      <x:c r="E542" s="25" t="str">
        <x:v>Model helper/reference; not a physical Gold table</x:v>
      </x:c>
      <x:c r="F542" s="25" t="str">
        <x:v>SM WMPP v16 updated WIP/SM_WMPP_v16.SemanticModel/definition/tables/_Journey Measures.tmdl</x:v>
      </x:c>
      <x:c r="G542" s="25" t="str">
        <x:v>17 October 2026</x:v>
      </x:c>
      <x:c r="H542" s="25" t="str">
        <x:v>0a65e962ff3a</x:v>
      </x:c>
      <x:c r="I542" s="25" t="str">
        <x:v>Saved structure only; not source population or client acceptance</x:v>
      </x:c>
    </x:row>
    <x:row r="543" ht="46" customHeight="1">
      <x:c r="A543" s="25" t="str">
        <x:v>_Measures</x:v>
      </x:c>
      <x:c r="B543" s="25" t="str">
        <x:v>Local / embedded / calculated</x:v>
      </x:c>
      <x:c r="C543" s="25" t="str">
        <x:v>No direct physical partition asserted</x:v>
      </x:c>
      <x:c r="D543" s="25" t="n">
        <x:v>0</x:v>
      </x:c>
      <x:c r="E543" s="25" t="str">
        <x:v>Model helper/reference; not a physical Gold table</x:v>
      </x:c>
      <x:c r="F543" s="25" t="str">
        <x:v>SM WMPP v16 updated WIP/SM_WMPP_v16.SemanticModel/definition/tables/_Measures.tmdl</x:v>
      </x:c>
      <x:c r="G543" s="25" t="str">
        <x:v>17 October 2026</x:v>
      </x:c>
      <x:c r="H543" s="25" t="str">
        <x:v>0a65e962ff3a</x:v>
      </x:c>
      <x:c r="I543" s="25" t="str">
        <x:v>Saved structure only; not source population or client acceptance</x:v>
      </x:c>
    </x:row>
    <x:row r="544" ht="59" customHeight="1">
      <x:c r="A544" s="25" t="str">
        <x:v>_Provider Detail Measures</x:v>
      </x:c>
      <x:c r="B544" s="25" t="str">
        <x:v>Local / embedded / calculated</x:v>
      </x:c>
      <x:c r="C544" s="25" t="str">
        <x:v>No direct physical partition asserted</x:v>
      </x:c>
      <x:c r="D544" s="25" t="n">
        <x:v>0</x:v>
      </x:c>
      <x:c r="E544" s="25" t="str">
        <x:v>Model helper/reference; not a physical Gold table</x:v>
      </x:c>
      <x:c r="F544" s="25" t="str">
        <x:v>SM WMPP v16 updated WIP/SM_WMPP_v16.SemanticModel/definition/tables/_Provider Detail Measures.tmdl</x:v>
      </x:c>
      <x:c r="G544" s="25" t="str">
        <x:v>17 October 2026</x:v>
      </x:c>
      <x:c r="H544" s="25" t="str">
        <x:v>0a65e962ff3a</x:v>
      </x:c>
      <x:c r="I544" s="25" t="str">
        <x:v>Saved structure only; not source population or client acceptance</x:v>
      </x:c>
    </x:row>
    <x:row r="545" ht="59" customHeight="1">
      <x:c r="A545" s="25" t="str">
        <x:v>_Report Journey Measures</x:v>
      </x:c>
      <x:c r="B545" s="25" t="str">
        <x:v>Local / embedded / calculated</x:v>
      </x:c>
      <x:c r="C545" s="25" t="str">
        <x:v>No direct physical partition asserted</x:v>
      </x:c>
      <x:c r="D545" s="25" t="n">
        <x:v>0</x:v>
      </x:c>
      <x:c r="E545" s="25" t="str">
        <x:v>Model helper/reference; not a physical Gold table</x:v>
      </x:c>
      <x:c r="F545" s="25" t="str">
        <x:v>SM WMPP v16 updated WIP/SM_WMPP_v16.SemanticModel/definition/tables/_Report Journey Measures.tmdl</x:v>
      </x:c>
      <x:c r="G545" s="25" t="str">
        <x:v>17 October 2026</x:v>
      </x:c>
      <x:c r="H545" s="25" t="str">
        <x:v>0a65e962ff3a</x:v>
      </x:c>
      <x:c r="I545" s="25" t="str">
        <x:v>Saved structure only; not source population or client acceptance</x:v>
      </x:c>
    </x:row>
    <x:row r="546" ht="46" customHeight="1">
      <x:c r="A546" s="25" t="str">
        <x:v>_Story Measures</x:v>
      </x:c>
      <x:c r="B546" s="25" t="str">
        <x:v>Local / embedded / calculated</x:v>
      </x:c>
      <x:c r="C546" s="25" t="str">
        <x:v>No direct physical partition asserted</x:v>
      </x:c>
      <x:c r="D546" s="25" t="n">
        <x:v>0</x:v>
      </x:c>
      <x:c r="E546" s="25" t="str">
        <x:v>Model helper/reference; not a physical Gold table</x:v>
      </x:c>
      <x:c r="F546" s="25" t="str">
        <x:v>SM WMPP v16 updated WIP/SM_WMPP_v16.SemanticModel/definition/tables/_Story Measures.tmdl</x:v>
      </x:c>
      <x:c r="G546" s="25" t="str">
        <x:v>17 October 2026</x:v>
      </x:c>
      <x:c r="H546" s="25" t="str">
        <x:v>0a65e962ff3a</x:v>
      </x:c>
      <x:c r="I546" s="25" t="str">
        <x:v>Saved structure only; not source population or client acceptance</x:v>
      </x:c>
    </x:row>
    <x:row r="547" ht="59" customHeight="1">
      <x:c r="A547" s="25" t="str">
        <x:v>bridge_provider_framework</x:v>
      </x:c>
      <x:c r="B547" s="25" t="str">
        <x:v>gold</x:v>
      </x:c>
      <x:c r="C547" s="25" t="str">
        <x:v>bridge_provider_framework</x:v>
      </x:c>
      <x:c r="D547" s="25" t="n">
        <x:v>7</x:v>
      </x:c>
      <x:c r="E547" s="25" t="str">
        <x:v>Import; source availability/refresh unverified</x:v>
      </x:c>
      <x:c r="F547" s="25" t="str">
        <x:v>SM WMPP v16 updated WIP/SM_WMPP_v16.SemanticModel/definition/tables/bridge_provider_framework.tmdl</x:v>
      </x:c>
      <x:c r="G547" s="25" t="str">
        <x:v>17 October 2026</x:v>
      </x:c>
      <x:c r="H547" s="25" t="str">
        <x:v>0a65e962ff3a</x:v>
      </x:c>
      <x:c r="I547" s="25" t="str">
        <x:v>Saved structure only; not source population or client acceptance</x:v>
      </x:c>
    </x:row>
    <x:row r="548" ht="59" customHeight="1">
      <x:c r="A548" s="25" t="str">
        <x:v>bridge_provider_home_framework_category</x:v>
      </x:c>
      <x:c r="B548" s="25" t="str">
        <x:v>gold</x:v>
      </x:c>
      <x:c r="C548" s="25" t="str">
        <x:v>bridge_provider_home_framework_category</x:v>
      </x:c>
      <x:c r="D548" s="25" t="n">
        <x:v>6</x:v>
      </x:c>
      <x:c r="E548" s="25" t="str">
        <x:v>Import; source availability/refresh unverified</x:v>
      </x:c>
      <x:c r="F548" s="25" t="str">
        <x:v>SM WMPP v16 updated WIP/SM_WMPP_v16.SemanticModel/definition/tables/bridge_provider_home_framework_category.tmdl</x:v>
      </x:c>
      <x:c r="G548" s="25" t="str">
        <x:v>17 October 2026</x:v>
      </x:c>
      <x:c r="H548" s="25" t="str">
        <x:v>0a65e962ff3a</x:v>
      </x:c>
      <x:c r="I548" s="25" t="str">
        <x:v>Saved structure only; not source population or client acceptance</x:v>
      </x:c>
    </x:row>
    <x:row r="549" ht="59" customHeight="1">
      <x:c r="A549" s="25" t="str">
        <x:v>bridge_provider_sic_code</x:v>
      </x:c>
      <x:c r="B549" s="25" t="str">
        <x:v>gold</x:v>
      </x:c>
      <x:c r="C549" s="25" t="str">
        <x:v>bridge_provider_sic_code</x:v>
      </x:c>
      <x:c r="D549" s="25" t="n">
        <x:v>5</x:v>
      </x:c>
      <x:c r="E549" s="25" t="str">
        <x:v>Import; source availability/refresh unverified</x:v>
      </x:c>
      <x:c r="F549" s="25" t="str">
        <x:v>SM WMPP v16 updated WIP/SM_WMPP_v16.SemanticModel/definition/tables/bridge_provider_sic_code.tmdl</x:v>
      </x:c>
      <x:c r="G549" s="25" t="str">
        <x:v>17 October 2026</x:v>
      </x:c>
      <x:c r="H549" s="25" t="str">
        <x:v>0a65e962ff3a</x:v>
      </x:c>
      <x:c r="I549" s="25" t="str">
        <x:v>Saved structure only; not source population or client acceptance</x:v>
      </x:c>
    </x:row>
    <x:row r="550" ht="59" customHeight="1">
      <x:c r="A550" s="25" t="str">
        <x:v>bridge_referral_framework_category</x:v>
      </x:c>
      <x:c r="B550" s="25" t="str">
        <x:v>gold</x:v>
      </x:c>
      <x:c r="C550" s="25" t="str">
        <x:v>bridge_referral_framework_category</x:v>
      </x:c>
      <x:c r="D550" s="25" t="n">
        <x:v>5</x:v>
      </x:c>
      <x:c r="E550" s="25" t="str">
        <x:v>Import; source availability/refresh unverified</x:v>
      </x:c>
      <x:c r="F550" s="25" t="str">
        <x:v>SM WMPP v16 updated WIP/SM_WMPP_v16.SemanticModel/definition/tables/bridge_referral_framework_category.tmdl</x:v>
      </x:c>
      <x:c r="G550" s="25" t="str">
        <x:v>17 October 2026</x:v>
      </x:c>
      <x:c r="H550" s="25" t="str">
        <x:v>0a65e962ff3a</x:v>
      </x:c>
      <x:c r="I550" s="25" t="str">
        <x:v>Saved structure only; not source population or client acceptance</x:v>
      </x:c>
    </x:row>
    <x:row r="551" ht="59" customHeight="1">
      <x:c r="A551" s="25" t="str">
        <x:v>bridge_referral_scope</x:v>
      </x:c>
      <x:c r="B551" s="25" t="str">
        <x:v>gold</x:v>
      </x:c>
      <x:c r="C551" s="25" t="str">
        <x:v>bridge_referral_scope</x:v>
      </x:c>
      <x:c r="D551" s="25" t="n">
        <x:v>9</x:v>
      </x:c>
      <x:c r="E551" s="25" t="str">
        <x:v>Import; source availability/refresh unverified</x:v>
      </x:c>
      <x:c r="F551" s="25" t="str">
        <x:v>SM WMPP v16 updated WIP/SM_WMPP_v16.SemanticModel/definition/tables/bridge_referral_scope.tmdl</x:v>
      </x:c>
      <x:c r="G551" s="25" t="str">
        <x:v>17 October 2026</x:v>
      </x:c>
      <x:c r="H551" s="25" t="str">
        <x:v>0a65e962ff3a</x:v>
      </x:c>
      <x:c r="I551" s="25" t="str">
        <x:v>Saved structure only; not source population or client acceptance</x:v>
      </x:c>
    </x:row>
    <x:row r="552" ht="59" customHeight="1">
      <x:c r="A552" s="25" t="str">
        <x:v>Dashboard Metric Selector</x:v>
      </x:c>
      <x:c r="B552" s="25" t="str">
        <x:v>Local / embedded / calculated</x:v>
      </x:c>
      <x:c r="C552" s="25" t="str">
        <x:v>No direct physical partition asserted</x:v>
      </x:c>
      <x:c r="D552" s="25" t="n">
        <x:v>3</x:v>
      </x:c>
      <x:c r="E552" s="25" t="str">
        <x:v>Model helper/reference; not a physical Gold table</x:v>
      </x:c>
      <x:c r="F552" s="25" t="str">
        <x:v>SM WMPP v16 updated WIP/SM_WMPP_v16.SemanticModel/definition/tables/Dashboard Metric Selector.tmdl</x:v>
      </x:c>
      <x:c r="G552" s="25" t="str">
        <x:v>17 October 2026</x:v>
      </x:c>
      <x:c r="H552" s="25" t="str">
        <x:v>0a65e962ff3a</x:v>
      </x:c>
      <x:c r="I552" s="25" t="str">
        <x:v>Saved structure only; not source population or client acceptance</x:v>
      </x:c>
    </x:row>
    <x:row r="553" ht="46" customHeight="1">
      <x:c r="A553" s="25" t="str">
        <x:v>Days to Target</x:v>
      </x:c>
      <x:c r="B553" s="25" t="str">
        <x:v>Local / embedded / calculated</x:v>
      </x:c>
      <x:c r="C553" s="25" t="str">
        <x:v>No direct physical partition asserted</x:v>
      </x:c>
      <x:c r="D553" s="25" t="n">
        <x:v>2</x:v>
      </x:c>
      <x:c r="E553" s="25" t="str">
        <x:v>Model helper/reference; not a physical Gold table</x:v>
      </x:c>
      <x:c r="F553" s="25" t="str">
        <x:v>SM WMPP v16 updated WIP/SM_WMPP_v16.SemanticModel/definition/tables/Days to Target.tmdl</x:v>
      </x:c>
      <x:c r="G553" s="25" t="str">
        <x:v>17 October 2026</x:v>
      </x:c>
      <x:c r="H553" s="25" t="str">
        <x:v>0a65e962ff3a</x:v>
      </x:c>
      <x:c r="I553" s="25" t="str">
        <x:v>Saved structure only; not source population or client acceptance</x:v>
      </x:c>
    </x:row>
    <x:row r="554" ht="46" customHeight="1">
      <x:c r="A554" s="25" t="str">
        <x:v>dim_category</x:v>
      </x:c>
      <x:c r="B554" s="25" t="str">
        <x:v>gold</x:v>
      </x:c>
      <x:c r="C554" s="25" t="str">
        <x:v>dim_framework_category</x:v>
      </x:c>
      <x:c r="D554" s="25" t="n">
        <x:v>11</x:v>
      </x:c>
      <x:c r="E554" s="25" t="str">
        <x:v>Import; source availability/refresh unverified</x:v>
      </x:c>
      <x:c r="F554" s="25" t="str">
        <x:v>SM WMPP v16 updated WIP/SM_WMPP_v16.SemanticModel/definition/tables/dim_category.tmdl</x:v>
      </x:c>
      <x:c r="G554" s="25" t="str">
        <x:v>17 October 2026</x:v>
      </x:c>
      <x:c r="H554" s="25" t="str">
        <x:v>0a65e962ff3a</x:v>
      </x:c>
      <x:c r="I554" s="25" t="str">
        <x:v>Saved structure only; not source population or client acceptance</x:v>
      </x:c>
    </x:row>
    <x:row r="555" ht="46" customHeight="1">
      <x:c r="A555" s="25" t="str">
        <x:v>dim_date</x:v>
      </x:c>
      <x:c r="B555" s="25" t="str">
        <x:v>gold</x:v>
      </x:c>
      <x:c r="C555" s="25" t="str">
        <x:v>dim_date</x:v>
      </x:c>
      <x:c r="D555" s="25" t="n">
        <x:v>13</x:v>
      </x:c>
      <x:c r="E555" s="25" t="str">
        <x:v>Import; source availability/refresh unverified</x:v>
      </x:c>
      <x:c r="F555" s="25" t="str">
        <x:v>SM WMPP v16 updated WIP/SM_WMPP_v16.SemanticModel/definition/tables/dim_date.tmdl</x:v>
      </x:c>
      <x:c r="G555" s="25" t="str">
        <x:v>17 October 2026</x:v>
      </x:c>
      <x:c r="H555" s="25" t="str">
        <x:v>0a65e962ff3a</x:v>
      </x:c>
      <x:c r="I555" s="25" t="str">
        <x:v>Saved structure only; not source population or client acceptance</x:v>
      </x:c>
    </x:row>
    <x:row r="556" ht="46" customHeight="1">
      <x:c r="A556" s="25" t="str">
        <x:v>dim_framework</x:v>
      </x:c>
      <x:c r="B556" s="25" t="str">
        <x:v>gold</x:v>
      </x:c>
      <x:c r="C556" s="25" t="str">
        <x:v>dim_framework</x:v>
      </x:c>
      <x:c r="D556" s="25" t="n">
        <x:v>9</x:v>
      </x:c>
      <x:c r="E556" s="25" t="str">
        <x:v>Import; source availability/refresh unverified</x:v>
      </x:c>
      <x:c r="F556" s="25" t="str">
        <x:v>SM WMPP v16 updated WIP/SM_WMPP_v16.SemanticModel/definition/tables/dim_framework.tmdl</x:v>
      </x:c>
      <x:c r="G556" s="25" t="str">
        <x:v>17 October 2026</x:v>
      </x:c>
      <x:c r="H556" s="25" t="str">
        <x:v>0a65e962ff3a</x:v>
      </x:c>
      <x:c r="I556" s="25" t="str">
        <x:v>Saved structure only; not source population or client acceptance</x:v>
      </x:c>
    </x:row>
    <x:row r="557" ht="59" customHeight="1">
      <x:c r="A557" s="25" t="str">
        <x:v>dim_framework_category</x:v>
      </x:c>
      <x:c r="B557" s="25" t="str">
        <x:v>gold</x:v>
      </x:c>
      <x:c r="C557" s="25" t="str">
        <x:v>dim_framework_category</x:v>
      </x:c>
      <x:c r="D557" s="25" t="n">
        <x:v>6</x:v>
      </x:c>
      <x:c r="E557" s="25" t="str">
        <x:v>Import; source availability/refresh unverified</x:v>
      </x:c>
      <x:c r="F557" s="25" t="str">
        <x:v>SM WMPP v16 updated WIP/SM_WMPP_v16.SemanticModel/definition/tables/dim_framework_category.tmdl</x:v>
      </x:c>
      <x:c r="G557" s="25" t="str">
        <x:v>17 October 2026</x:v>
      </x:c>
      <x:c r="H557" s="25" t="str">
        <x:v>0a65e962ff3a</x:v>
      </x:c>
      <x:c r="I557" s="25" t="str">
        <x:v>Saved structure only; not source population or client acceptance</x:v>
      </x:c>
    </x:row>
    <x:row r="558" ht="46" customHeight="1">
      <x:c r="A558" s="25" t="str">
        <x:v>dim_offer_status</x:v>
      </x:c>
      <x:c r="B558" s="25" t="str">
        <x:v>gold</x:v>
      </x:c>
      <x:c r="C558" s="25" t="str">
        <x:v>dim_offer_status</x:v>
      </x:c>
      <x:c r="D558" s="25" t="n">
        <x:v>9</x:v>
      </x:c>
      <x:c r="E558" s="25" t="str">
        <x:v>Import; source availability/refresh unverified</x:v>
      </x:c>
      <x:c r="F558" s="25" t="str">
        <x:v>SM WMPP v16 updated WIP/SM_WMPP_v16.SemanticModel/definition/tables/dim_offer_status.tmdl</x:v>
      </x:c>
      <x:c r="G558" s="25" t="str">
        <x:v>17 October 2026</x:v>
      </x:c>
      <x:c r="H558" s="25" t="str">
        <x:v>0a65e962ff3a</x:v>
      </x:c>
      <x:c r="I558" s="25" t="str">
        <x:v>Saved structure only; not source population or client acceptance</x:v>
      </x:c>
    </x:row>
    <x:row r="559" ht="46" customHeight="1">
      <x:c r="A559" s="25" t="str">
        <x:v>dim_person</x:v>
      </x:c>
      <x:c r="B559" s="25" t="str">
        <x:v>gold</x:v>
      </x:c>
      <x:c r="C559" s="25" t="str">
        <x:v>dim_person</x:v>
      </x:c>
      <x:c r="D559" s="25" t="n">
        <x:v>15</x:v>
      </x:c>
      <x:c r="E559" s="25" t="str">
        <x:v>Import; source availability/refresh unverified</x:v>
      </x:c>
      <x:c r="F559" s="25" t="str">
        <x:v>SM WMPP v16 updated WIP/SM_WMPP_v16.SemanticModel/definition/tables/dim_person.tmdl</x:v>
      </x:c>
      <x:c r="G559" s="25" t="str">
        <x:v>17 October 2026</x:v>
      </x:c>
      <x:c r="H559" s="25" t="str">
        <x:v>0a65e962ff3a</x:v>
      </x:c>
      <x:c r="I559" s="25" t="str">
        <x:v>Saved structure only; not source population or client acceptance</x:v>
      </x:c>
    </x:row>
    <x:row r="560" ht="46" customHeight="1">
      <x:c r="A560" s="25" t="str">
        <x:v>dim_placement_type</x:v>
      </x:c>
      <x:c r="B560" s="25" t="str">
        <x:v>gold</x:v>
      </x:c>
      <x:c r="C560" s="25" t="str">
        <x:v>dim_placement_type</x:v>
      </x:c>
      <x:c r="D560" s="25" t="n">
        <x:v>4</x:v>
      </x:c>
      <x:c r="E560" s="25" t="str">
        <x:v>Import; source availability/refresh unverified</x:v>
      </x:c>
      <x:c r="F560" s="25" t="str">
        <x:v>SM WMPP v16 updated WIP/SM_WMPP_v16.SemanticModel/definition/tables/dim_placement_type.tmdl</x:v>
      </x:c>
      <x:c r="G560" s="25" t="str">
        <x:v>17 October 2026</x:v>
      </x:c>
      <x:c r="H560" s="25" t="str">
        <x:v>0a65e962ff3a</x:v>
      </x:c>
      <x:c r="I560" s="25" t="str">
        <x:v>Saved structure only; not source population or client acceptance</x:v>
      </x:c>
    </x:row>
    <x:row r="561" ht="46" customHeight="1">
      <x:c r="A561" s="25" t="str">
        <x:v>dim_provider (offer)</x:v>
      </x:c>
      <x:c r="B561" s="25" t="str">
        <x:v>gold</x:v>
      </x:c>
      <x:c r="C561" s="25" t="str">
        <x:v>dim_provider</x:v>
      </x:c>
      <x:c r="D561" s="25" t="n">
        <x:v>12</x:v>
      </x:c>
      <x:c r="E561" s="25" t="str">
        <x:v>Import; source availability/refresh unverified</x:v>
      </x:c>
      <x:c r="F561" s="25" t="str">
        <x:v>SM WMPP v16 updated WIP/SM_WMPP_v16.SemanticModel/definition/tables/dim_provider (offer).tmdl</x:v>
      </x:c>
      <x:c r="G561" s="25" t="str">
        <x:v>17 October 2026</x:v>
      </x:c>
      <x:c r="H561" s="25" t="str">
        <x:v>0a65e962ff3a</x:v>
      </x:c>
      <x:c r="I561" s="25" t="str">
        <x:v>Saved structure only; not source population or client acceptance</x:v>
      </x:c>
    </x:row>
    <x:row r="562" ht="46" customHeight="1">
      <x:c r="A562" s="25" t="str">
        <x:v>dim_provider</x:v>
      </x:c>
      <x:c r="B562" s="25" t="str">
        <x:v>gold</x:v>
      </x:c>
      <x:c r="C562" s="25" t="str">
        <x:v>dim_provider</x:v>
      </x:c>
      <x:c r="D562" s="25" t="n">
        <x:v>12</x:v>
      </x:c>
      <x:c r="E562" s="25" t="str">
        <x:v>Import; source availability/refresh unverified</x:v>
      </x:c>
      <x:c r="F562" s="25" t="str">
        <x:v>SM WMPP v16 updated WIP/SM_WMPP_v16.SemanticModel/definition/tables/dim_provider.tmdl</x:v>
      </x:c>
      <x:c r="G562" s="25" t="str">
        <x:v>17 October 2026</x:v>
      </x:c>
      <x:c r="H562" s="25" t="str">
        <x:v>0a65e962ff3a</x:v>
      </x:c>
      <x:c r="I562" s="25" t="str">
        <x:v>Saved structure only; not source population or client acceptance</x:v>
      </x:c>
    </x:row>
    <x:row r="563" ht="59" customHeight="1">
      <x:c r="A563" s="25" t="str">
        <x:v>dim_provider_home (offer)</x:v>
      </x:c>
      <x:c r="B563" s="25" t="str">
        <x:v>gold</x:v>
      </x:c>
      <x:c r="C563" s="25" t="str">
        <x:v>dim_provider_home</x:v>
      </x:c>
      <x:c r="D563" s="25" t="n">
        <x:v>15</x:v>
      </x:c>
      <x:c r="E563" s="25" t="str">
        <x:v>Import; source availability/refresh unverified</x:v>
      </x:c>
      <x:c r="F563" s="25" t="str">
        <x:v>SM WMPP v16 updated WIP/SM_WMPP_v16.SemanticModel/definition/tables/dim_provider_home (offer).tmdl</x:v>
      </x:c>
      <x:c r="G563" s="25" t="str">
        <x:v>17 October 2026</x:v>
      </x:c>
      <x:c r="H563" s="25" t="str">
        <x:v>0a65e962ff3a</x:v>
      </x:c>
      <x:c r="I563" s="25" t="str">
        <x:v>Saved structure only; not source population or client acceptance</x:v>
      </x:c>
    </x:row>
    <x:row r="564" ht="46" customHeight="1">
      <x:c r="A564" s="25" t="str">
        <x:v>dim_provider_home</x:v>
      </x:c>
      <x:c r="B564" s="25" t="str">
        <x:v>gold</x:v>
      </x:c>
      <x:c r="C564" s="25" t="str">
        <x:v>dim_provider_home</x:v>
      </x:c>
      <x:c r="D564" s="25" t="n">
        <x:v>15</x:v>
      </x:c>
      <x:c r="E564" s="25" t="str">
        <x:v>Import; source availability/refresh unverified</x:v>
      </x:c>
      <x:c r="F564" s="25" t="str">
        <x:v>SM WMPP v16 updated WIP/SM_WMPP_v16.SemanticModel/definition/tables/dim_provider_home.tmdl</x:v>
      </x:c>
      <x:c r="G564" s="25" t="str">
        <x:v>17 October 2026</x:v>
      </x:c>
      <x:c r="H564" s="25" t="str">
        <x:v>0a65e962ff3a</x:v>
      </x:c>
      <x:c r="I564" s="25" t="str">
        <x:v>Saved structure only; not source population or client acceptance</x:v>
      </x:c>
    </x:row>
    <x:row r="565" ht="59" customHeight="1">
      <x:c r="A565" s="25" t="str">
        <x:v>dim_provider_submission_document</x:v>
      </x:c>
      <x:c r="B565" s="25" t="str">
        <x:v>gold</x:v>
      </x:c>
      <x:c r="C565" s="25" t="str">
        <x:v>dim_provider_submission_document</x:v>
      </x:c>
      <x:c r="D565" s="25" t="n">
        <x:v>14</x:v>
      </x:c>
      <x:c r="E565" s="25" t="str">
        <x:v>Import; source availability/refresh unverified</x:v>
      </x:c>
      <x:c r="F565" s="25" t="str">
        <x:v>SM WMPP v16 updated WIP/SM_WMPP_v16.SemanticModel/definition/tables/dim_provider_submission_document.tmdl</x:v>
      </x:c>
      <x:c r="G565" s="25" t="str">
        <x:v>17 October 2026</x:v>
      </x:c>
      <x:c r="H565" s="25" t="str">
        <x:v>0a65e962ff3a</x:v>
      </x:c>
      <x:c r="I565" s="25" t="str">
        <x:v>Saved structure only; not source population or client acceptance</x:v>
      </x:c>
    </x:row>
    <x:row r="566" ht="59" customHeight="1">
      <x:c r="A566" s="25" t="str">
        <x:v>dim_referral_provider_message</x:v>
      </x:c>
      <x:c r="B566" s="25" t="str">
        <x:v>gold</x:v>
      </x:c>
      <x:c r="C566" s="25" t="str">
        <x:v>dim_referral_provider_message</x:v>
      </x:c>
      <x:c r="D566" s="25" t="n">
        <x:v>10</x:v>
      </x:c>
      <x:c r="E566" s="25" t="str">
        <x:v>Import; source availability/refresh unverified</x:v>
      </x:c>
      <x:c r="F566" s="25" t="str">
        <x:v>SM WMPP v16 updated WIP/SM_WMPP_v16.SemanticModel/definition/tables/dim_referral_provider_message.tmdl</x:v>
      </x:c>
      <x:c r="G566" s="25" t="str">
        <x:v>17 October 2026</x:v>
      </x:c>
      <x:c r="H566" s="25" t="str">
        <x:v>0a65e962ff3a</x:v>
      </x:c>
      <x:c r="I566" s="25" t="str">
        <x:v>Saved structure only; not source population or client acceptance</x:v>
      </x:c>
    </x:row>
    <x:row r="567" ht="59" customHeight="1">
      <x:c r="A567" s="25" t="str">
        <x:v>dim_referral_provider_reject_reason</x:v>
      </x:c>
      <x:c r="B567" s="25" t="str">
        <x:v>gold</x:v>
      </x:c>
      <x:c r="C567" s="25" t="str">
        <x:v>dim_referral_provider_reject_reason</x:v>
      </x:c>
      <x:c r="D567" s="25" t="n">
        <x:v>15</x:v>
      </x:c>
      <x:c r="E567" s="25" t="str">
        <x:v>Import; source availability/refresh unverified</x:v>
      </x:c>
      <x:c r="F567" s="25" t="str">
        <x:v>SM WMPP v16 updated WIP/SM_WMPP_v16.SemanticModel/definition/tables/dim_referral_provider_reject_reason.tmdl</x:v>
      </x:c>
      <x:c r="G567" s="25" t="str">
        <x:v>17 October 2026</x:v>
      </x:c>
      <x:c r="H567" s="25" t="str">
        <x:v>0a65e962ff3a</x:v>
      </x:c>
      <x:c r="I567" s="25" t="str">
        <x:v>Saved structure only; not source population or client acceptance</x:v>
      </x:c>
    </x:row>
    <x:row r="568" ht="46" customHeight="1">
      <x:c r="A568" s="25" t="str">
        <x:v>dim_security_scope</x:v>
      </x:c>
      <x:c r="B568" s="25" t="str">
        <x:v>gold</x:v>
      </x:c>
      <x:c r="C568" s="25" t="str">
        <x:v>dim_security_scope</x:v>
      </x:c>
      <x:c r="D568" s="25" t="n">
        <x:v>11</x:v>
      </x:c>
      <x:c r="E568" s="25" t="str">
        <x:v>Import; source availability/refresh unverified</x:v>
      </x:c>
      <x:c r="F568" s="25" t="str">
        <x:v>SM WMPP v16 updated WIP/SM_WMPP_v16.SemanticModel/definition/tables/dim_security_scope.tmdl</x:v>
      </x:c>
      <x:c r="G568" s="25" t="str">
        <x:v>17 October 2026</x:v>
      </x:c>
      <x:c r="H568" s="25" t="str">
        <x:v>0a65e962ff3a</x:v>
      </x:c>
      <x:c r="I568" s="25" t="str">
        <x:v>Saved structure only; not source population or client acceptance</x:v>
      </x:c>
    </x:row>
    <x:row r="569" ht="46" customHeight="1">
      <x:c r="A569" s="25" t="str">
        <x:v>dim_snapshot_month</x:v>
      </x:c>
      <x:c r="B569" s="25" t="str">
        <x:v>gold</x:v>
      </x:c>
      <x:c r="C569" s="25" t="str">
        <x:v>dim_snapshot_month</x:v>
      </x:c>
      <x:c r="D569" s="25" t="n">
        <x:v>9</x:v>
      </x:c>
      <x:c r="E569" s="25" t="str">
        <x:v>Import; source availability/refresh unverified</x:v>
      </x:c>
      <x:c r="F569" s="25" t="str">
        <x:v>SM WMPP v16 updated WIP/SM_WMPP_v16.SemanticModel/definition/tables/dim_snapshot_month.tmdl</x:v>
      </x:c>
      <x:c r="G569" s="25" t="str">
        <x:v>17 October 2026</x:v>
      </x:c>
      <x:c r="H569" s="25" t="str">
        <x:v>0a65e962ff3a</x:v>
      </x:c>
      <x:c r="I569" s="25" t="str">
        <x:v>Saved structure only; not source population or client acceptance</x:v>
      </x:c>
    </x:row>
    <x:row r="570" ht="59" customHeight="1">
      <x:c r="A570" s="25" t="str">
        <x:v>Directory Summary Axis</x:v>
      </x:c>
      <x:c r="B570" s="25" t="str">
        <x:v>Local / embedded / calculated</x:v>
      </x:c>
      <x:c r="C570" s="25" t="str">
        <x:v>No direct physical partition asserted</x:v>
      </x:c>
      <x:c r="D570" s="25" t="n">
        <x:v>1</x:v>
      </x:c>
      <x:c r="E570" s="25" t="str">
        <x:v>Model helper/reference; not a physical Gold table</x:v>
      </x:c>
      <x:c r="F570" s="25" t="str">
        <x:v>SM WMPP v16 updated WIP/SM_WMPP_v16.SemanticModel/definition/tables/Directory Summary Axis.tmdl</x:v>
      </x:c>
      <x:c r="G570" s="25" t="str">
        <x:v>17 October 2026</x:v>
      </x:c>
      <x:c r="H570" s="25" t="str">
        <x:v>0a65e962ff3a</x:v>
      </x:c>
      <x:c r="I570" s="25" t="str">
        <x:v>Saved structure only; not source population or client acceptance</x:v>
      </x:c>
    </x:row>
    <x:row r="571" ht="46" customHeight="1">
      <x:c r="A571" s="25" t="str">
        <x:v>Draft Age Band Table</x:v>
      </x:c>
      <x:c r="B571" s="25" t="str">
        <x:v>Local / embedded / calculated</x:v>
      </x:c>
      <x:c r="C571" s="25" t="str">
        <x:v>No direct physical partition asserted</x:v>
      </x:c>
      <x:c r="D571" s="25" t="n">
        <x:v>2</x:v>
      </x:c>
      <x:c r="E571" s="25" t="str">
        <x:v>Model helper/reference; not a physical Gold table</x:v>
      </x:c>
      <x:c r="F571" s="25" t="str">
        <x:v>SM WMPP v16 updated WIP/SM_WMPP_v16.SemanticModel/definition/tables/Draft Age Band Table.tmdl</x:v>
      </x:c>
      <x:c r="G571" s="25" t="str">
        <x:v>17 October 2026</x:v>
      </x:c>
      <x:c r="H571" s="25" t="str">
        <x:v>0a65e962ff3a</x:v>
      </x:c>
      <x:c r="I571" s="25" t="str">
        <x:v>Saved structure only; not source population or client acceptance</x:v>
      </x:c>
    </x:row>
    <x:row r="572" ht="59" customHeight="1">
      <x:c r="A572" s="25" t="str">
        <x:v>Explorer Offer Activity</x:v>
      </x:c>
      <x:c r="B572" s="25" t="str">
        <x:v>Local / embedded / calculated</x:v>
      </x:c>
      <x:c r="C572" s="25" t="str">
        <x:v>No direct physical partition asserted</x:v>
      </x:c>
      <x:c r="D572" s="25" t="n">
        <x:v>1</x:v>
      </x:c>
      <x:c r="E572" s="25" t="str">
        <x:v>Model helper/reference; not a physical Gold table</x:v>
      </x:c>
      <x:c r="F572" s="25" t="str">
        <x:v>SM WMPP v16 updated WIP/SM_WMPP_v16.SemanticModel/definition/tables/Explorer Offer Activity.tmdl</x:v>
      </x:c>
      <x:c r="G572" s="25" t="str">
        <x:v>17 October 2026</x:v>
      </x:c>
      <x:c r="H572" s="25" t="str">
        <x:v>0a65e962ff3a</x:v>
      </x:c>
      <x:c r="I572" s="25" t="str">
        <x:v>Saved structure only; not source population or client acceptance</x:v>
      </x:c>
    </x:row>
    <x:row r="573" ht="59" customHeight="1">
      <x:c r="A573" s="25" t="str">
        <x:v>Explorer Offer Status</x:v>
      </x:c>
      <x:c r="B573" s="25" t="str">
        <x:v>Local / embedded / calculated</x:v>
      </x:c>
      <x:c r="C573" s="25" t="str">
        <x:v>No direct physical partition asserted</x:v>
      </x:c>
      <x:c r="D573" s="25" t="n">
        <x:v>1</x:v>
      </x:c>
      <x:c r="E573" s="25" t="str">
        <x:v>Model helper/reference; not a physical Gold table</x:v>
      </x:c>
      <x:c r="F573" s="25" t="str">
        <x:v>SM WMPP v16 updated WIP/SM_WMPP_v16.SemanticModel/definition/tables/Explorer Offer Status.tmdl</x:v>
      </x:c>
      <x:c r="G573" s="25" t="str">
        <x:v>17 October 2026</x:v>
      </x:c>
      <x:c r="H573" s="25" t="str">
        <x:v>0a65e962ff3a</x:v>
      </x:c>
      <x:c r="I573" s="25" t="str">
        <x:v>Saved structure only; not source population or client acceptance</x:v>
      </x:c>
    </x:row>
    <x:row r="574" ht="46" customHeight="1">
      <x:c r="A574" s="25" t="str">
        <x:v>fact_ipa</x:v>
      </x:c>
      <x:c r="B574" s="25" t="str">
        <x:v>gold</x:v>
      </x:c>
      <x:c r="C574" s="25" t="str">
        <x:v>fact_ipa</x:v>
      </x:c>
      <x:c r="D574" s="25" t="n">
        <x:v>25</x:v>
      </x:c>
      <x:c r="E574" s="25" t="str">
        <x:v>Import; source availability/refresh unverified</x:v>
      </x:c>
      <x:c r="F574" s="25" t="str">
        <x:v>SM WMPP v16 updated WIP/SM_WMPP_v16.SemanticModel/definition/tables/fact_ipa.tmdl</x:v>
      </x:c>
      <x:c r="G574" s="25" t="str">
        <x:v>17 October 2026</x:v>
      </x:c>
      <x:c r="H574" s="25" t="str">
        <x:v>0a65e962ff3a</x:v>
      </x:c>
      <x:c r="I574" s="25" t="str">
        <x:v>Saved structure only; not source population or client acceptance</x:v>
      </x:c>
    </x:row>
    <x:row r="575" ht="46" customHeight="1">
      <x:c r="A575" s="25" t="str">
        <x:v>fact_offer</x:v>
      </x:c>
      <x:c r="B575" s="25" t="str">
        <x:v>gold</x:v>
      </x:c>
      <x:c r="C575" s="25" t="str">
        <x:v>fact_offer</x:v>
      </x:c>
      <x:c r="D575" s="25" t="n">
        <x:v>59</x:v>
      </x:c>
      <x:c r="E575" s="25" t="str">
        <x:v>Import; source availability/refresh unverified</x:v>
      </x:c>
      <x:c r="F575" s="25" t="str">
        <x:v>SM WMPP v16 updated WIP/SM_WMPP_v16.SemanticModel/definition/tables/fact_offer.tmdl</x:v>
      </x:c>
      <x:c r="G575" s="25" t="str">
        <x:v>17 October 2026</x:v>
      </x:c>
      <x:c r="H575" s="25" t="str">
        <x:v>0a65e962ff3a</x:v>
      </x:c>
      <x:c r="I575" s="25" t="str">
        <x:v>Saved structure only; not source population or client acceptance</x:v>
      </x:c>
    </x:row>
    <x:row r="576" ht="59" customHeight="1">
      <x:c r="A576" s="25" t="str">
        <x:v>fact_provider_kpi_monthly</x:v>
      </x:c>
      <x:c r="B576" s="25" t="str">
        <x:v>gold</x:v>
      </x:c>
      <x:c r="C576" s="25" t="str">
        <x:v>fact_provider_kpi_monthly</x:v>
      </x:c>
      <x:c r="D576" s="25" t="n">
        <x:v>14</x:v>
      </x:c>
      <x:c r="E576" s="25" t="str">
        <x:v>Import; source availability/refresh unverified</x:v>
      </x:c>
      <x:c r="F576" s="25" t="str">
        <x:v>SM WMPP v16 updated WIP/SM_WMPP_v16.SemanticModel/definition/tables/fact_provider_kpi_monthly.tmdl</x:v>
      </x:c>
      <x:c r="G576" s="25" t="str">
        <x:v>17 October 2026</x:v>
      </x:c>
      <x:c r="H576" s="25" t="str">
        <x:v>0a65e962ff3a</x:v>
      </x:c>
      <x:c r="I576" s="25" t="str">
        <x:v>Saved structure only; not source population or client acceptance</x:v>
      </x:c>
    </x:row>
    <x:row r="577" ht="46" customHeight="1">
      <x:c r="A577" s="25" t="str">
        <x:v>fact_referral</x:v>
      </x:c>
      <x:c r="B577" s="25" t="str">
        <x:v>gold</x:v>
      </x:c>
      <x:c r="C577" s="25" t="str">
        <x:v>fact_referral</x:v>
      </x:c>
      <x:c r="D577" s="25" t="n">
        <x:v>69</x:v>
      </x:c>
      <x:c r="E577" s="25" t="str">
        <x:v>Import; source availability/refresh unverified</x:v>
      </x:c>
      <x:c r="F577" s="25" t="str">
        <x:v>SM WMPP v16 updated WIP/SM_WMPP_v16.SemanticModel/definition/tables/fact_referral.tmdl</x:v>
      </x:c>
      <x:c r="G577" s="25" t="str">
        <x:v>17 October 2026</x:v>
      </x:c>
      <x:c r="H577" s="25" t="str">
        <x:v>0a65e962ff3a</x:v>
      </x:c>
      <x:c r="I577" s="25" t="str">
        <x:v>Saved structure only; not source population or client acceptance</x:v>
      </x:c>
    </x:row>
    <x:row r="578" ht="59" customHeight="1">
      <x:c r="A578" s="25" t="str">
        <x:v>fact_referral_global_summary</x:v>
      </x:c>
      <x:c r="B578" s="25" t="str">
        <x:v>gold</x:v>
      </x:c>
      <x:c r="C578" s="25" t="str">
        <x:v>fact_referral_global_summary</x:v>
      </x:c>
      <x:c r="D578" s="25" t="n">
        <x:v>18</x:v>
      </x:c>
      <x:c r="E578" s="25" t="str">
        <x:v>Import; source availability/refresh unverified</x:v>
      </x:c>
      <x:c r="F578" s="25" t="str">
        <x:v>SM WMPP v16 updated WIP/SM_WMPP_v16.SemanticModel/definition/tables/fact_referral_global_summary.tmdl</x:v>
      </x:c>
      <x:c r="G578" s="25" t="str">
        <x:v>17 October 2026</x:v>
      </x:c>
      <x:c r="H578" s="25" t="str">
        <x:v>0a65e962ff3a</x:v>
      </x:c>
      <x:c r="I578" s="25" t="str">
        <x:v>Saved structure only; not source population or client acceptance</x:v>
      </x:c>
    </x:row>
    <x:row r="579" ht="59" customHeight="1">
      <x:c r="A579" s="25" t="str">
        <x:v>fact_referral_lifecycle_event</x:v>
      </x:c>
      <x:c r="B579" s="25" t="str">
        <x:v>gold</x:v>
      </x:c>
      <x:c r="C579" s="25" t="str">
        <x:v>fact_referral_lifecycle_event</x:v>
      </x:c>
      <x:c r="D579" s="25" t="n">
        <x:v>8</x:v>
      </x:c>
      <x:c r="E579" s="25" t="str">
        <x:v>Import; source availability/refresh unverified</x:v>
      </x:c>
      <x:c r="F579" s="25" t="str">
        <x:v>SM WMPP v16 updated WIP/SM_WMPP_v16.SemanticModel/definition/tables/fact_referral_lifecycle_event.tmdl</x:v>
      </x:c>
      <x:c r="G579" s="25" t="str">
        <x:v>17 October 2026</x:v>
      </x:c>
      <x:c r="H579" s="25" t="str">
        <x:v>0a65e962ff3a</x:v>
      </x:c>
      <x:c r="I579" s="25" t="str">
        <x:v>Saved structure only; not source population or client acceptance</x:v>
      </x:c>
    </x:row>
    <x:row r="580" ht="59" customHeight="1">
      <x:c r="A580" s="25" t="str">
        <x:v>fact_referral_provider</x:v>
      </x:c>
      <x:c r="B580" s="25" t="str">
        <x:v>gold</x:v>
      </x:c>
      <x:c r="C580" s="25" t="str">
        <x:v>fact_referral_provider</x:v>
      </x:c>
      <x:c r="D580" s="25" t="n">
        <x:v>21</x:v>
      </x:c>
      <x:c r="E580" s="25" t="str">
        <x:v>Import; source availability/refresh unverified</x:v>
      </x:c>
      <x:c r="F580" s="25" t="str">
        <x:v>SM WMPP v16 updated WIP/SM_WMPP_v16.SemanticModel/definition/tables/fact_referral_provider.tmdl</x:v>
      </x:c>
      <x:c r="G580" s="25" t="str">
        <x:v>17 October 2026</x:v>
      </x:c>
      <x:c r="H580" s="25" t="str">
        <x:v>0a65e962ff3a</x:v>
      </x:c>
      <x:c r="I580" s="25" t="str">
        <x:v>Saved structure only; not source population or client acceptance</x:v>
      </x:c>
    </x:row>
    <x:row r="581" ht="59" customHeight="1">
      <x:c r="A581" s="25" t="str">
        <x:v>fact_referral_snapshot</x:v>
      </x:c>
      <x:c r="B581" s="25" t="str">
        <x:v>gold</x:v>
      </x:c>
      <x:c r="C581" s="25" t="str">
        <x:v>fact_referral_snapshot</x:v>
      </x:c>
      <x:c r="D581" s="25" t="n">
        <x:v>58</x:v>
      </x:c>
      <x:c r="E581" s="25" t="str">
        <x:v>Import; source availability/refresh unverified</x:v>
      </x:c>
      <x:c r="F581" s="25" t="str">
        <x:v>SM WMPP v16 updated WIP/SM_WMPP_v16.SemanticModel/definition/tables/fact_referral_snapshot.tmdl</x:v>
      </x:c>
      <x:c r="G581" s="25" t="str">
        <x:v>17 October 2026</x:v>
      </x:c>
      <x:c r="H581" s="25" t="str">
        <x:v>0a65e962ff3a</x:v>
      </x:c>
      <x:c r="I581" s="25" t="str">
        <x:v>Saved structure only; not source population or client acceptance</x:v>
      </x:c>
    </x:row>
    <x:row r="582" ht="46" customHeight="1">
      <x:c r="A582" s="25" t="str">
        <x:v>Fostering Axis</x:v>
      </x:c>
      <x:c r="B582" s="25" t="str">
        <x:v>Local / embedded / calculated</x:v>
      </x:c>
      <x:c r="C582" s="25" t="str">
        <x:v>No direct physical partition asserted</x:v>
      </x:c>
      <x:c r="D582" s="25" t="n">
        <x:v>1</x:v>
      </x:c>
      <x:c r="E582" s="25" t="str">
        <x:v>Model helper/reference; not a physical Gold table</x:v>
      </x:c>
      <x:c r="F582" s="25" t="str">
        <x:v>SM WMPP v16 updated WIP/SM_WMPP_v16.SemanticModel/definition/tables/Fostering Axis.tmdl</x:v>
      </x:c>
      <x:c r="G582" s="25" t="str">
        <x:v>17 October 2026</x:v>
      </x:c>
      <x:c r="H582" s="25" t="str">
        <x:v>0a65e962ff3a</x:v>
      </x:c>
      <x:c r="I582" s="25" t="str">
        <x:v>Saved structure only; not source population or client acceptance</x:v>
      </x:c>
    </x:row>
    <x:row r="583" ht="59" customHeight="1">
      <x:c r="A583" s="25" t="str">
        <x:v>gold referral_journey_flow</x:v>
      </x:c>
      <x:c r="B583" s="25" t="str">
        <x:v>gold</x:v>
      </x:c>
      <x:c r="C583" s="25" t="str">
        <x:v>referral_journey_flow</x:v>
      </x:c>
      <x:c r="D583" s="25" t="n">
        <x:v>14</x:v>
      </x:c>
      <x:c r="E583" s="25" t="str">
        <x:v>Import; source availability/refresh unverified</x:v>
      </x:c>
      <x:c r="F583" s="25" t="str">
        <x:v>SM WMPP v16 updated WIP/SM_WMPP_v16.SemanticModel/definition/tables/gold referral_journey_flow.tmdl</x:v>
      </x:c>
      <x:c r="G583" s="25" t="str">
        <x:v>17 October 2026</x:v>
      </x:c>
      <x:c r="H583" s="25" t="str">
        <x:v>0a65e962ff3a</x:v>
      </x:c>
      <x:c r="I583" s="25" t="str">
        <x:v>Saved structure only; not source population or client acceptance</x:v>
      </x:c>
    </x:row>
    <x:row r="584" ht="59" customHeight="1">
      <x:c r="A584" s="25" t="str">
        <x:v>gold rpt_kpi_referral_board_summary</x:v>
      </x:c>
      <x:c r="B584" s="25" t="str">
        <x:v>gold</x:v>
      </x:c>
      <x:c r="C584" s="25" t="str">
        <x:v>rpt_kpi_referral_board_summary</x:v>
      </x:c>
      <x:c r="D584" s="25" t="n">
        <x:v>10</x:v>
      </x:c>
      <x:c r="E584" s="25" t="str">
        <x:v>Import; source availability/refresh unverified</x:v>
      </x:c>
      <x:c r="F584" s="25" t="str">
        <x:v>SM WMPP v16 updated WIP/SM_WMPP_v16.SemanticModel/definition/tables/gold rpt_kpi_referral_board_summary.tmdl</x:v>
      </x:c>
      <x:c r="G584" s="25" t="str">
        <x:v>17 October 2026</x:v>
      </x:c>
      <x:c r="H584" s="25" t="str">
        <x:v>0a65e962ff3a</x:v>
      </x:c>
      <x:c r="I584" s="25" t="str">
        <x:v>Saved structure only; not source population or client acceptance</x:v>
      </x:c>
    </x:row>
    <x:row r="585" ht="59" customHeight="1">
      <x:c r="A585" s="25" t="str">
        <x:v>Journey Detail Selection</x:v>
      </x:c>
      <x:c r="B585" s="25" t="str">
        <x:v>Local / embedded / calculated</x:v>
      </x:c>
      <x:c r="C585" s="25" t="str">
        <x:v>No direct physical partition asserted</x:v>
      </x:c>
      <x:c r="D585" s="25" t="n">
        <x:v>2</x:v>
      </x:c>
      <x:c r="E585" s="25" t="str">
        <x:v>Model helper/reference; not a physical Gold table</x:v>
      </x:c>
      <x:c r="F585" s="25" t="str">
        <x:v>SM WMPP v16 updated WIP/SM_WMPP_v16.SemanticModel/definition/tables/Journey Detail Selection.tmdl</x:v>
      </x:c>
      <x:c r="G585" s="25" t="str">
        <x:v>17 October 2026</x:v>
      </x:c>
      <x:c r="H585" s="25" t="str">
        <x:v>0a65e962ff3a</x:v>
      </x:c>
      <x:c r="I585" s="25" t="str">
        <x:v>Saved structure only; not source population or client acceptance</x:v>
      </x:c>
    </x:row>
    <x:row r="586" ht="59" customHeight="1">
      <x:c r="A586" s="25" t="str">
        <x:v>Journey Provider Selection</x:v>
      </x:c>
      <x:c r="B586" s="25" t="str">
        <x:v>Local / embedded / calculated</x:v>
      </x:c>
      <x:c r="C586" s="25" t="str">
        <x:v>No direct physical partition asserted</x:v>
      </x:c>
      <x:c r="D586" s="25" t="n">
        <x:v>2</x:v>
      </x:c>
      <x:c r="E586" s="25" t="str">
        <x:v>Model helper/reference; not a physical Gold table</x:v>
      </x:c>
      <x:c r="F586" s="25" t="str">
        <x:v>SM WMPP v16 updated WIP/SM_WMPP_v16.SemanticModel/definition/tables/Journey Provider Selection.tmdl</x:v>
      </x:c>
      <x:c r="G586" s="25" t="str">
        <x:v>17 October 2026</x:v>
      </x:c>
      <x:c r="H586" s="25" t="str">
        <x:v>0a65e962ff3a</x:v>
      </x:c>
      <x:c r="I586" s="25" t="str">
        <x:v>Saved structure only; not source population or client acceptance</x:v>
      </x:c>
    </x:row>
    <x:row r="587" ht="46" customHeight="1">
      <x:c r="A587" s="25" t="str">
        <x:v>KPI Selector</x:v>
      </x:c>
      <x:c r="B587" s="25" t="str">
        <x:v>Local / embedded / calculated</x:v>
      </x:c>
      <x:c r="C587" s="25" t="str">
        <x:v>No direct physical partition asserted</x:v>
      </x:c>
      <x:c r="D587" s="25" t="n">
        <x:v>3</x:v>
      </x:c>
      <x:c r="E587" s="25" t="str">
        <x:v>Model helper/reference; not a physical Gold table</x:v>
      </x:c>
      <x:c r="F587" s="25" t="str">
        <x:v>SM WMPP v16 updated WIP/SM_WMPP_v16.SemanticModel/definition/tables/KPI Selector.tmdl</x:v>
      </x:c>
      <x:c r="G587" s="25" t="str">
        <x:v>17 October 2026</x:v>
      </x:c>
      <x:c r="H587" s="25" t="str">
        <x:v>0a65e962ff3a</x:v>
      </x:c>
      <x:c r="I587" s="25" t="str">
        <x:v>Saved structure only; not source population or client acceptance</x:v>
      </x:c>
    </x:row>
    <x:row r="588" ht="59" customHeight="1">
      <x:c r="A588" s="25" t="str">
        <x:v>Linked Provider Referrals</x:v>
      </x:c>
      <x:c r="B588" s="25" t="str">
        <x:v>Local / embedded / calculated</x:v>
      </x:c>
      <x:c r="C588" s="25" t="str">
        <x:v>No direct physical partition asserted</x:v>
      </x:c>
      <x:c r="D588" s="25" t="n">
        <x:v>4</x:v>
      </x:c>
      <x:c r="E588" s="25" t="str">
        <x:v>Model helper/reference; not a physical Gold table</x:v>
      </x:c>
      <x:c r="F588" s="25" t="str">
        <x:v>SM WMPP v16 updated WIP/SM_WMPP_v16.SemanticModel/definition/tables/Linked Provider Referrals.tmdl</x:v>
      </x:c>
      <x:c r="G588" s="25" t="str">
        <x:v>17 October 2026</x:v>
      </x:c>
      <x:c r="H588" s="25" t="str">
        <x:v>0a65e962ff3a</x:v>
      </x:c>
      <x:c r="I588" s="25" t="str">
        <x:v>Saved structure only; not source population or client acceptance</x:v>
      </x:c>
    </x:row>
    <x:row r="589" ht="46" customHeight="1">
      <x:c r="A589" s="25" t="str">
        <x:v>Offer Category</x:v>
      </x:c>
      <x:c r="B589" s="25" t="str">
        <x:v>Local / embedded / calculated</x:v>
      </x:c>
      <x:c r="C589" s="25" t="str">
        <x:v>No direct physical partition asserted</x:v>
      </x:c>
      <x:c r="D589" s="25" t="n">
        <x:v>3</x:v>
      </x:c>
      <x:c r="E589" s="25" t="str">
        <x:v>Model helper/reference; not a physical Gold table</x:v>
      </x:c>
      <x:c r="F589" s="25" t="str">
        <x:v>SM WMPP v16 updated WIP/SM_WMPP_v16.SemanticModel/definition/tables/Offer Category.tmdl</x:v>
      </x:c>
      <x:c r="G589" s="25" t="str">
        <x:v>17 October 2026</x:v>
      </x:c>
      <x:c r="H589" s="25" t="str">
        <x:v>0a65e962ff3a</x:v>
      </x:c>
      <x:c r="I589" s="25" t="str">
        <x:v>Saved structure only; not source population or client acceptance</x:v>
      </x:c>
    </x:row>
    <x:row r="590" ht="46" customHeight="1">
      <x:c r="A590" s="25" t="str">
        <x:v>Offer Journey Stage</x:v>
      </x:c>
      <x:c r="B590" s="25" t="str">
        <x:v>Local / embedded / calculated</x:v>
      </x:c>
      <x:c r="C590" s="25" t="str">
        <x:v>No direct physical partition asserted</x:v>
      </x:c>
      <x:c r="D590" s="25" t="n">
        <x:v>2</x:v>
      </x:c>
      <x:c r="E590" s="25" t="str">
        <x:v>Model helper/reference; not a physical Gold table</x:v>
      </x:c>
      <x:c r="F590" s="25" t="str">
        <x:v>SM WMPP v16 updated WIP/SM_WMPP_v16.SemanticModel/definition/tables/Offer Journey Stage.tmdl</x:v>
      </x:c>
      <x:c r="G590" s="25" t="str">
        <x:v>17 October 2026</x:v>
      </x:c>
      <x:c r="H590" s="25" t="str">
        <x:v>0a65e962ff3a</x:v>
      </x:c>
      <x:c r="I590" s="25" t="str">
        <x:v>Saved structure only; not source population or client acceptance</x:v>
      </x:c>
    </x:row>
    <x:row r="591" ht="46" customHeight="1">
      <x:c r="A591" s="25" t="str">
        <x:v>Offer Location Paths</x:v>
      </x:c>
      <x:c r="B591" s="25" t="str">
        <x:v>Local / embedded / calculated</x:v>
      </x:c>
      <x:c r="C591" s="25" t="str">
        <x:v>No direct physical partition asserted</x:v>
      </x:c>
      <x:c r="D591" s="25" t="n">
        <x:v>13</x:v>
      </x:c>
      <x:c r="E591" s="25" t="str">
        <x:v>Model helper/reference; not a physical Gold table</x:v>
      </x:c>
      <x:c r="F591" s="25" t="str">
        <x:v>SM WMPP v16 updated WIP/SM_WMPP_v16.SemanticModel/definition/tables/Offer Location Paths.tmdl</x:v>
      </x:c>
      <x:c r="G591" s="25" t="str">
        <x:v>17 October 2026</x:v>
      </x:c>
      <x:c r="H591" s="25" t="str">
        <x:v>0a65e962ff3a</x:v>
      </x:c>
      <x:c r="I591" s="25" t="str">
        <x:v>Saved structure only; not source population or client acceptance</x:v>
      </x:c>
    </x:row>
    <x:row r="592" ht="46" customHeight="1">
      <x:c r="A592" s="25" t="str">
        <x:v>Open Referral Age</x:v>
      </x:c>
      <x:c r="B592" s="25" t="str">
        <x:v>Local / embedded / calculated</x:v>
      </x:c>
      <x:c r="C592" s="25" t="str">
        <x:v>No direct physical partition asserted</x:v>
      </x:c>
      <x:c r="D592" s="25" t="n">
        <x:v>2</x:v>
      </x:c>
      <x:c r="E592" s="25" t="str">
        <x:v>Model helper/reference; not a physical Gold table</x:v>
      </x:c>
      <x:c r="F592" s="25" t="str">
        <x:v>SM WMPP v16 updated WIP/SM_WMPP_v16.SemanticModel/definition/tables/Open Referral Age.tmdl</x:v>
      </x:c>
      <x:c r="G592" s="25" t="str">
        <x:v>17 October 2026</x:v>
      </x:c>
      <x:c r="H592" s="25" t="str">
        <x:v>0a65e962ff3a</x:v>
      </x:c>
      <x:c r="I592" s="25" t="str">
        <x:v>Saved structure only; not source population or client acceptance</x:v>
      </x:c>
    </x:row>
    <x:row r="593" ht="46" customHeight="1">
      <x:c r="A593" s="25" t="str">
        <x:v>Placement Window</x:v>
      </x:c>
      <x:c r="B593" s="25" t="str">
        <x:v>Local / embedded / calculated</x:v>
      </x:c>
      <x:c r="C593" s="25" t="str">
        <x:v>No direct physical partition asserted</x:v>
      </x:c>
      <x:c r="D593" s="25" t="n">
        <x:v>2</x:v>
      </x:c>
      <x:c r="E593" s="25" t="str">
        <x:v>Model helper/reference; not a physical Gold table</x:v>
      </x:c>
      <x:c r="F593" s="25" t="str">
        <x:v>SM WMPP v16 updated WIP/SM_WMPP_v16.SemanticModel/definition/tables/Placement Window.tmdl</x:v>
      </x:c>
      <x:c r="G593" s="25" t="str">
        <x:v>17 October 2026</x:v>
      </x:c>
      <x:c r="H593" s="25" t="str">
        <x:v>0a65e962ff3a</x:v>
      </x:c>
      <x:c r="I593" s="25" t="str">
        <x:v>Saved structure only; not source population or client acceptance</x:v>
      </x:c>
    </x:row>
    <x:row r="594" ht="59" customHeight="1">
      <x:c r="A594" s="25" t="str">
        <x:v>Provider Explorer KPI</x:v>
      </x:c>
      <x:c r="B594" s="25" t="str">
        <x:v>Local / embedded / calculated</x:v>
      </x:c>
      <x:c r="C594" s="25" t="str">
        <x:v>No direct physical partition asserted</x:v>
      </x:c>
      <x:c r="D594" s="25" t="n">
        <x:v>4</x:v>
      </x:c>
      <x:c r="E594" s="25" t="str">
        <x:v>Model helper/reference; not a physical Gold table</x:v>
      </x:c>
      <x:c r="F594" s="25" t="str">
        <x:v>SM WMPP v16 updated WIP/SM_WMPP_v16.SemanticModel/definition/tables/Provider Explorer KPI.tmdl</x:v>
      </x:c>
      <x:c r="G594" s="25" t="str">
        <x:v>17 October 2026</x:v>
      </x:c>
      <x:c r="H594" s="25" t="str">
        <x:v>0a65e962ff3a</x:v>
      </x:c>
      <x:c r="I594" s="25" t="str">
        <x:v>Saved structure only; not source population or client acceptance</x:v>
      </x:c>
    </x:row>
    <x:row r="595" ht="59" customHeight="1">
      <x:c r="A595" s="25" t="str">
        <x:v>Provider Offer Status</x:v>
      </x:c>
      <x:c r="B595" s="25" t="str">
        <x:v>Local / embedded / calculated</x:v>
      </x:c>
      <x:c r="C595" s="25" t="str">
        <x:v>No direct physical partition asserted</x:v>
      </x:c>
      <x:c r="D595" s="25" t="n">
        <x:v>1</x:v>
      </x:c>
      <x:c r="E595" s="25" t="str">
        <x:v>Model helper/reference; not a physical Gold table</x:v>
      </x:c>
      <x:c r="F595" s="25" t="str">
        <x:v>SM WMPP v16 updated WIP/SM_WMPP_v16.SemanticModel/definition/tables/Provider Offer Status.tmdl</x:v>
      </x:c>
      <x:c r="G595" s="25" t="str">
        <x:v>17 October 2026</x:v>
      </x:c>
      <x:c r="H595" s="25" t="str">
        <x:v>0a65e962ff3a</x:v>
      </x:c>
      <x:c r="I595" s="25" t="str">
        <x:v>Saved structure only; not source population or client acceptance</x:v>
      </x:c>
    </x:row>
    <x:row r="596" ht="59" customHeight="1">
      <x:c r="A596" s="25" t="str">
        <x:v>Provider Scoring Evidence</x:v>
      </x:c>
      <x:c r="B596" s="25" t="str">
        <x:v>Local / embedded / calculated</x:v>
      </x:c>
      <x:c r="C596" s="25" t="str">
        <x:v>No direct physical partition asserted</x:v>
      </x:c>
      <x:c r="D596" s="25" t="n">
        <x:v>4</x:v>
      </x:c>
      <x:c r="E596" s="25" t="str">
        <x:v>Model helper/reference; not a physical Gold table</x:v>
      </x:c>
      <x:c r="F596" s="25" t="str">
        <x:v>SM WMPP v16 updated WIP/SM_WMPP_v16.SemanticModel/definition/tables/Provider Scoring Evidence.tmdl</x:v>
      </x:c>
      <x:c r="G596" s="25" t="str">
        <x:v>17 October 2026</x:v>
      </x:c>
      <x:c r="H596" s="25" t="str">
        <x:v>0a65e962ff3a</x:v>
      </x:c>
      <x:c r="I596" s="25" t="str">
        <x:v>Saved structure only; not source population or client acceptance</x:v>
      </x:c>
    </x:row>
    <x:row r="597" ht="46" customHeight="1">
      <x:c r="A597" s="25" t="str">
        <x:v>ref_KPI</x:v>
      </x:c>
      <x:c r="B597" s="25" t="str">
        <x:v>Local / embedded / calculated</x:v>
      </x:c>
      <x:c r="C597" s="25" t="str">
        <x:v>No direct physical partition asserted</x:v>
      </x:c>
      <x:c r="D597" s="25" t="n">
        <x:v>8</x:v>
      </x:c>
      <x:c r="E597" s="25" t="str">
        <x:v>Model helper/reference; not a physical Gold table</x:v>
      </x:c>
      <x:c r="F597" s="25" t="str">
        <x:v>SM WMPP v16 updated WIP/SM_WMPP_v16.SemanticModel/definition/tables/ref_KPI.tmdl</x:v>
      </x:c>
      <x:c r="G597" s="25" t="str">
        <x:v>17 October 2026</x:v>
      </x:c>
      <x:c r="H597" s="25" t="str">
        <x:v>0a65e962ff3a</x:v>
      </x:c>
      <x:c r="I597" s="25" t="str">
        <x:v>Saved structure only; not source population or client acceptance</x:v>
      </x:c>
    </x:row>
    <x:row r="598" ht="46" customHeight="1">
      <x:c r="A598" s="25" t="str">
        <x:v>ref_KPI_RID_Linkage</x:v>
      </x:c>
      <x:c r="B598" s="25" t="str">
        <x:v>Local / embedded / calculated</x:v>
      </x:c>
      <x:c r="C598" s="25" t="str">
        <x:v>No direct physical partition asserted</x:v>
      </x:c>
      <x:c r="D598" s="25" t="n">
        <x:v>2</x:v>
      </x:c>
      <x:c r="E598" s="25" t="str">
        <x:v>Model helper/reference; not a physical Gold table</x:v>
      </x:c>
      <x:c r="F598" s="25" t="str">
        <x:v>SM WMPP v16 updated WIP/SM_WMPP_v16.SemanticModel/definition/tables/ref_KPI_RID_Linkage.tmdl</x:v>
      </x:c>
      <x:c r="G598" s="25" t="str">
        <x:v>17 October 2026</x:v>
      </x:c>
      <x:c r="H598" s="25" t="str">
        <x:v>0a65e962ff3a</x:v>
      </x:c>
      <x:c r="I598" s="25" t="str">
        <x:v>Saved structure only; not source population or client acceptance</x:v>
      </x:c>
    </x:row>
    <x:row r="599" ht="46" customHeight="1">
      <x:c r="A599" s="25" t="str">
        <x:v>ref_RID</x:v>
      </x:c>
      <x:c r="B599" s="25" t="str">
        <x:v>Local / embedded / calculated</x:v>
      </x:c>
      <x:c r="C599" s="25" t="str">
        <x:v>No direct physical partition asserted</x:v>
      </x:c>
      <x:c r="D599" s="25" t="n">
        <x:v>7</x:v>
      </x:c>
      <x:c r="E599" s="25" t="str">
        <x:v>Model helper/reference; not a physical Gold table</x:v>
      </x:c>
      <x:c r="F599" s="25" t="str">
        <x:v>SM WMPP v16 updated WIP/SM_WMPP_v16.SemanticModel/definition/tables/ref_RID.tmdl</x:v>
      </x:c>
      <x:c r="G599" s="25" t="str">
        <x:v>17 October 2026</x:v>
      </x:c>
      <x:c r="H599" s="25" t="str">
        <x:v>0a65e962ff3a</x:v>
      </x:c>
      <x:c r="I599" s="25" t="str">
        <x:v>Saved structure only; not source population or client acceptance</x:v>
      </x:c>
    </x:row>
    <x:row r="600" ht="46" customHeight="1">
      <x:c r="A600" s="25" t="str">
        <x:v>Referral Breakdown</x:v>
      </x:c>
      <x:c r="B600" s="25" t="str">
        <x:v>Local / embedded / calculated</x:v>
      </x:c>
      <x:c r="C600" s="25" t="str">
        <x:v>No direct physical partition asserted</x:v>
      </x:c>
      <x:c r="D600" s="25" t="n">
        <x:v>3</x:v>
      </x:c>
      <x:c r="E600" s="25" t="str">
        <x:v>Model helper/reference; not a physical Gold table</x:v>
      </x:c>
      <x:c r="F600" s="25" t="str">
        <x:v>SM WMPP v16 updated WIP/SM_WMPP_v16.SemanticModel/definition/tables/Referral Breakdown.tmdl</x:v>
      </x:c>
      <x:c r="G600" s="25" t="str">
        <x:v>17 October 2026</x:v>
      </x:c>
      <x:c r="H600" s="25" t="str">
        <x:v>0a65e962ff3a</x:v>
      </x:c>
      <x:c r="I600" s="25" t="str">
        <x:v>Saved structure only; not source population or client acceptance</x:v>
      </x:c>
    </x:row>
    <x:row r="601" ht="46" customHeight="1">
      <x:c r="A601" s="25" t="str">
        <x:v>Referral Category</x:v>
      </x:c>
      <x:c r="B601" s="25" t="str">
        <x:v>Local / embedded / calculated</x:v>
      </x:c>
      <x:c r="C601" s="25" t="str">
        <x:v>No direct physical partition asserted</x:v>
      </x:c>
      <x:c r="D601" s="25" t="n">
        <x:v>3</x:v>
      </x:c>
      <x:c r="E601" s="25" t="str">
        <x:v>Model helper/reference; not a physical Gold table</x:v>
      </x:c>
      <x:c r="F601" s="25" t="str">
        <x:v>SM WMPP v16 updated WIP/SM_WMPP_v16.SemanticModel/definition/tables/Referral Category.tmdl</x:v>
      </x:c>
      <x:c r="G601" s="25" t="str">
        <x:v>17 October 2026</x:v>
      </x:c>
      <x:c r="H601" s="25" t="str">
        <x:v>0a65e962ff3a</x:v>
      </x:c>
      <x:c r="I601" s="25" t="str">
        <x:v>Saved structure only; not source population or client acceptance</x:v>
      </x:c>
    </x:row>
    <x:row r="602" ht="59" customHeight="1">
      <x:c r="A602" s="25" t="str">
        <x:v>Referral Explorer KPI</x:v>
      </x:c>
      <x:c r="B602" s="25" t="str">
        <x:v>Local / embedded / calculated</x:v>
      </x:c>
      <x:c r="C602" s="25" t="str">
        <x:v>No direct physical partition asserted</x:v>
      </x:c>
      <x:c r="D602" s="25" t="n">
        <x:v>4</x:v>
      </x:c>
      <x:c r="E602" s="25" t="str">
        <x:v>Model helper/reference; not a physical Gold table</x:v>
      </x:c>
      <x:c r="F602" s="25" t="str">
        <x:v>SM WMPP v16 updated WIP/SM_WMPP_v16.SemanticModel/definition/tables/Referral Explorer KPI.tmdl</x:v>
      </x:c>
      <x:c r="G602" s="25" t="str">
        <x:v>17 October 2026</x:v>
      </x:c>
      <x:c r="H602" s="25" t="str">
        <x:v>0a65e962ff3a</x:v>
      </x:c>
      <x:c r="I602" s="25" t="str">
        <x:v>Saved structure only; not source population or client acceptance</x:v>
      </x:c>
    </x:row>
    <x:row r="603" ht="46" customHeight="1">
      <x:c r="A603" s="25" t="str">
        <x:v>Referral Map Points</x:v>
      </x:c>
      <x:c r="B603" s="25" t="str">
        <x:v>Local / embedded / calculated</x:v>
      </x:c>
      <x:c r="C603" s="25" t="str">
        <x:v>No direct physical partition asserted</x:v>
      </x:c>
      <x:c r="D603" s="25" t="n">
        <x:v>8</x:v>
      </x:c>
      <x:c r="E603" s="25" t="str">
        <x:v>Model helper/reference; not a physical Gold table</x:v>
      </x:c>
      <x:c r="F603" s="25" t="str">
        <x:v>SM WMPP v16 updated WIP/SM_WMPP_v16.SemanticModel/definition/tables/Referral Map Points.tmdl</x:v>
      </x:c>
      <x:c r="G603" s="25" t="str">
        <x:v>17 October 2026</x:v>
      </x:c>
      <x:c r="H603" s="25" t="str">
        <x:v>0a65e962ff3a</x:v>
      </x:c>
      <x:c r="I603" s="25" t="str">
        <x:v>Saved structure only; not source population or client acceptance</x:v>
      </x:c>
    </x:row>
    <x:row r="604" ht="46" customHeight="1">
      <x:c r="A604" s="25" t="str">
        <x:v>Referral Metric</x:v>
      </x:c>
      <x:c r="B604" s="25" t="str">
        <x:v>Local / embedded / calculated</x:v>
      </x:c>
      <x:c r="C604" s="25" t="str">
        <x:v>No direct physical partition asserted</x:v>
      </x:c>
      <x:c r="D604" s="25" t="n">
        <x:v>3</x:v>
      </x:c>
      <x:c r="E604" s="25" t="str">
        <x:v>Model helper/reference; not a physical Gold table</x:v>
      </x:c>
      <x:c r="F604" s="25" t="str">
        <x:v>SM WMPP v16 updated WIP/SM_WMPP_v16.SemanticModel/definition/tables/Referral Metric.tmdl</x:v>
      </x:c>
      <x:c r="G604" s="25" t="str">
        <x:v>17 October 2026</x:v>
      </x:c>
      <x:c r="H604" s="25" t="str">
        <x:v>0a65e962ff3a</x:v>
      </x:c>
      <x:c r="I604" s="25" t="str">
        <x:v>Saved structure only; not source population or client acceptance</x:v>
      </x:c>
    </x:row>
    <x:row r="605" ht="59" customHeight="1">
      <x:c r="A605" s="25" t="str">
        <x:v>rpt_provider_registry</x:v>
      </x:c>
      <x:c r="B605" s="25" t="str">
        <x:v>gold</x:v>
      </x:c>
      <x:c r="C605" s="25" t="str">
        <x:v>rpt_provider_registry</x:v>
      </x:c>
      <x:c r="D605" s="25" t="n">
        <x:v>71</x:v>
      </x:c>
      <x:c r="E605" s="25" t="str">
        <x:v>Import; source availability/refresh unverified</x:v>
      </x:c>
      <x:c r="F605" s="25" t="str">
        <x:v>SM WMPP v16 updated WIP/SM_WMPP_v16.SemanticModel/definition/tables/rpt_provider_registry.tmdl</x:v>
      </x:c>
      <x:c r="G605" s="25" t="str">
        <x:v>17 October 2026</x:v>
      </x:c>
      <x:c r="H605" s="25" t="str">
        <x:v>0a65e962ff3a</x:v>
      </x:c>
      <x:c r="I605" s="25" t="str">
        <x:v>Saved structure only; not source population or client acceptance</x:v>
      </x:c>
    </x:row>
    <x:row r="606" ht="59" customHeight="1">
      <x:c r="A606" s="25" t="str">
        <x:v>sec_user_scope_access</x:v>
      </x:c>
      <x:c r="B606" s="25" t="str">
        <x:v>gold</x:v>
      </x:c>
      <x:c r="C606" s="25" t="str">
        <x:v>sec_user_scope_access</x:v>
      </x:c>
      <x:c r="D606" s="25" t="n">
        <x:v>9</x:v>
      </x:c>
      <x:c r="E606" s="25" t="str">
        <x:v>Import; source availability/refresh unverified</x:v>
      </x:c>
      <x:c r="F606" s="25" t="str">
        <x:v>SM WMPP v16 updated WIP/SM_WMPP_v16.SemanticModel/definition/tables/sec_user_scope_access.tmdl</x:v>
      </x:c>
      <x:c r="G606" s="25" t="str">
        <x:v>17 October 2026</x:v>
      </x:c>
      <x:c r="H606" s="25" t="str">
        <x:v>0a65e962ff3a</x:v>
      </x:c>
      <x:c r="I606" s="25" t="str">
        <x:v>Saved structure only; not source population or client acceptance</x:v>
      </x:c>
    </x:row>
    <x:row r="607" ht="46" customHeight="1">
      <x:c r="A607" s="25" t="str">
        <x:v>Snapshot Window</x:v>
      </x:c>
      <x:c r="B607" s="25" t="str">
        <x:v>Local / embedded / calculated</x:v>
      </x:c>
      <x:c r="C607" s="25" t="str">
        <x:v>No direct physical partition asserted</x:v>
      </x:c>
      <x:c r="D607" s="25" t="n">
        <x:v>2</x:v>
      </x:c>
      <x:c r="E607" s="25" t="str">
        <x:v>Model helper/reference; not a physical Gold table</x:v>
      </x:c>
      <x:c r="F607" s="25" t="str">
        <x:v>SM WMPP v16 updated WIP/SM_WMPP_v16.SemanticModel/definition/tables/Snapshot Window.tmdl</x:v>
      </x:c>
      <x:c r="G607" s="25" t="str">
        <x:v>17 October 2026</x:v>
      </x:c>
      <x:c r="H607" s="25" t="str">
        <x:v>0a65e962ff3a</x:v>
      </x:c>
      <x:c r="I607" s="25" t="str">
        <x:v>Saved structure only; not source population or client acceptance</x:v>
      </x:c>
    </x:row>
    <x:row r="608" ht="46" customHeight="1">
      <x:c r="A608" s="25" t="str">
        <x:v>Target Status</x:v>
      </x:c>
      <x:c r="B608" s="25" t="str">
        <x:v>Local / embedded / calculated</x:v>
      </x:c>
      <x:c r="C608" s="25" t="str">
        <x:v>No direct physical partition asserted</x:v>
      </x:c>
      <x:c r="D608" s="25" t="n">
        <x:v>3</x:v>
      </x:c>
      <x:c r="E608" s="25" t="str">
        <x:v>Model helper/reference; not a physical Gold table</x:v>
      </x:c>
      <x:c r="F608" s="25" t="str">
        <x:v>SM WMPP v16 updated WIP/SM_WMPP_v16.SemanticModel/definition/tables/Target Status.tmdl</x:v>
      </x:c>
      <x:c r="G608" s="25" t="str">
        <x:v>17 October 2026</x:v>
      </x:c>
      <x:c r="H608" s="25" t="str">
        <x:v>0a65e962ff3a</x:v>
      </x:c>
      <x:c r="I608" s="25" t="str">
        <x:v>Saved structure only; not source population or client acceptance</x:v>
      </x:c>
    </x:row>
    <x:row r="611" ht="25" customHeight="1">
      <x:c r="A611" s="22" t="str">
        <x:v>Prior gap reassessment retained as dated evidence</x:v>
      </x:c>
      <x:c r="B611" s="22"/>
      <x:c r="C611" s="22"/>
      <x:c r="D611" s="22"/>
      <x:c r="E611" s="22"/>
      <x:c r="F611" s="22"/>
      <x:c r="G611" s="22"/>
      <x:c r="H611" s="22"/>
      <x:c r="I611" s="22"/>
    </x:row>
    <x:row r="612" ht="35" customHeight="1">
      <x:c r="A612" s="27" t="str">
        <x:v>Gap ID</x:v>
      </x:c>
      <x:c r="B612" s="27" t="str">
        <x:v>Business area</x:v>
      </x:c>
      <x:c r="C612" s="27" t="str">
        <x:v>KPI / capability</x:v>
      </x:c>
      <x:c r="D612" s="27" t="str">
        <x:v>Legacy KPI mapping</x:v>
      </x:c>
      <x:c r="E612" s="27" t="str">
        <x:v>Requirement IDs</x:v>
      </x:c>
      <x:c r="F612" s="27" t="str">
        <x:v>Status</x:v>
      </x:c>
      <x:c r="G612" s="27" t="str">
        <x:v>Reason / next Gold-model change</x:v>
      </x:c>
    </x:row>
    <x:row r="613" ht="46" customHeight="1">
      <x:c r="A613" s="25" t="str">
        <x:v>GOLD-GAP-001</x:v>
      </x:c>
      <x:c r="B613" s="25" t="str">
        <x:v>Child demographics</x:v>
      </x:c>
      <x:c r="C613" s="25" t="str">
        <x:v>Gender and person attributes</x:v>
      </x:c>
      <x:c r="D613" s="25" t="str">
        <x:v>KPI-04–07</x:v>
      </x:c>
      <x:c r="E613" s="25" t="str">
        <x:v>R51</x:v>
      </x:c>
      <x:c r="F613" s="25" t="str">
        <x:v>Built; UAT pending</x:v>
      </x:c>
      <x:c r="G613" s="25" t="str">
        <x:v>dim_person and gender measures exist. Validate person linkage, unknown values and role access.</x:v>
      </x:c>
    </x:row>
    <x:row r="614" ht="59" customHeight="1">
      <x:c r="A614" s="25" t="str">
        <x:v>GOLD-GAP-002</x:v>
      </x:c>
      <x:c r="B614" s="25" t="str">
        <x:v>IPA signatures</x:v>
      </x:c>
      <x:c r="C614" s="25" t="str">
        <x:v>IPA-level completion and signature flags</x:v>
      </x:c>
      <x:c r="D614" s="25" t="str">
        <x:v>KPI-77–86, 114</x:v>
      </x:c>
      <x:c r="E614" s="25" t="str">
        <x:v>R15, R20, R35</x:v>
      </x:c>
      <x:c r="F614" s="25" t="str">
        <x:v>Built; UAT pending</x:v>
      </x:c>
      <x:c r="G614" s="25" t="str">
        <x:v>fact_ipa now has both signature flags and completion/pending fields. Exact signature event history remains separate.</x:v>
      </x:c>
    </x:row>
    <x:row r="615" ht="46" customHeight="1">
      <x:c r="A615" s="25" t="str">
        <x:v>GOLD-GAP-003</x:v>
      </x:c>
      <x:c r="B615" s="25" t="str">
        <x:v>Geography</x:v>
      </x:c>
      <x:c r="C615" s="25" t="str">
        <x:v>Out-of-region referral/placement rate</x:v>
      </x:c>
      <x:c r="D615" s="25" t="str">
        <x:v>KPI-95–96</x:v>
      </x:c>
      <x:c r="E615" s="25" t="str">
        <x:v>R22</x:v>
      </x:c>
      <x:c r="F615" s="25" t="str">
        <x:v>Open data gap</x:v>
      </x:c>
      <x:c r="G615" s="25" t="str">
        <x:v>No governed origin/destination region. Maps and preferred-city distance do not close this gap.</x:v>
      </x:c>
    </x:row>
    <x:row r="616" ht="33" customHeight="1">
      <x:c r="A616" s="25" t="str">
        <x:v>GOLD-GAP-004</x:v>
      </x:c>
      <x:c r="B616" s="25" t="str">
        <x:v>QA detail</x:v>
      </x:c>
      <x:c r="C616" s="25" t="str">
        <x:v>QA flag-type history</x:v>
      </x:c>
      <x:c r="D616" s="25" t="str">
        <x:v>KPI-98</x:v>
      </x:c>
      <x:c r="E616" s="25" t="str">
        <x:v>R41, R94</x:v>
      </x:c>
      <x:c r="F616" s="25" t="str">
        <x:v>Open data gap</x:v>
      </x:c>
      <x:c r="G616" s="25" t="str">
        <x:v>Current flags exist; historic flag types and changes remain unsupported.</x:v>
      </x:c>
    </x:row>
    <x:row r="617" ht="46" customHeight="1">
      <x:c r="A617" s="25" t="str">
        <x:v>GOLD-GAP-005</x:v>
      </x:c>
      <x:c r="B617" s="25" t="str">
        <x:v>Document compliance</x:v>
      </x:c>
      <x:c r="C617" s="25" t="str">
        <x:v>Expected-document compliance and blocking</x:v>
      </x:c>
      <x:c r="D617" s="25" t="str">
        <x:v>KPI-102–103</x:v>
      </x:c>
      <x:c r="E617" s="25" t="str">
        <x:v>R48</x:v>
      </x:c>
      <x:c r="F617" s="25" t="str">
        <x:v>Open data gap</x:v>
      </x:c>
      <x:c r="G617" s="25" t="str">
        <x:v>Expected-document policy and blocked-provider outcomes are absent. Expiry dates do not prove compliance.</x:v>
      </x:c>
    </x:row>
    <x:row r="618" ht="59" customHeight="1">
      <x:c r="A618" s="25" t="str">
        <x:v>GOLD-GAP-006</x:v>
      </x:c>
      <x:c r="B618" s="25" t="str">
        <x:v>Decline/framework history</x:v>
      </x:c>
      <x:c r="C618" s="25" t="str">
        <x:v>Reason detail and framework-change history</x:v>
      </x:c>
      <x:c r="D618" s="25" t="str">
        <x:v>KPI-105–106</x:v>
      </x:c>
      <x:c r="E618" s="25" t="str">
        <x:v>R54, R58</x:v>
      </x:c>
      <x:c r="F618" s="25" t="str">
        <x:v>Partially built</x:v>
      </x:c>
      <x:c r="G618" s="25" t="str">
        <x:v>Current assignment decline/cancellation lookup exists; immutable reason history, attribution and effective-dated framework change remain open.</x:v>
      </x:c>
    </x:row>
    <x:row r="619" ht="46" customHeight="1">
      <x:c r="A619" s="25" t="str">
        <x:v>GOLD-GAP-007</x:v>
      </x:c>
      <x:c r="B619" s="25" t="str">
        <x:v>Payments</x:v>
      </x:c>
      <x:c r="C619" s="25" t="str">
        <x:v>Payment method and IPA payment status</x:v>
      </x:c>
      <x:c r="D619" s="25" t="str">
        <x:v>KPI-108–109</x:v>
      </x:c>
      <x:c r="E619" s="25" t="str">
        <x:v>R62</x:v>
      </x:c>
      <x:c r="F619" s="25" t="str">
        <x:v>Open data gap</x:v>
      </x:c>
      <x:c r="G619" s="25" t="str">
        <x:v>Payment/invoice facts absent. Weekly/lifetime cost calculations are estimates, not actual spend.</x:v>
      </x:c>
    </x:row>
    <x:row r="620" ht="59" customHeight="1">
      <x:c r="A620" s="25" t="str">
        <x:v>GOLD-GAP-008</x:v>
      </x:c>
      <x:c r="B620" s="25" t="str">
        <x:v>Provider messages</x:v>
      </x:c>
      <x:c r="C620" s="25" t="str">
        <x:v>Paired response-time and unread-priority KPIs</x:v>
      </x:c>
      <x:c r="D620" s="25" t="str">
        <x:v>KPI-111–112</x:v>
      </x:c>
      <x:c r="E620" s="25" t="str">
        <x:v>R14</x:v>
      </x:c>
      <x:c r="F620" s="25" t="str">
        <x:v>Partially built</x:v>
      </x:c>
      <x:c r="G620" s="25" t="str">
        <x:v>Detailed message/read fields exist; author-role classification, paired responses, priority and unread semantics remain open.</x:v>
      </x:c>
    </x:row>
    <x:row r="621" ht="46" customHeight="1">
      <x:c r="A621" s="25" t="str">
        <x:v>GOLD-GAP-009</x:v>
      </x:c>
      <x:c r="B621" s="25" t="str">
        <x:v>Referral updates</x:v>
      </x:c>
      <x:c r="C621" s="25" t="str">
        <x:v>Durable updates and notification delivery</x:v>
      </x:c>
      <x:c r="D621" s="25" t="str">
        <x:v>KPI-115</x:v>
      </x:c>
      <x:c r="E621" s="25" t="str">
        <x:v>R19</x:v>
      </x:c>
      <x:c r="F621" s="25" t="str">
        <x:v>Proxy only</x:v>
      </x:c>
      <x:c r="G621" s="25" t="str">
        <x:v>Derived lifecycle events exist; full update audit history and notification outcomes are not proven.</x:v>
      </x:c>
    </x:row>
    <x:row r="622" ht="59" customHeight="1">
      <x:c r="A622" s="25" t="str">
        <x:v>GOLD-GAP-010</x:v>
      </x:c>
      <x:c r="B622" s="25" t="str">
        <x:v>Categories/support needs</x:v>
      </x:c>
      <x:c r="C622" s="25" t="str">
        <x:v>Category membership and support needs</x:v>
      </x:c>
      <x:c r="D622" s="25" t="str">
        <x:v>WIP addition</x:v>
      </x:c>
      <x:c r="E622" s="25" t="str">
        <x:v>R13, R26, R51</x:v>
      </x:c>
      <x:c r="F622" s="25" t="str">
        <x:v>Partially built</x:v>
      </x:c>
      <x:c r="G622" s="25" t="str">
        <x:v>Current referral/home category bridges exist. Person support-needs bridge and historical membership are absent from WIP.</x:v>
      </x:c>
    </x:row>
  </x:sheetData>
  <x:mergeCells>
    <x:mergeCell ref="A1:I1"/>
    <x:mergeCell ref="A2:I2"/>
    <x:mergeCell ref="A4:I4"/>
    <x:mergeCell ref="A24:I24"/>
    <x:mergeCell ref="A108:I108"/>
    <x:mergeCell ref="A256:I256"/>
    <x:mergeCell ref="A536:I536"/>
    <x:mergeCell ref="A611:I611"/>
  </x:mergeCells>
  <x:pageMargins left="0.7" right="0.7" top="0.75" bottom="0.75" header="0.3" footer="0.3"/>
  <x:tableParts count="6">
    <x:tablePart xmlns:r="http://schemas.openxmlformats.org/officeDocument/2006/relationships" r:id="Rd3cb4cf96aae491b"/>
    <x:tablePart xmlns:r="http://schemas.openxmlformats.org/officeDocument/2006/relationships" r:id="R860ec25cbe3c48df"/>
    <x:tablePart xmlns:r="http://schemas.openxmlformats.org/officeDocument/2006/relationships" r:id="R99fa784bf1e24ed4"/>
    <x:tablePart xmlns:r="http://schemas.openxmlformats.org/officeDocument/2006/relationships" r:id="R3928d7302fbb4a37"/>
    <x:tablePart xmlns:r="http://schemas.openxmlformats.org/officeDocument/2006/relationships" r:id="R0c3590b9700d4443"/>
    <x:tablePart xmlns:r="http://schemas.openxmlformats.org/officeDocument/2006/relationships" r:id="Rfcfc9dd79477432c"/>
  </x:tableParts>
</x:worksheet>
</file>