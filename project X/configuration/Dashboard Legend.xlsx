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d8b0569cd343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D" sheetId="1" r:id="R4db792a30c7a43f1"/>
    <x:sheet xmlns:r="http://schemas.openxmlformats.org/officeDocument/2006/relationships" name="Table Definition" sheetId="2" r:id="Rf34252c1ff014cbe"/>
    <x:sheet xmlns:r="http://schemas.openxmlformats.org/officeDocument/2006/relationships" name="KPI Definition" sheetId="4" r:id="R830e427a3dab4458"/>
    <x:sheet xmlns:r="http://schemas.openxmlformats.org/officeDocument/2006/relationships" name="Gold Source Coverage" sheetId="5" r:id="R2dce5f3603fd4bb3"/>
  </x:sheets>
</x:workbook>
</file>

<file path=xl/sharedStrings.xml><?xml version="1.0" encoding="utf-8"?>
<x:sst xmlns:x="http://schemas.openxmlformats.org/spreadsheetml/2006/main">
  <x:si>
    <x:t xml:space="preserve">Oiriginal ID</x:t>
  </x:si>
  <x:si>
    <x:t xml:space="preserve">Req ID</x:t>
  </x:si>
  <x:si>
    <x:t xml:space="preserve">Requirement</x:t>
  </x:si>
  <x:si>
    <x:t xml:space="preserve">Stakeholder</x:t>
  </x:si>
  <x:si>
    <x:t xml:space="preserve">Priority</x:t>
  </x:si>
  <x:si>
    <x:t xml:space="preserve">KPI(s)</x:t>
  </x:si>
  <x:si>
    <x:t xml:space="preserve">Status</x:t>
  </x:si>
  <x:si>
    <x:t xml:space="preserve">Gap / Notes</x:t>
  </x:si>
  <x:si>
    <x:t xml:space="preserve">Suggested Action</x:t>
  </x:si>
  <x:si>
    <x:t xml:space="preserve">Notes 30072026</x:t>
  </x:si>
  <x:si>
    <x:t xml:space="preserve">R1</x:t>
  </x:si>
  <x:si>
    <x:t xml:space="preserve">Place children with complex care needs</x:t>
  </x:si>
  <x:si>
    <x:t xml:space="preserve">Placement Officer</x:t>
  </x:si>
  <x:si>
    <x:t xml:space="preserve">High</x:t>
  </x:si>
  <x:si>
    <x:t xml:space="preserve">KPI-01, KPI-08</x:t>
  </x:si>
  <x:si>
    <x:t xml:space="preserve">✅ Implemented</x:t>
  </x:si>
  <x:si>
    <x:t xml:space="preserve">R2</x:t>
  </x:si>
  <x:si>
    <x:t xml:space="preserve">Consider current incumbent solution</x:t>
  </x:si>
  <x:si>
    <x:t xml:space="preserve">All</x:t>
  </x:si>
  <x:si>
    <x:t xml:space="preserve">Low</x:t>
  </x:si>
  <x:si>
    <x:t xml:space="preserve">—</x:t>
  </x:si>
  <x:si>
    <x:t xml:space="preserve">ℹ️ Non-functional</x:t>
  </x:si>
  <x:si>
    <x:t xml:space="preserve">Design constraint, no KPI required</x:t>
  </x:si>
  <x:si>
    <x:t xml:space="preserve">R3</x:t>
  </x:si>
  <x:si>
    <x:t xml:space="preserve">Single regional platform (cross-boundary)</x:t>
  </x:si>
  <x:si>
    <x:t xml:space="preserve">Architecture constraint, no direct KPI</x:t>
  </x:si>
  <x:si>
    <x:t xml:space="preserve">R4</x:t>
  </x:si>
  <x:si>
    <x:t xml:space="preserve">Open source suitability</x:t>
  </x:si>
  <x:si>
    <x:t xml:space="preserve">R5</x:t>
  </x:si>
  <x:si>
    <x:t xml:space="preserve">Agile / MVP / backlog</x:t>
  </x:si>
  <x:si>
    <x:t xml:space="preserve">R6</x:t>
  </x:si>
  <x:si>
    <x:t xml:space="preserve">COTS preferred over bespoke</x:t>
  </x:si>
  <x:si>
    <x:t xml:space="preserve">R7</x:t>
  </x:si>
  <x:si>
    <x:t xml:space="preserve">APIs across WM IT ecosystem</x:t>
  </x:si>
  <x:si>
    <x:t xml:space="preserve">R8</x:t>
  </x:si>
  <x:si>
    <x:t xml:space="preserve">Open-source API compliance</x:t>
  </x:si>
  <x:si>
    <x:t xml:space="preserve">R9</x:t>
  </x:si>
  <x:si>
    <x:t xml:space="preserve">Form pre-population (referral, OFSTED, auth)</x:t>
  </x:si>
  <x:si>
    <x:t xml:space="preserve">Medium</x:t>
  </x:si>
  <x:si>
    <x:t xml:space="preserve">ℹ️ Feature</x:t>
  </x:si>
  <x:si>
    <x:t xml:space="preserve">Data quality benefit, no dedicated KPI</x:t>
  </x:si>
  <x:si>
    <x:t xml:space="preserve">R11</x:t>
  </x:si>
  <x:si>
    <x:t xml:space="preserve">Publish placement requirements to providers</x:t>
  </x:si>
  <x:si>
    <x:t xml:space="preserve">R12</x:t>
  </x:si>
  <x:si>
    <x:t xml:space="preserve">GDPR / DPA 2018 compliance for vulnerable-child data</x:t>
  </x:si>
  <x:si>
    <x:t xml:space="preserve">ℹ️ Security</x:t>
  </x:si>
  <x:si>
    <x:t xml:space="preserve">No dedicated KPI; covered by RLS (R55)</x:t>
  </x:si>
  <x:si>
    <x:t xml:space="preserve">R13</x:t>
  </x:si>
  <x:si>
    <x:t xml:space="preserve">Filter by specialisms, placement type, placement status</x:t>
  </x:si>
  <x:si>
    <x:t xml:space="preserve">KPI-26, KPI-34</x:t>
  </x:si>
  <x:si>
    <x:t xml:space="preserve">R14</x:t>
  </x:si>
  <x:si>
    <x:t xml:space="preserve">In-system messaging (auditable, prioritised, urgent)</x:t>
  </x:si>
  <x:si>
    <x:t xml:space="preserve">Medium-&gt;Low</x:t>
  </x:si>
  <x:si>
    <x:t xml:space="preserve">KPI-110, KPI-111, KPI-112</x:t>
  </x:si>
  <x:si>
    <x:t xml:space="preserve">❌ Missing</x:t>
  </x:si>
  <x:si>
    <x:t xml:space="preserve">Message table exists (fact_provider_message) but no KPI for volume, response time, or priority handling</x:t>
  </x:si>
  <x:si>
    <x:t xml:space="preserve">Add Messages Sent, Avg Response Time, Priority Messages Unread measures</x:t>
  </x:si>
  <x:si>
    <x:t xml:space="preserve">data is available.</x:t>
  </x:si>
  <x:si>
    <x:t xml:space="preserve">R15</x:t>
  </x:si>
  <x:si>
    <x:t xml:space="preserve">Digital info &amp; signatures for IPA</x:t>
  </x:si>
  <x:si>
    <x:t xml:space="preserve">KPI-73, KPI-76, KPI-77</x:t>
  </x:si>
  <x:si>
    <x:t xml:space="preserve">R16</x:t>
  </x:si>
  <x:si>
    <x:t xml:space="preserve">Priority information flagged in placement requests</x:t>
  </x:si>
  <x:si>
    <x:t xml:space="preserve">Visual flag, no dedicated measure</x:t>
  </x:si>
  <x:si>
    <x:t xml:space="preserve">R17</x:t>
  </x:si>
  <x:si>
    <x:t xml:space="preserve">Placement info immediately available on accept</x:t>
  </x:si>
  <x:si>
    <x:t xml:space="preserve">KPI-75</x:t>
  </x:si>
  <x:si>
    <x:t xml:space="preserve">R18</x:t>
  </x:si>
  <x:si>
    <x:t xml:space="preserve">Emergency placements: same-day, distinct ID, separate reporting &amp; finance</x:t>
  </x:si>
  <x:si>
    <x:t xml:space="preserve">KPI-91, KPI-92, KPI-94</x:t>
  </x:si>
  <x:si>
    <x:t xml:space="preserve">No KPI distinguishes emergency from planned/spot. is_spot ≠ emergency. Statutory compliance risk.</x:t>
  </x:si>
  <x:si>
    <x:t xml:space="preserve">Add Emergency Referrals and Emergency Placement Rate measures. Add is_emergency flag to dim_referral.</x:t>
  </x:si>
  <x:si>
    <x:t xml:space="preserve">R19</x:t>
  </x:si>
  <x:si>
    <x:t xml:space="preserve">Update referrals; auto-notify providers</x:t>
  </x:si>
  <x:si>
    <x:t xml:space="preserve">KPI-115</x:t>
  </x:si>
  <x:si>
    <x:t xml:space="preserve">No KPI for referral update frequency or notification delivery</x:t>
  </x:si>
  <x:si>
    <x:t xml:space="preserve">Add Referral Updates per Day measure from referral audit trail</x:t>
  </x:si>
  <x:si>
    <x:t xml:space="preserve">R20</x:t>
  </x:si>
  <x:si>
    <x:t xml:space="preserve">Full audit tracking (placements, IPA, signatures, approvals, negotiations)</x:t>
  </x:si>
  <x:si>
    <x:t xml:space="preserve">Commissioner</x:t>
  </x:si>
  <x:si>
    <x:t xml:space="preserve">KPI-113, KPI-114</x:t>
  </x:si>
  <x:si>
    <x:t xml:space="preserve">No audit trail KPIs exist</x:t>
  </x:si>
  <x:si>
    <x:t xml:space="preserve">Add Audit Events by Type and IPA Signature Completion Rate measures</x:t>
  </x:si>
  <x:si>
    <x:t xml:space="preserve">NEC responsiblility to provide this Feature</x:t>
  </x:si>
  <x:si>
    <x:t xml:space="preserve">R21</x:t>
  </x:si>
  <x:si>
    <x:t xml:space="preserve">Auto-notify unsuccessful providers; optional rejection feedback</x:t>
  </x:si>
  <x:si>
    <x:t xml:space="preserve">Notification feature, no dedicated KPI</x:t>
  </x:si>
  <x:si>
    <x:t xml:space="preserve">R22</x:t>
  </x:si>
  <x:si>
    <x:t xml:space="preserve">Out-of-region placements tagged; finance informed</x:t>
  </x:si>
  <x:si>
    <x:t xml:space="preserve">High-&gt;Medium</x:t>
  </x:si>
  <x:si>
    <x:t xml:space="preserve">KPI-90 (partial), KPI-95, KPI-96</x:t>
  </x:si>
  <x:si>
    <x:t xml:space="preserve">Overlap Referrals measure exists but unclear if it tracks external (non-WM) placements</x:t>
  </x:si>
  <x:si>
    <x:t xml:space="preserve">Add Out-of-Region Referrals measure with geographic tagging</x:t>
  </x:si>
  <x:si>
    <x:t xml:space="preserve">the overlap referral is not related to this requirment</x:t>
  </x:si>
  <x:si>
    <x:t xml:space="preserve">R24</x:t>
  </x:si>
  <x:si>
    <x:t xml:space="preserve">Dashboard: status overview, provider updates, task mgmt, quick updates</x:t>
  </x:si>
  <x:si>
    <x:t xml:space="preserve">KPI-01–KPI-89 (85 measures)</x:t>
  </x:si>
  <x:si>
    <x:t xml:space="preserve">R25</x:t>
  </x:si>
  <x:si>
    <x:t xml:space="preserve">Quickly review detailed placement requests</x:t>
  </x:si>
  <x:si>
    <x:t xml:space="preserve">Provider</x:t>
  </x:si>
  <x:si>
    <x:t xml:space="preserve">KPI-11, KPI-12</x:t>
  </x:si>
  <x:si>
    <x:t xml:space="preserve">R26</x:t>
  </x:si>
  <x:si>
    <x:t xml:space="preserve">Prioritise by match suitability, SOP, existing placements</x:t>
  </x:si>
  <x:si>
    <x:t xml:space="preserve">KPI-19, KPI-20, KPI-37</x:t>
  </x:si>
  <x:si>
    <x:t xml:space="preserve">R27</x:t>
  </x:si>
  <x:si>
    <x:t xml:space="preserve">Request additional info, raise queries, see responses</x:t>
  </x:si>
  <x:si>
    <x:t xml:space="preserve">Communication feature, no dedicated KPI</x:t>
  </x:si>
  <x:si>
    <x:t xml:space="preserve">R28</x:t>
  </x:si>
  <x:si>
    <x:t xml:space="preserve">Accept / reject / request further info</x:t>
  </x:si>
  <x:si>
    <x:t xml:space="preserve">KPI-15, KPI-16, KPI-75</x:t>
  </x:si>
  <x:si>
    <x:t xml:space="preserve">R29</x:t>
  </x:si>
  <x:si>
    <x:t xml:space="preserve">Streamlined offer process</x:t>
  </x:si>
  <x:si>
    <x:t xml:space="preserve">Process efficiency, no dedicated KPI</x:t>
  </x:si>
  <x:si>
    <x:t xml:space="preserve">R31</x:t>
  </x:si>
  <x:si>
    <x:t xml:space="preserve">Resolved requests auto-removed from provider views</x:t>
  </x:si>
  <x:si>
    <x:t xml:space="preserve">No measure tracking resolved-but-not-hidden requests</x:t>
  </x:si>
  <x:si>
    <x:t xml:space="preserve">Add Resolved Requests Visible measure for data quality</x:t>
  </x:si>
  <x:si>
    <x:t xml:space="preserve">email notify feature… not considered pfor phase 2</x:t>
  </x:si>
  <x:si>
    <x:t xml:space="preserve">R32</x:t>
  </x:si>
  <x:si>
    <x:t xml:space="preserve">Matching by SOP and care specialisms</x:t>
  </x:si>
  <x:si>
    <x:t xml:space="preserve">Matching algorithm, no dedicated KPI</x:t>
  </x:si>
  <x:si>
    <x:t xml:space="preserve">R33</x:t>
  </x:si>
  <x:si>
    <x:t xml:space="preserve">Upload and manage placement documentation</x:t>
  </x:si>
  <x:si>
    <x:t xml:space="preserve">Document management, no dedicated KPI</x:t>
  </x:si>
  <x:si>
    <x:t xml:space="preserve">R34</x:t>
  </x:si>
  <x:si>
    <x:t xml:space="preserve">Emergency referrals identifiable and prioritised</x:t>
  </x:si>
  <x:si>
    <x:t xml:space="preserve">KPI-91, KPI-94</x:t>
  </x:si>
  <x:si>
    <x:t xml:space="preserve">Same as R18 — emergency not distinguishable</x:t>
  </x:si>
  <x:si>
    <x:t xml:space="preserve">See R18 action</x:t>
  </x:si>
  <x:si>
    <x:t xml:space="preserve">might be a status field (planned or emergency)</x:t>
  </x:si>
  <x:si>
    <x:t xml:space="preserve">R35</x:t>
  </x:si>
  <x:si>
    <x:t xml:space="preserve">Digitised IPA (review, approvals, signing, audit)</x:t>
  </x:si>
  <x:si>
    <x:t xml:space="preserve">KPI-73–KPI-86</x:t>
  </x:si>
  <x:si>
    <x:t xml:space="preserve">R36</x:t>
  </x:si>
  <x:si>
    <x:t xml:space="preserve">Dedicated view: referrals with outstanding offers / open offers</x:t>
  </x:si>
  <x:si>
    <x:t xml:space="preserve">KPI-10, KPI-29</x:t>
  </x:si>
  <x:si>
    <x:t xml:space="preserve">R38</x:t>
  </x:si>
  <x:si>
    <x:t xml:space="preserve">Record QA assessment outcomes against providers</x:t>
  </x:si>
  <x:si>
    <x:t xml:space="preserve">QA Officer</x:t>
  </x:si>
  <x:si>
    <x:t xml:space="preserve">ℹ️ Data entry</x:t>
  </x:si>
  <x:si>
    <x:t xml:space="preserve">Assessment recording, no dedicated KPI</x:t>
  </x:si>
  <x:si>
    <x:t xml:space="preserve">R39</x:t>
  </x:si>
  <x:si>
    <x:t xml:space="preserve">Desk-based research; identify missing documentation</x:t>
  </x:si>
  <x:si>
    <x:t xml:space="preserve">Research workflow, no dedicated KPI</x:t>
  </x:si>
  <x:si>
    <x:t xml:space="preserve">R41</x:t>
  </x:si>
  <x:si>
    <x:t xml:space="preserve">Apply advisory notices and flags (information notices, safeguarding)</x:t>
  </x:si>
  <x:si>
    <x:t xml:space="preserve">KPI-97, KPI-98, KPI-99</x:t>
  </x:si>
  <x:si>
    <x:t xml:space="preserve">No KPI shows flagged provider counts or flag types</x:t>
  </x:si>
  <x:si>
    <x:t xml:space="preserve">Add Providers with QA Flags, QA Flag Type Breakdown measures</x:t>
  </x:si>
  <x:si>
    <x:t xml:space="preserve">Flags against homes not Provider… should be in a text label</x:t>
  </x:si>
  <x:si>
    <x:t xml:space="preserve">R45</x:t>
  </x:si>
  <x:si>
    <x:t xml:space="preserve">SPOT providers upload registration documentation</x:t>
  </x:si>
  <x:si>
    <x:t xml:space="preserve">Document upload, no dedicated KPI</x:t>
  </x:si>
  <x:si>
    <x:t xml:space="preserve">R46</x:t>
  </x:si>
  <x:si>
    <x:t xml:space="preserve">QA intelligence for non-framework providers shared appropriately</x:t>
  </x:si>
  <x:si>
    <x:t xml:space="preserve">KPI-46, KPI-47</x:t>
  </x:si>
  <x:si>
    <x:t xml:space="preserve">R47</x:t>
  </x:si>
  <x:si>
    <x:t xml:space="preserve">Monitor documentation expiry; send reminders; highlight missing</x:t>
  </x:si>
  <x:si>
    <x:t xml:space="preserve">KPI-100, KPI-101</x:t>
  </x:si>
  <x:si>
    <x:t xml:space="preserve">No KPI for documents nearing expiry or already expired</x:t>
  </x:si>
  <x:si>
    <x:t xml:space="preserve">Add Documents Expiring (30 Days) and Documents Expired measures</x:t>
  </x:si>
  <x:si>
    <x:t xml:space="preserve">documentation will be useful</x:t>
  </x:si>
  <x:si>
    <x:t xml:space="preserve">R48</x:t>
  </x:si>
  <x:si>
    <x:t xml:space="preserve">Providers with incomplete docs excluded from referrals</x:t>
  </x:si>
  <x:si>
    <x:t xml:space="preserve">KPI-102, KPI-103</x:t>
  </x:si>
  <x:si>
    <x:t xml:space="preserve">No measure showing providers blocked due to incomplete docs</x:t>
  </x:si>
  <x:si>
    <x:t xml:space="preserve">Add Providers Blocked (Incomplete Docs) and Document Compliance Rate measures</x:t>
  </x:si>
  <x:si>
    <x:t xml:space="preserve">R49</x:t>
  </x:si>
  <x:si>
    <x:t xml:space="preserve">Easily identify provider due diligence status</x:t>
  </x:si>
  <x:si>
    <x:t xml:space="preserve">KPI-104</x:t>
  </x:si>
  <x:si>
    <x:t xml:space="preserve">No KPI for due diligence status</x:t>
  </x:si>
  <x:si>
    <x:t xml:space="preserve">Add Providers by Due Diligence Status measure</x:t>
  </x:si>
  <x:si>
    <x:t xml:space="preserve">R51</x:t>
  </x:si>
  <x:si>
    <x:t xml:space="preserve">Robust data model: placement records, market intelligence, value analysis</x:t>
  </x:si>
  <x:si>
    <x:t xml:space="preserve">KPI-01–KPI-10, KPI-13, KPI-14, KPI-20</x:t>
  </x:si>
  <x:si>
    <x:t xml:space="preserve">R52</x:t>
  </x:si>
  <x:si>
    <x:t xml:space="preserve">Accurate and customisable reporting</x:t>
  </x:si>
  <x:si>
    <x:t xml:space="preserve">KPI-23, KPI-24</x:t>
  </x:si>
  <x:si>
    <x:t xml:space="preserve">R53</x:t>
  </x:si>
  <x:si>
    <x:t xml:space="preserve">Data consistent, exportable, supports bespoke analysis</x:t>
  </x:si>
  <x:si>
    <x:t xml:space="preserve">KPI-88</x:t>
  </x:si>
  <x:si>
    <x:t xml:space="preserve">R54</x:t>
  </x:si>
  <x:si>
    <x:t xml:space="preserve">Capture reasons for declined placements</x:t>
  </x:si>
  <x:si>
    <x:t xml:space="preserve">KPI-34 (partial), KPI-105</x:t>
  </x:si>
  <x:si>
    <x:t xml:space="preserve">⚠️ Partial</x:t>
  </x:si>
  <x:si>
    <x:t xml:space="preserve">Closed Referrals (by Reason) only covers offer-level decline codes, not full referral-level decline reasons</x:t>
  </x:si>
  <x:si>
    <x:t xml:space="preserve">Expand to include referral_provider_decline_reason data</x:t>
  </x:si>
  <x:si>
    <x:t xml:space="preserve">R55</x:t>
  </x:si>
  <x:si>
    <x:t xml:space="preserve">RBAC: commissioners access regional data, market-wide trends</x:t>
  </x:si>
  <x:si>
    <x:t xml:space="preserve">RLS requirement, not a measure. Verify RLS configured</x:t>
  </x:si>
  <x:si>
    <x:t xml:space="preserve">Verify RLS configuration in semantic model</x:t>
  </x:si>
  <x:si>
    <x:t xml:space="preserve">R57</x:t>
  </x:si>
  <x:si>
    <x:t xml:space="preserve">Emergency and planned placements separately reportable</x:t>
  </x:si>
  <x:si>
    <x:t xml:space="preserve">KPI-91, KPI-93, KPI-94</x:t>
  </x:si>
  <x:si>
    <x:t xml:space="preserve">Same as R18 — emergency vs planned not splittable</x:t>
  </x:si>
  <x:si>
    <x:t xml:space="preserve">Similar to R18</x:t>
  </x:si>
  <x:si>
    <x:t xml:space="preserve">R58</x:t>
  </x:si>
  <x:si>
    <x:t xml:space="preserve">Alert when framework changes during active referrals</x:t>
  </x:si>
  <x:si>
    <x:t xml:space="preserve">KPI-106</x:t>
  </x:si>
  <x:si>
    <x:t xml:space="preserve">No KPI for framework change tracking during active referrals</x:t>
  </x:si>
  <x:si>
    <x:t xml:space="preserve">Add Framework Changes During Active Referrals measure</x:t>
  </x:si>
  <x:si>
    <x:t xml:space="preserve">***spot proivder are those that arent on the framework…</x:t>
  </x:si>
  <x:si>
    <x:t xml:space="preserve">R59</x:t>
  </x:si>
  <x:si>
    <x:t xml:space="preserve">Bulk provider onboarding supported</x:t>
  </x:si>
  <x:si>
    <x:t xml:space="preserve">KPI-116, KPI-117</x:t>
  </x:si>
  <x:si>
    <x:t xml:space="preserve">No KPI for onboarding pipeline</x:t>
  </x:si>
  <x:si>
    <x:t xml:space="preserve">Add Providers in Onboarding Pipeline and Bulk Onboarding Success Rate measures</x:t>
  </x:si>
  <x:si>
    <x:t xml:space="preserve">R62</x:t>
  </x:si>
  <x:si>
    <x:t xml:space="preserve">View completed placements, access IPAs, extract payment info</x:t>
  </x:si>
  <x:si>
    <x:t xml:space="preserve">Finance Officer</x:t>
  </x:si>
  <x:si>
    <x:t xml:space="preserve">KPI-107, KPI-108, KPI-109</x:t>
  </x:si>
  <x:si>
    <x:t xml:space="preserve">IPA funnel exists but no finance-specific views (weekly fees, payment methods, invoice details)</x:t>
  </x:si>
  <x:si>
    <x:t xml:space="preserve">Add Total Weekly Fee Liability, Payment Method Breakdown, IPA Payment Status measures</x:t>
  </x:si>
  <x:si>
    <x:t xml:space="preserve">Only completed IPA where both signatures… or completed IPA with 1 signature… IPA with no signatures</x:t>
  </x:si>
  <x:si>
    <x:t xml:space="preserve">R67</x:t>
  </x:si>
  <x:si>
    <x:t xml:space="preserve">Support adding new frameworks</x:t>
  </x:si>
  <x:si>
    <x:t xml:space="preserve">KPI-25, KPI-38</x:t>
  </x:si>
  <x:si>
    <x:t xml:space="preserve">R68</x:t>
  </x:si>
  <x:si>
    <x:t xml:space="preserve">Frameworks configurable: display, hide, isolate by region</x:t>
  </x:si>
  <x:si>
    <x:t xml:space="preserve">R69</x:t>
  </x:si>
  <x:si>
    <x:t xml:space="preserve">Robust analytical data model</x:t>
  </x:si>
  <x:si>
    <x:t xml:space="preserve">Architecture constraint, no dedicated KPI</x:t>
  </x:si>
  <x:si>
    <x:t xml:space="preserve">R70</x:t>
  </x:si>
  <x:si>
    <x:t xml:space="preserve">Auto-save across workflows</x:t>
  </x:si>
  <x:si>
    <x:t xml:space="preserve">R71</x:t>
  </x:si>
  <x:si>
    <x:t xml:space="preserve">Digitised IPA: review, approvals, signing, full audit</x:t>
  </x:si>
  <x:si>
    <x:t xml:space="preserve">R72</x:t>
  </x:si>
  <x:si>
    <x:t xml:space="preserve">Digitise paper processes: workflow, auditable, trackable, lifecycle</x:t>
  </x:si>
  <x:si>
    <x:t xml:space="preserve">Process digitisation, no dedicated KPI</x:t>
  </x:si>
  <x:si>
    <x:t xml:space="preserve">R73</x:t>
  </x:si>
  <x:si>
    <x:t xml:space="preserve">Support future enhancements and Agile delivery</x:t>
  </x:si>
  <x:si>
    <x:t xml:space="preserve">R74</x:t>
  </x:si>
  <x:si>
    <x:t xml:space="preserve">COTS preferred</x:t>
  </x:si>
  <x:si>
    <x:t xml:space="preserve">R75</x:t>
  </x:si>
  <x:si>
    <x:t xml:space="preserve">High availability, scalability, fault tolerance, DR</x:t>
  </x:si>
  <x:si>
    <x:t xml:space="preserve">R76</x:t>
  </x:si>
  <x:si>
    <x:t xml:space="preserve">Access restricted to authorised users</x:t>
  </x:si>
  <x:si>
    <x:t xml:space="preserve">R77</x:t>
  </x:si>
  <x:si>
    <x:t xml:space="preserve">Admin: user management, org onboarding, ownership transfer</x:t>
  </x:si>
  <x:si>
    <x:t xml:space="preserve">R78</x:t>
  </x:si>
  <x:si>
    <x:t xml:space="preserve">RBAC and full auditing mandatory</x:t>
  </x:si>
  <x:si>
    <x:t xml:space="preserve">R79</x:t>
  </x:si>
  <x:si>
    <x:t xml:space="preserve">Break-glass access: controlled, auditable, emergency</x:t>
  </x:si>
  <x:si>
    <x:t xml:space="preserve">R80</x:t>
  </x:si>
  <x:si>
    <x:t xml:space="preserve">Fast document upload/retrieval, RBAC-protected access</x:t>
  </x:si>
  <x:si>
    <x:t xml:space="preserve">R81</x:t>
  </x:si>
  <x:si>
    <x:t xml:space="preserve">WCAG 2.0/2.1/2.2 compliance</x:t>
  </x:si>
  <x:si>
    <x:t xml:space="preserve">R82</x:t>
  </x:si>
  <x:si>
    <x:t xml:space="preserve">Fast response times, scalability, performance reporting</x:t>
  </x:si>
  <x:si>
    <x:t xml:space="preserve">KPI-87</x:t>
  </x:si>
  <x:si>
    <x:t xml:space="preserve">R83</x:t>
  </x:si>
  <x:si>
    <x:t xml:space="preserve">Migrate placements, purchases, providers, OFSTED, frameworks, active placements</x:t>
  </x:si>
  <x:si>
    <x:t xml:space="preserve">Data migration, no dedicated KPI</x:t>
  </x:si>
  <x:si>
    <x:t xml:space="preserve">R84</x:t>
  </x:si>
  <x:si>
    <x:t xml:space="preserve">Data integrity, retention, export, configurable policies</x:t>
  </x:si>
  <x:si>
    <x:t xml:space="preserve">R85</x:t>
  </x:si>
  <x:si>
    <x:t xml:space="preserve">Deployment: FAQs, user guides, demos, support materials</x:t>
  </x:si>
  <x:si>
    <x:t xml:space="preserve">R86</x:t>
  </x:si>
  <x:si>
    <x:t xml:space="preserve">Device agnostic, browser compatible, mobile friendly</x:t>
  </x:si>
  <x:si>
    <x:t xml:space="preserve">R87</x:t>
  </x:si>
  <x:si>
    <x:t xml:space="preserve">Incident management, issue reporting, SLAs</x:t>
  </x:si>
  <x:si>
    <x:t xml:space="preserve">R88</x:t>
  </x:si>
  <x:si>
    <x:t xml:space="preserve">Modular growth, controlled change, product roadmaps</x:t>
  </x:si>
  <x:si>
    <x:t xml:space="preserve">R89</x:t>
  </x:si>
  <x:si>
    <x:t xml:space="preserve">Stakeholder demos, UAT, formal sign-off</x:t>
  </x:si>
  <x:si>
    <x:t xml:space="preserve">R90</x:t>
  </x:si>
  <x:si>
    <x:t xml:space="preserve">Hosting options, deployment models, cloud strategy</x:t>
  </x:si>
  <x:si>
    <x:t xml:space="preserve">R91</x:t>
  </x:si>
  <x:si>
    <x:t xml:space="preserve">Provider registration: company, services, homes, docs</x:t>
  </x:si>
  <x:si>
    <x:t xml:space="preserve">KPI-40, KPI-41</x:t>
  </x:si>
  <x:si>
    <x:t xml:space="preserve">R92</x:t>
  </x:si>
  <x:si>
    <x:t xml:space="preserve">LA review and approve/reject registrations</x:t>
  </x:si>
  <x:si>
    <x:t xml:space="preserve">R93</x:t>
  </x:si>
  <x:si>
    <x:t xml:space="preserve">Placement officer: provider directory, services, homes, docs</x:t>
  </x:si>
  <x:si>
    <x:t xml:space="preserve">KPI-40–KPI-52</x:t>
  </x:si>
  <x:si>
    <x:t xml:space="preserve">R94</x:t>
  </x:si>
  <x:si>
    <x:t xml:space="preserve">QA: search providers, apply/remove flags</x:t>
  </x:si>
  <x:si>
    <x:t xml:space="preserve">KPI-97, KPI-98 (partial)</x:t>
  </x:si>
  <x:si>
    <x:t xml:space="preserve">Flag application exists in UI but no KPI for flag counts or types</x:t>
  </x:si>
  <x:si>
    <x:t xml:space="preserve">Add Providers with QA Flags and QA Flag Type Breakdown measures</x:t>
  </x:si>
  <x:si>
    <x:t xml:space="preserve">R95</x:t>
  </x:si>
  <x:si>
    <x:t xml:space="preserve">Reflect Fostering Framework changes (Q3 2024)</x:t>
  </x:si>
  <x:si>
    <x:t xml:space="preserve">KPI-42, KPI-51</x:t>
  </x:si>
  <x:si>
    <x:t xml:space="preserve">R96</x:t>
  </x:si>
  <x:si>
    <x:t xml:space="preserve">Reflect Residential Framework 2.0 (Spring 2025)</x:t>
  </x:si>
  <x:si>
    <x:t xml:space="preserve">KPI-43, KPI-49</x:t>
  </x:si>
</x:sst>
</file>

<file path=xl/styles.xml><?xml version="1.0" encoding="utf-8"?>
<x:styleSheet xmlns:x="http://schemas.openxmlformats.org/spreadsheetml/2006/main">
  <x:fonts count="10">
    <x:font>
      <x:sz val="11"/>
      <x:color theme="1"/>
      <x:name val="Aptos Narrow"/>
    </x:font>
    <x:font>
      <x:sz val="11"/>
      <x:color rgb="FF006100"/>
      <x:name val="Aptos Narrow"/>
    </x:font>
    <x:font>
      <x:sz val="11"/>
      <x:color rgb="FF9C0006"/>
      <x:name val="Aptos Narrow"/>
    </x:font>
    <x:font>
      <x:b/>
      <x:sz val="11"/>
      <x:color theme="1"/>
      <x:name val="Aptos Narrow"/>
    </x:font>
    <x:font>
      <x:b/>
      <x:sz val="16"/>
      <x:color rgb="FF1F2937"/>
      <x:name val="Aptos Narrow"/>
    </x:font>
    <x:font>
      <x:i/>
      <x:sz val="11"/>
      <x:color rgb="FF4B5563"/>
      <x:name val="Aptos Narrow"/>
    </x:font>
    <x:font>
      <x:b/>
      <x:sz val="11"/>
      <x:color rgb="FFFFFFFF"/>
      <x:name val="Aptos Narrow"/>
    </x:font>
    <x:font>
      <x:b/>
      <x:sz val="11"/>
      <x:color rgb="FF92400E"/>
      <x:name val="Aptos Narrow"/>
    </x:font>
    <x:font>
      <x:b/>
      <x:sz val="11"/>
      <x:color rgb="FF9A3412"/>
      <x:name val="Aptos Narrow"/>
    </x:font>
    <x:font>
      <x:i/>
      <x:sz val="11"/>
      <x:color rgb="FF374151"/>
      <x:name val="Aptos Narrow"/>
    </x:font>
  </x:fonts>
  <x:fills count="29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FF00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EF3C7"/>
      </x:patternFill>
    </x:fill>
    <x:fill>
      <x:patternFill patternType="solid">
        <x:fgColor rgb="FFFFEDD5"/>
      </x:patternFill>
    </x:fill>
    <x:fill>
      <x:patternFill patternType="solid">
        <x:fgColor rgb="FFF3F4F6"/>
      </x:patternFill>
    </x:fill>
    <x:fill>
      <x:patternFill patternType="solid">
        <x:fgColor rgb="FF1F4E78"/>
      </x:patternFill>
    </x:fill>
  </x:fills>
  <x:borders count="1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top style="thin">
        <x:color rgb="FFD1D5DB"/>
      </x:top>
    </x:border>
  </x:borders>
  <x:cellStyleXfs count="3">
    <x:xf numFmtId="0" fontId="0" fillId="0" borderId="0"/>
    <x:xf numFmtId="0" fontId="1" fillId="2" borderId="0" applyNumberFormat="0" applyBorder="0" applyAlignment="0" applyProtection="0"/>
    <x:xf numFmtId="0" fontId="2" fillId="3" borderId="0" applyNumberFormat="0" applyBorder="0" applyAlignment="0" applyProtection="0"/>
  </x:cellStyleXfs>
  <x:cellXfs count="148">
    <x:xf numFmtId="0" fontId="0" fillId="0" borderId="0" xfId="0"/>
    <x:xf numFmtId="1" fontId="0" fillId="0" borderId="0" xfId="0" applyNumberFormat="1"/>
    <x:xf numFmtId="0" fontId="3" fillId="0" borderId="0" xfId="0" applyFont="1"/>
    <x:xf numFmtId="0" fontId="1" fillId="2" borderId="0" xfId="1"/>
    <x:xf numFmtId="0" fontId="2" fillId="3" borderId="0" xfId="2"/>
    <x:xf numFmtId="0" fontId="3" fillId="4" borderId="0" xfId="0" applyFont="1" applyFill="1"/>
    <x:xf numFmtId="0" fontId="0" fillId="4" borderId="0" xfId="0" applyFill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horizont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6" fillId="8" borderId="1" xfId="0" applyNumberFormat="1" applyFont="1" applyFill="1" applyBorder="1" applyAlignment="1">
      <x:alignment horizontal="center" wrapText="1"/>
    </x:xf>
    <x:xf numFmtId="0" fontId="6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5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1" xfId="0" applyNumberFormat="1" applyFont="1" applyFill="1" applyBorder="1"/>
    <x:xf numFmtId="0" fontId="6" fillId="11" borderId="1" xfId="0" applyNumberFormat="1" applyFont="1" applyFill="1" applyBorder="1" applyAlignment="1">
      <x:alignment wrapText="1"/>
    </x:xf>
    <x:xf numFmtId="0" fontId="6" fillId="11" borderId="1" xfId="0" applyNumberFormat="1" applyFont="1" applyFill="1" applyBorder="1" applyAlignment="1">
      <x:alignment horizontal="center" wrapText="1"/>
    </x:xf>
    <x:xf numFmtId="0" fontId="6" fillId="11" borderId="1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6" fillId="12" borderId="0" xfId="0" applyNumberFormat="1" applyFont="1" applyFill="1" applyBorder="1"/>
    <x:xf numFmtId="0" fontId="6" fillId="12" borderId="1" xfId="0" applyNumberFormat="1" applyFont="1" applyFill="1" applyBorder="1"/>
    <x:xf numFmtId="0" fontId="6" fillId="12" borderId="1" xfId="0" applyNumberFormat="1" applyFont="1" applyFill="1" applyBorder="1" applyAlignment="1">
      <x:alignment wrapText="1"/>
    </x:xf>
    <x:xf numFmtId="0" fontId="6" fillId="12" borderId="1" xfId="0" applyNumberFormat="1" applyFont="1" applyFill="1" applyBorder="1" applyAlignment="1">
      <x:alignment horizontal="center" wrapText="1"/>
    </x:xf>
    <x:xf numFmtId="0" fontId="6" fillId="12" borderId="1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1" xfId="0" applyNumberFormat="1" applyFont="1" applyFill="1" applyBorder="1"/>
    <x:xf numFmtId="0" fontId="6" fillId="15" borderId="1" xfId="0" applyNumberFormat="1" applyFont="1" applyFill="1" applyBorder="1" applyAlignment="1">
      <x:alignment wrapText="1"/>
    </x:xf>
    <x:xf numFmtId="0" fontId="6" fillId="15" borderId="1" xfId="0" applyNumberFormat="1" applyFont="1" applyFill="1" applyBorder="1" applyAlignment="1">
      <x:alignment horizontal="center" wrapText="1"/>
    </x:xf>
    <x:xf numFmtId="0" fontId="6" fillId="15" borderId="1" xfId="0" applyNumberFormat="1" applyFont="1" applyFill="1" applyBorder="1" applyAlignment="1">
      <x:alignment horizontal="center" vertical="center" wrapText="1"/>
    </x:xf>
    <x:xf numFmtId="0" fontId="6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1" xfId="0" applyNumberFormat="1" applyFont="1" applyFill="1" applyBorder="1"/>
    <x:xf numFmtId="0" fontId="6" fillId="16" borderId="1" xfId="0" applyNumberFormat="1" applyFont="1" applyFill="1" applyBorder="1" applyAlignment="1">
      <x:alignment wrapText="1"/>
    </x:xf>
    <x:xf numFmtId="0" fontId="6" fillId="16" borderId="1" xfId="0" applyNumberFormat="1" applyFont="1" applyFill="1" applyBorder="1" applyAlignment="1">
      <x:alignment horizontal="center" wrapText="1"/>
    </x:xf>
    <x:xf numFmtId="0" fontId="6" fillId="16" borderId="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4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5" fillId="18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" xfId="0" applyNumberFormat="1" applyFont="1" applyFill="1" applyBorder="1"/>
    <x:xf numFmtId="0" fontId="6" fillId="19" borderId="1" xfId="0" applyNumberFormat="1" applyFont="1" applyFill="1" applyBorder="1" applyAlignment="1">
      <x:alignment wrapText="1"/>
    </x:xf>
    <x:xf numFmtId="0" fontId="6" fillId="19" borderId="1" xfId="0" applyNumberFormat="1" applyFont="1" applyFill="1" applyBorder="1" applyAlignment="1">
      <x:alignment horizontal="center" wrapText="1"/>
    </x:xf>
    <x:xf numFmtId="0" fontId="6" fillId="19" borderId="1" xfId="0" applyNumberFormat="1" applyFont="1" applyFill="1" applyBorder="1" applyAlignment="1">
      <x:alignment horizontal="center" vertical="center" wrapText="1"/>
    </x:xf>
    <x:xf numFmtId="0" fontId="6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6" fillId="20" borderId="0" xfId="0" applyNumberFormat="1" applyFont="1" applyFill="1" applyBorder="1"/>
    <x:xf numFmtId="0" fontId="6" fillId="20" borderId="1" xfId="0" applyNumberFormat="1" applyFont="1" applyFill="1" applyBorder="1"/>
    <x:xf numFmtId="0" fontId="6" fillId="20" borderId="1" xfId="0" applyNumberFormat="1" applyFont="1" applyFill="1" applyBorder="1" applyAlignment="1">
      <x:alignment wrapText="1"/>
    </x:xf>
    <x:xf numFmtId="0" fontId="6" fillId="20" borderId="1" xfId="0" applyNumberFormat="1" applyFont="1" applyFill="1" applyBorder="1" applyAlignment="1">
      <x:alignment horizontal="center" wrapText="1"/>
    </x:xf>
    <x:xf numFmtId="0" fontId="6" fillId="20" borderId="1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4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5" fillId="22" borderId="0" xfId="0" applyNumberFormat="1" applyFont="1" applyFill="1" applyBorder="1"/>
    <x:xf numFmtId="0" fontId="5" fillId="22" borderId="0" xfId="0" applyNumberFormat="1" applyFont="1" applyFill="1" applyBorder="1" applyAlignment="1">
      <x:alignment wrapText="1"/>
    </x:xf>
    <x:xf numFmtId="0" fontId="5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6" fillId="23" borderId="0" xfId="0" applyNumberFormat="1" applyFont="1" applyFill="1" applyBorder="1"/>
    <x:xf numFmtId="0" fontId="6" fillId="23" borderId="1" xfId="0" applyNumberFormat="1" applyFont="1" applyFill="1" applyBorder="1"/>
    <x:xf numFmtId="0" fontId="6" fillId="23" borderId="1" xfId="0" applyNumberFormat="1" applyFont="1" applyFill="1" applyBorder="1" applyAlignment="1">
      <x:alignment wrapText="1"/>
    </x:xf>
    <x:xf numFmtId="0" fontId="6" fillId="23" borderId="1" xfId="0" applyNumberFormat="1" applyFont="1" applyFill="1" applyBorder="1" applyAlignment="1">
      <x:alignment horizontal="center" wrapText="1"/>
    </x:xf>
    <x:xf numFmtId="0" fontId="6" fillId="23" borderId="1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6" fillId="24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12" xfId="0" applyNumberFormat="1" applyFont="1" applyFill="1" applyBorder="1"/>
    <x:xf numFmtId="0" fontId="0" fillId="25" borderId="0" xfId="0" applyNumberFormat="1" applyFont="1" applyFill="1" applyBorder="1"/>
    <x:xf numFmtId="0" fontId="7" fillId="25" borderId="0" xfId="0" applyNumberFormat="1" applyFont="1" applyFill="1" applyBorder="1"/>
    <x:xf numFmtId="0" fontId="0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top" wrapText="1"/>
    </x:xf>
    <x:xf numFmtId="0" fontId="5" fillId="27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9" fillId="27" borderId="0" xfId="0" applyNumberFormat="1" applyFont="1" applyFill="1" applyBorder="1" applyAlignment="1">
      <x:alignment vertical="center" wrapText="1"/>
    </x:xf>
    <x:xf numFmtId="0" fontId="9" fillId="27" borderId="0" xfId="0" applyNumberFormat="1" applyFont="1" applyFill="1" applyBorder="1"/>
    <x:xf numFmtId="0" fontId="9" fillId="2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 applyAlignment="1">
      <x:alignment wrapText="1"/>
    </x:xf>
    <x:xf numFmtId="0" fontId="6" fillId="28" borderId="0" xfId="0" applyNumberFormat="1" applyFont="1" applyFill="1" applyBorder="1" applyAlignment="1">
      <x:alignment wrapText="1"/>
    </x:xf>
    <x:xf numFmtId="0" fontId="6" fillId="28" borderId="0" xfId="0" applyNumberFormat="1" applyFont="1" applyFill="1" applyBorder="1" applyAlignment="1">
      <x:alignment horizontal="center" wrapText="1"/>
    </x:xf>
    <x:xf numFmtId="0" fontId="6" fillId="28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3">
    <x:cellStyle name="Bad" xfId="2"/>
    <x:cellStyle name="Good" xfId="1"/>
    <x:cellStyle name="Normal" xfId="0"/>
  </x:cellStyles>
  <x:dxfs count="48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F4D2E"/>
      </x:font>
      <x:fill>
        <x:patternFill>
          <x:bgColor rgb="FFE2F0D9"/>
        </x:patternFill>
      </x:fill>
    </x:dxf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0831634a394840" /><Relationship Type="http://schemas.openxmlformats.org/officeDocument/2006/relationships/theme" Target="/xl/theme/theme1.xml" Id="R934d809aacd2452b" /><Relationship Type="http://schemas.openxmlformats.org/officeDocument/2006/relationships/sharedStrings" Target="/xl/sharedStrings.xml" Id="R66dc5e83e0cb4bf5" /><Relationship Type="http://schemas.openxmlformats.org/officeDocument/2006/relationships/worksheet" Target="/xl/worksheets/sheet1.xml" Id="R4db792a30c7a43f1" /><Relationship Type="http://schemas.openxmlformats.org/officeDocument/2006/relationships/worksheet" Target="/xl/worksheets/sheet2.xml" Id="Rf34252c1ff014cbe" /><Relationship Type="http://schemas.openxmlformats.org/officeDocument/2006/relationships/worksheet" Target="/xl/worksheets/sheet3.xml" Id="R830e427a3dab4458" /><Relationship Type="http://schemas.openxmlformats.org/officeDocument/2006/relationships/worksheet" Target="/xl/worksheets/sheet4.xml" Id="R2dce5f3603fd4bb3" /></Relationships>
</file>

<file path=xl/tables/table1.xml><?xml version="1.0" encoding="utf-8"?>
<x:table xmlns:x="http://schemas.openxmlformats.org/spreadsheetml/2006/main" id="10" name="ActiveGoldObjects" displayName="ActiveGoldObjects" ref="A4:F24" headerRowCount="1" totalsRowCount="0" totalsRowShown="0">
  <x:tableColumns count="6">
    <x:tableColumn id="1" name="Gold object"/>
    <x:tableColumn id="2" name="Object type"/>
    <x:tableColumn id="3" name="Grain / key"/>
    <x:tableColumn id="4" name="Source"/>
    <x:tableColumn id="5" name="Purpose"/>
    <x:tableColumn id="6" name="Semantic-model u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ActiveGoldKpis" displayName="ActiveGoldKpis" ref="A4:H113" headerRowCount="1" totalsRowCount="0" totalsRowShown="0">
  <x:tableColumns count="8">
    <x:tableColumn id="1" name="Gold KPI ID"/>
    <x:tableColumn id="2" name="Business area"/>
    <x:tableColumn id="3" name="DAX measure"/>
    <x:tableColumn id="4" name="Legacy KPI mapping"/>
    <x:tableColumn id="5" name="Requirement IDs"/>
    <x:tableColumn id="6" name="Active Gold source"/>
    <x:tableColumn id="7" name="Port status"/>
    <x:tableColumn id="8" name="DAX-guide sec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ActiveGoldKpiGaps" displayName="ActiveGoldKpiGaps" ref="A116:G126" headerRowCount="1" totalsRowCount="0" totalsRowShown="0">
  <x:tableColumns count="7">
    <x:tableColumn id="1" name="Gap ID"/>
    <x:tableColumn id="2" name="Business area"/>
    <x:tableColumn id="3" name="KPI / capability"/>
    <x:tableColumn id="4" name="Legacy KPI mapping"/>
    <x:tableColumn id="5" name="Requirement IDs"/>
    <x:tableColumn id="6" name="Status"/>
    <x:tableColumn id="7" name="Reason / next Gold-model chan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GoldSourceCoverage" displayName="GoldSourceCoverage" ref="A4:H20" headerRowCount="1" totalsRowCount="0" totalsRowShown="0">
  <x:tableColumns count="8">
    <x:tableColumn id="1" name="Requirement / capability"/>
    <x:tableColumn id="2" name="Required source entity / extract"/>
    <x:tableColumn id="3" name="Expected Bronze → Silver table"/>
    <x:tableColumn id="4" name="Fields needed"/>
    <x:tableColumn id="5" name="Source / Silver evidence"/>
    <x:tableColumn id="6" name="Current Gold publication"/>
    <x:tableColumn id="7" name="Gold coverage"/>
    <x:tableColumn id="8" name="Action / conclu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5288ac76a114eb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27bfc275416499a" /><Relationship Type="http://schemas.openxmlformats.org/officeDocument/2006/relationships/table" Target="/xl/tables/table3.xml" Id="R8073f206ba004a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2e9218317854e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53125" style="1" customWidth="1"/>
    <x:col min="2" max="2" width="10.7265625" customWidth="1"/>
    <x:col min="3" max="3" width="65.54296875" customWidth="1"/>
    <x:col min="4" max="4" width="17.7265625" customWidth="1"/>
    <x:col min="5" max="5" width="16.54296875" customWidth="1"/>
    <x:col min="6" max="6" width="20.1796875" customWidth="1"/>
    <x:col min="7" max="7" width="21.1796875" customWidth="1"/>
    <x:col min="8" max="8" width="34.54296875" customWidth="1"/>
    <x:col min="9" max="9" width="25.7265625" customWidth="1"/>
    <x:col min="11" max="11" width="15.1796875" customWidth="1"/>
    <x:col min="12" max="12" width="18" hidden="0" customWidth="1"/>
    <x:col min="13" max="13" width="44" hidden="0" customWidth="1"/>
    <x:col min="14" max="14" width="62" hidden="0" customWidth="1"/>
  </x:cols>
  <x:sheetData>
    <x:row r="1" ht="15" hidden="0" customHeight="1">
      <x:c r="A1" s="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K1" t="s">
        <x:v>9</x:v>
      </x:c>
      <x:c r="L1" s="106" t="str">
        <x:v>Gold v02 coverage</x:v>
      </x:c>
      <x:c r="M1" s="106" t="str">
        <x:v>Gold v02 KPIs / assets</x:v>
      </x:c>
      <x:c r="N1" s="106" t="str">
        <x:v>Gold v02 implementation note</x:v>
      </x:c>
    </x:row>
    <x:row r="2" ht="15" hidden="0" customHeight="1">
      <x:c r="A2" s="1" t="n">
        <x:f t="shared" ref="A2:A65" si="0">VALUE(TRIM(SUBSTITUTE(B2,"R","",1)))</x:f>
        <x:v>1</x:v>
      </x:c>
      <x:c r="B2" t="s">
        <x:v>10</x:v>
      </x:c>
      <x:c r="C2" t="s">
        <x:v>11</x:v>
      </x:c>
      <x:c r="D2" t="s">
        <x:v>12</x:v>
      </x:c>
      <x:c r="E2" t="s">
        <x:v>13</x:v>
      </x:c>
      <x:c r="F2" t="s">
        <x:v>14</x:v>
      </x:c>
      <x:c r="G2" t="s">
        <x:v>15</x:v>
      </x:c>
      <x:c r="L2" s="38" t="str">
        <x:v>Not assessed</x:v>
      </x:c>
      <x:c r="M2" s="39" t="str">
        <x:v>—</x:v>
      </x:c>
      <x:c r="N2" s="39" t="str">
        <x:v>No direct active-Gold KPI mapping recorded.</x:v>
      </x:c>
    </x:row>
    <x:row r="3" ht="15" hidden="0" customHeight="1">
      <x:c r="A3" s="1">
        <x:f t="shared" si="0"/>
        <x:v>2</x:v>
      </x:c>
      <x:c r="B3" t="s">
        <x:v>16</x:v>
      </x:c>
      <x:c r="C3" t="s">
        <x:v>17</x:v>
      </x:c>
      <x:c r="D3" t="s">
        <x:v>18</x:v>
      </x:c>
      <x:c r="E3" t="s">
        <x:v>19</x:v>
      </x:c>
      <x:c r="F3" t="s">
        <x:v>20</x:v>
      </x:c>
      <x:c r="G3" t="s">
        <x:v>21</x:v>
      </x:c>
      <x:c r="H3" t="s">
        <x:v>22</x:v>
      </x:c>
      <x:c r="L3" s="41" t="str">
        <x:v>Not assessed</x:v>
      </x:c>
      <x:c r="M3" s="42" t="str">
        <x:v>—</x:v>
      </x:c>
      <x:c r="N3" s="42" t="str">
        <x:v>No direct active-Gold KPI mapping recorded.</x:v>
      </x:c>
    </x:row>
    <x:row r="4" ht="15" hidden="0" customHeight="1">
      <x:c r="A4" s="1">
        <x:f t="shared" si="0"/>
        <x:v>3</x:v>
      </x:c>
      <x:c r="B4" t="s">
        <x:v>23</x:v>
      </x:c>
      <x:c r="C4" t="s">
        <x:v>24</x:v>
      </x:c>
      <x:c r="D4" t="s">
        <x:v>18</x:v>
      </x:c>
      <x:c r="E4" t="s">
        <x:v>13</x:v>
      </x:c>
      <x:c r="F4" t="s">
        <x:v>20</x:v>
      </x:c>
      <x:c r="G4" t="s">
        <x:v>21</x:v>
      </x:c>
      <x:c r="H4" t="s">
        <x:v>25</x:v>
      </x:c>
      <x:c r="L4" s="41" t="str">
        <x:v>Not assessed</x:v>
      </x:c>
      <x:c r="M4" s="42" t="str">
        <x:v>—</x:v>
      </x:c>
      <x:c r="N4" s="42" t="str">
        <x:v>No direct active-Gold KPI mapping recorded.</x:v>
      </x:c>
    </x:row>
    <x:row r="5" ht="15" hidden="0" customHeight="1">
      <x:c r="A5" s="1">
        <x:f t="shared" si="0"/>
        <x:v>4</x:v>
      </x:c>
      <x:c r="B5" t="s">
        <x:v>26</x:v>
      </x:c>
      <x:c r="C5" t="s">
        <x:v>27</x:v>
      </x:c>
      <x:c r="D5" t="s">
        <x:v>18</x:v>
      </x:c>
      <x:c r="E5" t="s">
        <x:v>19</x:v>
      </x:c>
      <x:c r="F5" t="s">
        <x:v>20</x:v>
      </x:c>
      <x:c r="G5" t="s">
        <x:v>21</x:v>
      </x:c>
      <x:c r="L5" s="41" t="str">
        <x:v>Not assessed</x:v>
      </x:c>
      <x:c r="M5" s="42" t="str">
        <x:v>—</x:v>
      </x:c>
      <x:c r="N5" s="42" t="str">
        <x:v>No direct active-Gold KPI mapping recorded.</x:v>
      </x:c>
    </x:row>
    <x:row r="6" ht="15" hidden="0" customHeight="1">
      <x:c r="A6" s="1">
        <x:f t="shared" si="0"/>
        <x:v>5</x:v>
      </x:c>
      <x:c r="B6" t="s">
        <x:v>28</x:v>
      </x:c>
      <x:c r="C6" t="s">
        <x:v>29</x:v>
      </x:c>
      <x:c r="D6" t="s">
        <x:v>18</x:v>
      </x:c>
      <x:c r="E6" t="s">
        <x:v>19</x:v>
      </x:c>
      <x:c r="F6" t="s">
        <x:v>20</x:v>
      </x:c>
      <x:c r="G6" t="s">
        <x:v>21</x:v>
      </x:c>
      <x:c r="L6" s="41" t="str">
        <x:v>Not assessed</x:v>
      </x:c>
      <x:c r="M6" s="42" t="str">
        <x:v>—</x:v>
      </x:c>
      <x:c r="N6" s="42" t="str">
        <x:v>No direct active-Gold KPI mapping recorded.</x:v>
      </x:c>
    </x:row>
    <x:row r="7" ht="15" hidden="0" customHeight="1">
      <x:c r="A7" s="1">
        <x:f t="shared" si="0"/>
        <x:v>6</x:v>
      </x:c>
      <x:c r="B7" t="s">
        <x:v>30</x:v>
      </x:c>
      <x:c r="C7" t="s">
        <x:v>31</x:v>
      </x:c>
      <x:c r="D7" t="s">
        <x:v>18</x:v>
      </x:c>
      <x:c r="E7" t="s">
        <x:v>19</x:v>
      </x:c>
      <x:c r="F7" t="s">
        <x:v>20</x:v>
      </x:c>
      <x:c r="G7" t="s">
        <x:v>21</x:v>
      </x:c>
      <x:c r="L7" s="41" t="str">
        <x:v>Not assessed</x:v>
      </x:c>
      <x:c r="M7" s="42" t="str">
        <x:v>—</x:v>
      </x:c>
      <x:c r="N7" s="42" t="str">
        <x:v>No direct active-Gold KPI mapping recorded.</x:v>
      </x:c>
    </x:row>
    <x:row r="8" ht="15" hidden="0" customHeight="1">
      <x:c r="A8" s="1">
        <x:f t="shared" si="0"/>
        <x:v>7</x:v>
      </x:c>
      <x:c r="B8" t="s">
        <x:v>32</x:v>
      </x:c>
      <x:c r="C8" t="s">
        <x:v>33</x:v>
      </x:c>
      <x:c r="D8" t="s">
        <x:v>18</x:v>
      </x:c>
      <x:c r="E8" t="s">
        <x:v>13</x:v>
      </x:c>
      <x:c r="F8" t="s">
        <x:v>20</x:v>
      </x:c>
      <x:c r="G8" t="s">
        <x:v>21</x:v>
      </x:c>
      <x:c r="L8" s="41" t="str">
        <x:v>Not assessed</x:v>
      </x:c>
      <x:c r="M8" s="42" t="str">
        <x:v>—</x:v>
      </x:c>
      <x:c r="N8" s="42" t="str">
        <x:v>No direct active-Gold KPI mapping recorded.</x:v>
      </x:c>
    </x:row>
    <x:row r="9" ht="15" hidden="0" customHeight="1">
      <x:c r="A9" s="1">
        <x:f t="shared" si="0"/>
        <x:v>8</x:v>
      </x:c>
      <x:c r="B9" t="s">
        <x:v>34</x:v>
      </x:c>
      <x:c r="C9" t="s">
        <x:v>35</x:v>
      </x:c>
      <x:c r="D9" t="s">
        <x:v>18</x:v>
      </x:c>
      <x:c r="E9" t="s">
        <x:v>19</x:v>
      </x:c>
      <x:c r="F9" t="s">
        <x:v>20</x:v>
      </x:c>
      <x:c r="G9" t="s">
        <x:v>21</x:v>
      </x:c>
      <x:c r="L9" s="41" t="str">
        <x:v>Not assessed</x:v>
      </x:c>
      <x:c r="M9" s="42" t="str">
        <x:v>—</x:v>
      </x:c>
      <x:c r="N9" s="42" t="str">
        <x:v>No direct active-Gold KPI mapping recorded.</x:v>
      </x:c>
    </x:row>
    <x:row r="10" ht="15" hidden="0" customHeight="1">
      <x:c r="A10" s="1">
        <x:f t="shared" si="0"/>
        <x:v>9</x:v>
      </x:c>
      <x:c r="B10" t="s">
        <x:v>36</x:v>
      </x:c>
      <x:c r="C10" t="s">
        <x:v>37</x:v>
      </x:c>
      <x:c r="D10" t="s">
        <x:v>12</x:v>
      </x:c>
      <x:c r="E10" t="s">
        <x:v>38</x:v>
      </x:c>
      <x:c r="F10" t="s">
        <x:v>20</x:v>
      </x:c>
      <x:c r="G10" t="s">
        <x:v>39</x:v>
      </x:c>
      <x:c r="H10" t="s">
        <x:v>40</x:v>
      </x:c>
      <x:c r="L10" s="41" t="str">
        <x:v>Not assessed</x:v>
      </x:c>
      <x:c r="M10" s="42" t="str">
        <x:v>—</x:v>
      </x:c>
      <x:c r="N10" s="42" t="str">
        <x:v>No direct active-Gold KPI mapping recorded.</x:v>
      </x:c>
    </x:row>
    <x:row r="11" ht="15" hidden="0" customHeight="1">
      <x:c r="A11" s="1">
        <x:f t="shared" si="0"/>
        <x:v>11</x:v>
      </x:c>
      <x:c r="B11" t="s">
        <x:v>41</x:v>
      </x:c>
      <x:c r="C11" t="s">
        <x:v>42</x:v>
      </x:c>
      <x:c r="D11" t="s">
        <x:v>12</x:v>
      </x:c>
      <x:c r="E11" t="s">
        <x:v>13</x:v>
      </x:c>
      <x:c r="F11" t="s">
        <x:v>14</x:v>
      </x:c>
      <x:c r="G11" t="s">
        <x:v>15</x:v>
      </x:c>
      <x:c r="L11" s="41" t="str">
        <x:v>Not assessed</x:v>
      </x:c>
      <x:c r="M11" s="42" t="str">
        <x:v>—</x:v>
      </x:c>
      <x:c r="N11" s="42" t="str">
        <x:v>No direct active-Gold KPI mapping recorded.</x:v>
      </x:c>
    </x:row>
    <x:row r="12" ht="15" hidden="0" customHeight="1">
      <x:c r="A12" s="1">
        <x:f t="shared" si="0"/>
        <x:v>12</x:v>
      </x:c>
      <x:c r="B12" t="s">
        <x:v>43</x:v>
      </x:c>
      <x:c r="C12" t="s">
        <x:v>44</x:v>
      </x:c>
      <x:c r="D12" t="s">
        <x:v>18</x:v>
      </x:c>
      <x:c r="E12" t="s">
        <x:v>13</x:v>
      </x:c>
      <x:c r="F12" t="s">
        <x:v>20</x:v>
      </x:c>
      <x:c r="G12" t="s">
        <x:v>45</x:v>
      </x:c>
      <x:c r="H12" t="s">
        <x:v>46</x:v>
      </x:c>
      <x:c r="L12" s="41" t="str">
        <x:v>Not assessed</x:v>
      </x:c>
      <x:c r="M12" s="42" t="str">
        <x:v>—</x:v>
      </x:c>
      <x:c r="N12" s="42" t="str">
        <x:v>No direct active-Gold KPI mapping recorded.</x:v>
      </x:c>
    </x:row>
    <x:row r="13" ht="26.399999618530273" hidden="0" customHeight="1">
      <x:c r="A13" s="1">
        <x:f t="shared" si="0"/>
        <x:v>13</x:v>
      </x:c>
      <x:c r="B13" t="s">
        <x:v>47</x:v>
      </x:c>
      <x:c r="C13" t="s">
        <x:v>48</x:v>
      </x:c>
      <x:c r="D13" t="s">
        <x:v>12</x:v>
      </x:c>
      <x:c r="E13" t="s">
        <x:v>38</x:v>
      </x:c>
      <x:c r="F13" t="s">
        <x:v>49</x:v>
      </x:c>
      <x:c r="G13" t="s">
        <x:v>15</x:v>
      </x:c>
      <x:c r="L13" s="41" t="str">
        <x:v>Ready</x:v>
      </x:c>
      <x:c r="M13" s="42" t="str">
        <x:v>Placement type, closed/cancelled status and closure-reason visuals</x:v>
      </x:c>
      <x:c r="N13" s="42" t="str">
        <x:v>Use fact_referral and dim_placement_type.</x:v>
      </x:c>
    </x:row>
    <x:row r="14" ht="15" hidden="0" customHeight="1">
      <x:c r="A14" s="1">
        <x:f t="shared" si="0"/>
        <x:v>14</x:v>
      </x:c>
      <x:c r="B14" t="s">
        <x:v>50</x:v>
      </x:c>
      <x:c r="C14" t="s">
        <x:v>51</x:v>
      </x:c>
      <x:c r="D14" t="s">
        <x:v>12</x:v>
      </x:c>
      <x:c r="E14" s="2" t="s">
        <x:v>52</x:v>
      </x:c>
      <x:c r="F14" t="s">
        <x:v>53</x:v>
      </x:c>
      <x:c r="G14" t="s">
        <x:v>54</x:v>
      </x:c>
      <x:c r="H14" s="3" t="s">
        <x:v>55</x:v>
      </x:c>
      <x:c r="I14" t="s">
        <x:v>56</x:v>
      </x:c>
      <x:c r="K14" t="s">
        <x:v>57</x:v>
      </x:c>
      <x:c r="L14" s="41" t="str">
        <x:v>Needs Gold data</x:v>
      </x:c>
      <x:c r="M14" s="42" t="str">
        <x:v>—</x:v>
      </x:c>
      <x:c r="N14" s="42" t="str">
        <x:v>Provider-message and message-status facts are not in active Gold.</x:v>
      </x:c>
    </x:row>
    <x:row r="15" ht="15" hidden="0" customHeight="1">
      <x:c r="A15" s="1">
        <x:f t="shared" si="0"/>
        <x:v>15</x:v>
      </x:c>
      <x:c r="B15" t="s">
        <x:v>58</x:v>
      </x:c>
      <x:c r="C15" t="s">
        <x:v>59</x:v>
      </x:c>
      <x:c r="D15" t="s">
        <x:v>12</x:v>
      </x:c>
      <x:c r="E15" t="s">
        <x:v>13</x:v>
      </x:c>
      <x:c r="F15" t="s">
        <x:v>60</x:v>
      </x:c>
      <x:c r="G15" t="s">
        <x:v>15</x:v>
      </x:c>
      <x:c r="L15" s="41" t="str">
        <x:v>Proxy only</x:v>
      </x:c>
      <x:c r="M15" s="42" t="str">
        <x:v>IPAs Created; Referrals With Fully Signed IPA</x:v>
      </x:c>
      <x:c r="N15" s="42" t="str">
        <x:v>Signature information is referral-level only.</x:v>
      </x:c>
    </x:row>
    <x:row r="16" ht="15" hidden="0" customHeight="1">
      <x:c r="A16" s="1">
        <x:f t="shared" si="0"/>
        <x:v>16</x:v>
      </x:c>
      <x:c r="B16" t="s">
        <x:v>61</x:v>
      </x:c>
      <x:c r="C16" t="s">
        <x:v>62</x:v>
      </x:c>
      <x:c r="D16" t="s">
        <x:v>12</x:v>
      </x:c>
      <x:c r="E16" t="s">
        <x:v>38</x:v>
      </x:c>
      <x:c r="F16" t="s">
        <x:v>20</x:v>
      </x:c>
      <x:c r="G16" t="s">
        <x:v>39</x:v>
      </x:c>
      <x:c r="H16" t="s">
        <x:v>63</x:v>
      </x:c>
      <x:c r="L16" s="41" t="str">
        <x:v>Not assessed</x:v>
      </x:c>
      <x:c r="M16" s="42" t="str">
        <x:v>—</x:v>
      </x:c>
      <x:c r="N16" s="42" t="str">
        <x:v>No direct active-Gold KPI mapping recorded.</x:v>
      </x:c>
    </x:row>
    <x:row r="17" ht="15" hidden="0" customHeight="1">
      <x:c r="A17" s="1">
        <x:f t="shared" si="0"/>
        <x:v>17</x:v>
      </x:c>
      <x:c r="B17" t="s">
        <x:v>64</x:v>
      </x:c>
      <x:c r="C17" t="s">
        <x:v>65</x:v>
      </x:c>
      <x:c r="D17" t="s">
        <x:v>12</x:v>
      </x:c>
      <x:c r="E17" t="s">
        <x:v>13</x:v>
      </x:c>
      <x:c r="F17" t="s">
        <x:v>66</x:v>
      </x:c>
      <x:c r="G17" t="s">
        <x:v>15</x:v>
      </x:c>
      <x:c r="L17" s="41" t="str">
        <x:v>Not assessed</x:v>
      </x:c>
      <x:c r="M17" s="42" t="str">
        <x:v>—</x:v>
      </x:c>
      <x:c r="N17" s="42" t="str">
        <x:v>No direct active-Gold KPI mapping recorded.</x:v>
      </x:c>
    </x:row>
    <x:row r="18" ht="26.399999618530273" hidden="0" customHeight="1">
      <x:c r="A18" s="1">
        <x:f t="shared" si="0"/>
        <x:v>18</x:v>
      </x:c>
      <x:c r="B18" t="s">
        <x:v>67</x:v>
      </x:c>
      <x:c r="C18" t="s">
        <x:v>68</x:v>
      </x:c>
      <x:c r="D18" t="s">
        <x:v>12</x:v>
      </x:c>
      <x:c r="E18" t="s">
        <x:v>13</x:v>
      </x:c>
      <x:c r="F18" t="s">
        <x:v>69</x:v>
      </x:c>
      <x:c r="G18" t="s">
        <x:v>54</x:v>
      </x:c>
      <x:c r="H18" s="3" t="s">
        <x:v>70</x:v>
      </x:c>
      <x:c r="I18" t="s">
        <x:v>71</x:v>
      </x:c>
      <x:c r="L18" s="41" t="str">
        <x:v>Ready</x:v>
      </x:c>
      <x:c r="M18" s="42" t="str">
        <x:v>Emergency Referrals; Planned Referrals; Emergency Placement Rate</x:v>
      </x:c>
      <x:c r="N18" s="42" t="str">
        <x:v>Same-day requirement is derived from referral_created_date and required_placement_date.</x:v>
      </x:c>
    </x:row>
    <x:row r="19" ht="26.399999618530273" hidden="0" customHeight="1">
      <x:c r="A19" s="1">
        <x:f t="shared" si="0"/>
        <x:v>19</x:v>
      </x:c>
      <x:c r="B19" t="s">
        <x:v>72</x:v>
      </x:c>
      <x:c r="C19" t="s">
        <x:v>73</x:v>
      </x:c>
      <x:c r="D19" t="s">
        <x:v>12</x:v>
      </x:c>
      <x:c r="E19" s="3" t="s">
        <x:v>19</x:v>
      </x:c>
      <x:c r="F19" t="s">
        <x:v>74</x:v>
      </x:c>
      <x:c r="G19" t="s">
        <x:v>54</x:v>
      </x:c>
      <x:c r="H19" t="s">
        <x:v>75</x:v>
      </x:c>
      <x:c r="I19" t="s">
        <x:v>76</x:v>
      </x:c>
      <x:c r="L19" s="41" t="str">
        <x:v>Proxy only</x:v>
      </x:c>
      <x:c r="M19" s="42" t="str">
        <x:v>Referral Lifecycle Events; Average Lifecycle Events per Referral</x:v>
      </x:c>
      <x:c r="N19" s="42" t="str">
        <x:v>No durable referral update timestamp.</x:v>
      </x:c>
    </x:row>
    <x:row r="20" ht="15" hidden="0" customHeight="1">
      <x:c r="A20" s="1">
        <x:f t="shared" si="0"/>
        <x:v>20</x:v>
      </x:c>
      <x:c r="B20" t="s">
        <x:v>77</x:v>
      </x:c>
      <x:c r="C20" t="s">
        <x:v>78</x:v>
      </x:c>
      <x:c r="D20" t="s">
        <x:v>79</x:v>
      </x:c>
      <x:c r="E20" t="s">
        <x:v>38</x:v>
      </x:c>
      <x:c r="F20" t="s">
        <x:v>80</x:v>
      </x:c>
      <x:c r="G20" t="s">
        <x:v>54</x:v>
      </x:c>
      <x:c r="H20" t="s">
        <x:v>81</x:v>
      </x:c>
      <x:c r="I20" t="s">
        <x:v>82</x:v>
      </x:c>
      <x:c r="K20" s="3" t="s">
        <x:v>83</x:v>
      </x:c>
      <x:c r="L20" s="41" t="str">
        <x:v>Proxy only</x:v>
      </x:c>
      <x:c r="M20" s="42" t="str">
        <x:v>Referral Lifecycle Events; IPA Signature Completion Rate</x:v>
      </x:c>
      <x:c r="N20" s="42" t="str">
        <x:v>Lifecycle event count is supported; signature measure is a referral-level proxy.</x:v>
      </x:c>
    </x:row>
    <x:row r="21" ht="15" hidden="0" customHeight="1">
      <x:c r="A21" s="1">
        <x:f t="shared" si="0"/>
        <x:v>21</x:v>
      </x:c>
      <x:c r="B21" t="s">
        <x:v>84</x:v>
      </x:c>
      <x:c r="C21" t="s">
        <x:v>85</x:v>
      </x:c>
      <x:c r="D21" t="s">
        <x:v>12</x:v>
      </x:c>
      <x:c r="E21" t="s">
        <x:v>38</x:v>
      </x:c>
      <x:c r="F21" t="s">
        <x:v>20</x:v>
      </x:c>
      <x:c r="G21" t="s">
        <x:v>39</x:v>
      </x:c>
      <x:c r="H21" t="s">
        <x:v>86</x:v>
      </x:c>
      <x:c r="L21" s="41" t="str">
        <x:v>Not assessed</x:v>
      </x:c>
      <x:c r="M21" s="42" t="str">
        <x:v>—</x:v>
      </x:c>
      <x:c r="N21" s="42" t="str">
        <x:v>No direct active-Gold KPI mapping recorded.</x:v>
      </x:c>
    </x:row>
    <x:row r="22" ht="15" hidden="0" customHeight="1">
      <x:c r="A22" s="1">
        <x:f t="shared" si="0"/>
        <x:v>22</x:v>
      </x:c>
      <x:c r="B22" t="s">
        <x:v>87</x:v>
      </x:c>
      <x:c r="C22" t="s">
        <x:v>88</x:v>
      </x:c>
      <x:c r="D22" t="s">
        <x:v>12</x:v>
      </x:c>
      <x:c r="E22" s="2" t="s">
        <x:v>89</x:v>
      </x:c>
      <x:c r="F22" t="s">
        <x:v>90</x:v>
      </x:c>
      <x:c r="G22" t="s">
        <x:v>54</x:v>
      </x:c>
      <x:c r="H22" t="s">
        <x:v>91</x:v>
      </x:c>
      <x:c r="I22" t="s">
        <x:v>92</x:v>
      </x:c>
      <x:c r="K22" s="3" t="s">
        <x:v>93</x:v>
      </x:c>
      <x:c r="L22" s="41" t="str">
        <x:v>Needs Gold data</x:v>
      </x:c>
      <x:c r="M22" s="42" t="str">
        <x:v>—</x:v>
      </x:c>
      <x:c r="N22" s="42" t="str">
        <x:v>Out-of-region cannot be calculated safely until referral region is populated.</x:v>
      </x:c>
    </x:row>
    <x:row r="23" ht="15" hidden="0" customHeight="1">
      <x:c r="A23" s="1">
        <x:f t="shared" si="0"/>
        <x:v>24</x:v>
      </x:c>
      <x:c r="B23" t="s">
        <x:v>94</x:v>
      </x:c>
      <x:c r="C23" t="s">
        <x:v>95</x:v>
      </x:c>
      <x:c r="D23" t="s">
        <x:v>12</x:v>
      </x:c>
      <x:c r="E23" t="s">
        <x:v>13</x:v>
      </x:c>
      <x:c r="F23" t="s">
        <x:v>96</x:v>
      </x:c>
      <x:c r="G23" t="s">
        <x:v>15</x:v>
      </x:c>
      <x:c r="L23" s="41" t="str">
        <x:v>Not assessed</x:v>
      </x:c>
      <x:c r="M23" s="42" t="str">
        <x:v>—</x:v>
      </x:c>
      <x:c r="N23" s="42" t="str">
        <x:v>No direct active-Gold KPI mapping recorded.</x:v>
      </x:c>
    </x:row>
    <x:row r="24" ht="15" hidden="0" customHeight="1">
      <x:c r="A24" s="1">
        <x:f t="shared" si="0"/>
        <x:v>25</x:v>
      </x:c>
      <x:c r="B24" t="s">
        <x:v>97</x:v>
      </x:c>
      <x:c r="C24" t="s">
        <x:v>98</x:v>
      </x:c>
      <x:c r="D24" t="s">
        <x:v>99</x:v>
      </x:c>
      <x:c r="E24" t="s">
        <x:v>13</x:v>
      </x:c>
      <x:c r="F24" t="s">
        <x:v>100</x:v>
      </x:c>
      <x:c r="G24" t="s">
        <x:v>15</x:v>
      </x:c>
      <x:c r="L24" s="41" t="str">
        <x:v>Not assessed</x:v>
      </x:c>
      <x:c r="M24" s="42" t="str">
        <x:v>—</x:v>
      </x:c>
      <x:c r="N24" s="42" t="str">
        <x:v>No direct active-Gold KPI mapping recorded.</x:v>
      </x:c>
    </x:row>
    <x:row r="25" ht="15" hidden="0" customHeight="1">
      <x:c r="A25" s="1">
        <x:f t="shared" si="0"/>
        <x:v>26</x:v>
      </x:c>
      <x:c r="B25" t="s">
        <x:v>101</x:v>
      </x:c>
      <x:c r="C25" t="s">
        <x:v>102</x:v>
      </x:c>
      <x:c r="D25" t="s">
        <x:v>99</x:v>
      </x:c>
      <x:c r="E25" t="s">
        <x:v>13</x:v>
      </x:c>
      <x:c r="F25" t="s">
        <x:v>103</x:v>
      </x:c>
      <x:c r="G25" t="s">
        <x:v>15</x:v>
      </x:c>
      <x:c r="L25" s="41" t="str">
        <x:v>Not assessed</x:v>
      </x:c>
      <x:c r="M25" s="42" t="str">
        <x:v>—</x:v>
      </x:c>
      <x:c r="N25" s="42" t="str">
        <x:v>No direct active-Gold KPI mapping recorded.</x:v>
      </x:c>
    </x:row>
    <x:row r="26" ht="15" hidden="0" customHeight="1">
      <x:c r="A26" s="1">
        <x:f t="shared" si="0"/>
        <x:v>27</x:v>
      </x:c>
      <x:c r="B26" t="s">
        <x:v>104</x:v>
      </x:c>
      <x:c r="C26" t="s">
        <x:v>105</x:v>
      </x:c>
      <x:c r="D26" t="s">
        <x:v>99</x:v>
      </x:c>
      <x:c r="E26" t="s">
        <x:v>38</x:v>
      </x:c>
      <x:c r="F26" t="s">
        <x:v>20</x:v>
      </x:c>
      <x:c r="G26" t="s">
        <x:v>39</x:v>
      </x:c>
      <x:c r="H26" t="s">
        <x:v>106</x:v>
      </x:c>
      <x:c r="L26" s="41" t="str">
        <x:v>Not assessed</x:v>
      </x:c>
      <x:c r="M26" s="42" t="str">
        <x:v>—</x:v>
      </x:c>
      <x:c r="N26" s="42" t="str">
        <x:v>No direct active-Gold KPI mapping recorded.</x:v>
      </x:c>
    </x:row>
    <x:row r="27" ht="15" hidden="0" customHeight="1">
      <x:c r="A27" s="1">
        <x:f t="shared" si="0"/>
        <x:v>28</x:v>
      </x:c>
      <x:c r="B27" t="s">
        <x:v>107</x:v>
      </x:c>
      <x:c r="C27" t="s">
        <x:v>108</x:v>
      </x:c>
      <x:c r="D27" t="s">
        <x:v>99</x:v>
      </x:c>
      <x:c r="E27" t="s">
        <x:v>13</x:v>
      </x:c>
      <x:c r="F27" t="s">
        <x:v>109</x:v>
      </x:c>
      <x:c r="G27" t="s">
        <x:v>15</x:v>
      </x:c>
      <x:c r="L27" s="41" t="str">
        <x:v>Not assessed</x:v>
      </x:c>
      <x:c r="M27" s="42" t="str">
        <x:v>—</x:v>
      </x:c>
      <x:c r="N27" s="42" t="str">
        <x:v>No direct active-Gold KPI mapping recorded.</x:v>
      </x:c>
    </x:row>
    <x:row r="28" ht="15" hidden="0" customHeight="1">
      <x:c r="A28" s="1">
        <x:f t="shared" si="0"/>
        <x:v>29</x:v>
      </x:c>
      <x:c r="B28" t="s">
        <x:v>110</x:v>
      </x:c>
      <x:c r="C28" t="s">
        <x:v>111</x:v>
      </x:c>
      <x:c r="D28" t="s">
        <x:v>99</x:v>
      </x:c>
      <x:c r="E28" t="s">
        <x:v>38</x:v>
      </x:c>
      <x:c r="F28" t="s">
        <x:v>20</x:v>
      </x:c>
      <x:c r="G28" t="s">
        <x:v>39</x:v>
      </x:c>
      <x:c r="H28" t="s">
        <x:v>112</x:v>
      </x:c>
      <x:c r="L28" s="41" t="str">
        <x:v>Not assessed</x:v>
      </x:c>
      <x:c r="M28" s="42" t="str">
        <x:v>—</x:v>
      </x:c>
      <x:c r="N28" s="42" t="str">
        <x:v>No direct active-Gold KPI mapping recorded.</x:v>
      </x:c>
    </x:row>
    <x:row r="29" ht="15" hidden="0" customHeight="1">
      <x:c r="A29" s="1">
        <x:f t="shared" si="0"/>
        <x:v>31</x:v>
      </x:c>
      <x:c r="B29" t="s">
        <x:v>113</x:v>
      </x:c>
      <x:c r="C29" t="s">
        <x:v>114</x:v>
      </x:c>
      <x:c r="D29" t="s">
        <x:v>99</x:v>
      </x:c>
      <x:c r="E29" s="2" t="s">
        <x:v>52</x:v>
      </x:c>
      <x:c r="F29" t="s">
        <x:v>20</x:v>
      </x:c>
      <x:c r="G29" t="s">
        <x:v>54</x:v>
      </x:c>
      <x:c r="H29" t="s">
        <x:v>115</x:v>
      </x:c>
      <x:c r="I29" t="s">
        <x:v>116</x:v>
      </x:c>
      <x:c r="K29" s="4" t="s">
        <x:v>117</x:v>
      </x:c>
      <x:c r="L29" s="41" t="str">
        <x:v>Not assessed</x:v>
      </x:c>
      <x:c r="M29" s="42" t="str">
        <x:v>—</x:v>
      </x:c>
      <x:c r="N29" s="42" t="str">
        <x:v>No direct active-Gold KPI mapping recorded.</x:v>
      </x:c>
    </x:row>
    <x:row r="30" ht="15" hidden="0" customHeight="1">
      <x:c r="A30" s="1">
        <x:f t="shared" si="0"/>
        <x:v>32</x:v>
      </x:c>
      <x:c r="B30" t="s">
        <x:v>118</x:v>
      </x:c>
      <x:c r="C30" t="s">
        <x:v>119</x:v>
      </x:c>
      <x:c r="D30" t="s">
        <x:v>99</x:v>
      </x:c>
      <x:c r="E30" t="s">
        <x:v>38</x:v>
      </x:c>
      <x:c r="F30" t="s">
        <x:v>20</x:v>
      </x:c>
      <x:c r="G30" t="s">
        <x:v>39</x:v>
      </x:c>
      <x:c r="H30" t="s">
        <x:v>120</x:v>
      </x:c>
      <x:c r="L30" s="41" t="str">
        <x:v>Not assessed</x:v>
      </x:c>
      <x:c r="M30" s="42" t="str">
        <x:v>—</x:v>
      </x:c>
      <x:c r="N30" s="42" t="str">
        <x:v>No direct active-Gold KPI mapping recorded.</x:v>
      </x:c>
    </x:row>
    <x:row r="31" ht="15" hidden="0" customHeight="1">
      <x:c r="A31" s="1">
        <x:f t="shared" si="0"/>
        <x:v>33</x:v>
      </x:c>
      <x:c r="B31" t="s">
        <x:v>121</x:v>
      </x:c>
      <x:c r="C31" t="s">
        <x:v>122</x:v>
      </x:c>
      <x:c r="D31" t="s">
        <x:v>99</x:v>
      </x:c>
      <x:c r="E31" t="s">
        <x:v>38</x:v>
      </x:c>
      <x:c r="F31" t="s">
        <x:v>20</x:v>
      </x:c>
      <x:c r="G31" t="s">
        <x:v>39</x:v>
      </x:c>
      <x:c r="H31" t="s">
        <x:v>123</x:v>
      </x:c>
      <x:c r="L31" s="41" t="str">
        <x:v>Not assessed</x:v>
      </x:c>
      <x:c r="M31" s="42" t="str">
        <x:v>—</x:v>
      </x:c>
      <x:c r="N31" s="42" t="str">
        <x:v>No direct active-Gold KPI mapping recorded.</x:v>
      </x:c>
    </x:row>
    <x:row r="32" ht="15" hidden="0" customHeight="1">
      <x:c r="A32" s="1">
        <x:f t="shared" si="0"/>
        <x:v>34</x:v>
      </x:c>
      <x:c r="B32" t="s">
        <x:v>124</x:v>
      </x:c>
      <x:c r="C32" t="s">
        <x:v>125</x:v>
      </x:c>
      <x:c r="D32" t="s">
        <x:v>99</x:v>
      </x:c>
      <x:c r="E32" t="s">
        <x:v>13</x:v>
      </x:c>
      <x:c r="F32" t="s">
        <x:v>126</x:v>
      </x:c>
      <x:c r="G32" t="s">
        <x:v>54</x:v>
      </x:c>
      <x:c r="H32" t="s">
        <x:v>127</x:v>
      </x:c>
      <x:c r="I32" t="s">
        <x:v>128</x:v>
      </x:c>
      <x:c r="K32" s="3" t="s">
        <x:v>129</x:v>
      </x:c>
      <x:c r="L32" s="41" t="str">
        <x:v>Not assessed</x:v>
      </x:c>
      <x:c r="M32" s="42" t="str">
        <x:v>—</x:v>
      </x:c>
      <x:c r="N32" s="42" t="str">
        <x:v>No direct active-Gold KPI mapping recorded.</x:v>
      </x:c>
    </x:row>
    <x:row r="33" ht="26.399999618530273" hidden="0" customHeight="1">
      <x:c r="A33" s="1">
        <x:f t="shared" si="0"/>
        <x:v>35</x:v>
      </x:c>
      <x:c r="B33" t="s">
        <x:v>130</x:v>
      </x:c>
      <x:c r="C33" t="s">
        <x:v>131</x:v>
      </x:c>
      <x:c r="D33" t="s">
        <x:v>99</x:v>
      </x:c>
      <x:c r="E33" t="s">
        <x:v>13</x:v>
      </x:c>
      <x:c r="F33" t="s">
        <x:v>132</x:v>
      </x:c>
      <x:c r="G33" t="s">
        <x:v>15</x:v>
      </x:c>
      <x:c r="L33" s="41" t="str">
        <x:v>Proxy only</x:v>
      </x:c>
      <x:c r="M33" s="42" t="str">
        <x:v>IPAs Created; Offers Awaiting IPA Creation; Accepted Offer to IPA Conversion %</x:v>
      </x:c>
      <x:c r="N33" s="42" t="str">
        <x:v>IPA signature-completion measures need IPA-grain signing fields.</x:v>
      </x:c>
    </x:row>
    <x:row r="34" ht="15" hidden="0" customHeight="1">
      <x:c r="A34" s="1">
        <x:f t="shared" si="0"/>
        <x:v>36</x:v>
      </x:c>
      <x:c r="B34" t="s">
        <x:v>133</x:v>
      </x:c>
      <x:c r="C34" t="s">
        <x:v>134</x:v>
      </x:c>
      <x:c r="D34" t="s">
        <x:v>99</x:v>
      </x:c>
      <x:c r="E34" t="s">
        <x:v>13</x:v>
      </x:c>
      <x:c r="F34" t="s">
        <x:v>135</x:v>
      </x:c>
      <x:c r="G34" t="s">
        <x:v>15</x:v>
      </x:c>
      <x:c r="L34" s="41" t="str">
        <x:v>Not assessed</x:v>
      </x:c>
      <x:c r="M34" s="42" t="str">
        <x:v>—</x:v>
      </x:c>
      <x:c r="N34" s="42" t="str">
        <x:v>No direct active-Gold KPI mapping recorded.</x:v>
      </x:c>
    </x:row>
    <x:row r="35" ht="15" hidden="0" customHeight="1">
      <x:c r="A35" s="1">
        <x:f t="shared" si="0"/>
        <x:v>38</x:v>
      </x:c>
      <x:c r="B35" t="s">
        <x:v>136</x:v>
      </x:c>
      <x:c r="C35" t="s">
        <x:v>137</x:v>
      </x:c>
      <x:c r="D35" t="s">
        <x:v>138</x:v>
      </x:c>
      <x:c r="E35" t="s">
        <x:v>38</x:v>
      </x:c>
      <x:c r="F35" t="s">
        <x:v>20</x:v>
      </x:c>
      <x:c r="G35" t="s">
        <x:v>139</x:v>
      </x:c>
      <x:c r="H35" t="s">
        <x:v>140</x:v>
      </x:c>
      <x:c r="L35" s="41" t="str">
        <x:v>Not assessed</x:v>
      </x:c>
      <x:c r="M35" s="42" t="str">
        <x:v>—</x:v>
      </x:c>
      <x:c r="N35" s="42" t="str">
        <x:v>No direct active-Gold KPI mapping recorded.</x:v>
      </x:c>
    </x:row>
    <x:row r="36" ht="15" hidden="0" customHeight="1">
      <x:c r="A36" s="1">
        <x:f t="shared" si="0"/>
        <x:v>39</x:v>
      </x:c>
      <x:c r="B36" t="s">
        <x:v>141</x:v>
      </x:c>
      <x:c r="C36" t="s">
        <x:v>142</x:v>
      </x:c>
      <x:c r="D36" t="s">
        <x:v>138</x:v>
      </x:c>
      <x:c r="E36" t="s">
        <x:v>38</x:v>
      </x:c>
      <x:c r="F36" t="s">
        <x:v>20</x:v>
      </x:c>
      <x:c r="G36" t="s">
        <x:v>39</x:v>
      </x:c>
      <x:c r="H36" t="s">
        <x:v>143</x:v>
      </x:c>
      <x:c r="L36" s="41" t="str">
        <x:v>Not assessed</x:v>
      </x:c>
      <x:c r="M36" s="42" t="str">
        <x:v>—</x:v>
      </x:c>
      <x:c r="N36" s="42" t="str">
        <x:v>No direct active-Gold KPI mapping recorded.</x:v>
      </x:c>
    </x:row>
    <x:row r="37" ht="15" hidden="0" customHeight="1">
      <x:c r="A37" s="1">
        <x:f t="shared" si="0"/>
        <x:v>41</x:v>
      </x:c>
      <x:c r="B37" t="s">
        <x:v>144</x:v>
      </x:c>
      <x:c r="C37" t="s">
        <x:v>145</x:v>
      </x:c>
      <x:c r="D37" t="s">
        <x:v>138</x:v>
      </x:c>
      <x:c r="E37" s="3" t="s">
        <x:v>89</x:v>
      </x:c>
      <x:c r="F37" t="s">
        <x:v>146</x:v>
      </x:c>
      <x:c r="G37" t="s">
        <x:v>54</x:v>
      </x:c>
      <x:c r="H37" t="s">
        <x:v>147</x:v>
      </x:c>
      <x:c r="I37" t="s">
        <x:v>148</x:v>
      </x:c>
      <x:c r="K37" s="3" t="s">
        <x:v>149</x:v>
      </x:c>
      <x:c r="L37" s="41" t="str">
        <x:v>Proxy only</x:v>
      </x:c>
      <x:c r="M37" s="42" t="str">
        <x:v>Providers With QA Flags; QA Flagged Homes</x:v>
      </x:c>
      <x:c r="N37" s="42" t="str">
        <x:v>Flag-type breakdown is not published.</x:v>
      </x:c>
    </x:row>
    <x:row r="38" ht="15" hidden="0" customHeight="1">
      <x:c r="A38" s="1">
        <x:f t="shared" si="0"/>
        <x:v>45</x:v>
      </x:c>
      <x:c r="B38" t="s">
        <x:v>150</x:v>
      </x:c>
      <x:c r="C38" t="s">
        <x:v>151</x:v>
      </x:c>
      <x:c r="D38" t="s">
        <x:v>138</x:v>
      </x:c>
      <x:c r="E38" t="s">
        <x:v>38</x:v>
      </x:c>
      <x:c r="F38" t="s">
        <x:v>20</x:v>
      </x:c>
      <x:c r="G38" t="s">
        <x:v>39</x:v>
      </x:c>
      <x:c r="H38" t="s">
        <x:v>152</x:v>
      </x:c>
      <x:c r="L38" s="41" t="str">
        <x:v>Not assessed</x:v>
      </x:c>
      <x:c r="M38" s="42" t="str">
        <x:v>—</x:v>
      </x:c>
      <x:c r="N38" s="42" t="str">
        <x:v>No direct active-Gold KPI mapping recorded.</x:v>
      </x:c>
    </x:row>
    <x:row r="39" ht="15" hidden="0" customHeight="1">
      <x:c r="A39" s="1">
        <x:f t="shared" si="0"/>
        <x:v>46</x:v>
      </x:c>
      <x:c r="B39" t="s">
        <x:v>153</x:v>
      </x:c>
      <x:c r="C39" t="s">
        <x:v>154</x:v>
      </x:c>
      <x:c r="D39" t="s">
        <x:v>138</x:v>
      </x:c>
      <x:c r="E39" t="s">
        <x:v>38</x:v>
      </x:c>
      <x:c r="F39" t="s">
        <x:v>155</x:v>
      </x:c>
      <x:c r="G39" t="s">
        <x:v>15</x:v>
      </x:c>
      <x:c r="L39" s="41" t="str">
        <x:v>Ready</x:v>
      </x:c>
      <x:c r="M39" s="42" t="str">
        <x:v>Non-Framework Providers</x:v>
      </x:c>
      <x:c r="N39" s="42" t="str">
        <x:v>Calculated from dim_provider minus bridge_provider_framework.</x:v>
      </x:c>
    </x:row>
    <x:row r="40" ht="15" hidden="0" customHeight="1">
      <x:c r="A40" s="1">
        <x:f t="shared" si="0"/>
        <x:v>47</x:v>
      </x:c>
      <x:c r="B40" t="s">
        <x:v>156</x:v>
      </x:c>
      <x:c r="C40" t="s">
        <x:v>157</x:v>
      </x:c>
      <x:c r="D40" t="s">
        <x:v>138</x:v>
      </x:c>
      <x:c r="E40" s="2" t="s">
        <x:v>13</x:v>
      </x:c>
      <x:c r="F40" t="s">
        <x:v>158</x:v>
      </x:c>
      <x:c r="G40" t="s">
        <x:v>54</x:v>
      </x:c>
      <x:c r="H40" t="s">
        <x:v>159</x:v>
      </x:c>
      <x:c r="I40" t="s">
        <x:v>160</x:v>
      </x:c>
      <x:c r="K40" s="3" t="s">
        <x:v>161</x:v>
      </x:c>
      <x:c r="L40" s="41" t="str">
        <x:v>Ready</x:v>
      </x:c>
      <x:c r="M40" s="42" t="str">
        <x:v>Documents Expiring Next 30 Days; Documents Expired</x:v>
      </x:c>
      <x:c r="N40" s="42" t="str">
        <x:v>Uses dim_provider_submission_document.</x:v>
      </x:c>
    </x:row>
    <x:row r="41" ht="15" hidden="0" customHeight="1">
      <x:c r="A41" s="1">
        <x:f t="shared" si="0"/>
        <x:v>48</x:v>
      </x:c>
      <x:c r="B41" t="s">
        <x:v>162</x:v>
      </x:c>
      <x:c r="C41" t="s">
        <x:v>163</x:v>
      </x:c>
      <x:c r="D41" t="s">
        <x:v>138</x:v>
      </x:c>
      <x:c r="E41" t="s">
        <x:v>13</x:v>
      </x:c>
      <x:c r="F41" t="s">
        <x:v>164</x:v>
      </x:c>
      <x:c r="G41" t="s">
        <x:v>54</x:v>
      </x:c>
      <x:c r="H41" t="s">
        <x:v>165</x:v>
      </x:c>
      <x:c r="I41" t="s">
        <x:v>166</x:v>
      </x:c>
      <x:c r="K41" s="3" t="s">
        <x:v>161</x:v>
      </x:c>
      <x:c r="L41" s="41" t="str">
        <x:v>Needs Gold data</x:v>
      </x:c>
      <x:c r="M41" s="42" t="str">
        <x:v>—</x:v>
      </x:c>
      <x:c r="N41" s="42" t="str">
        <x:v>No expected-document set or blocked-provider outcome is published.</x:v>
      </x:c>
    </x:row>
    <x:row r="42" ht="15" hidden="0" customHeight="1">
      <x:c r="A42" s="1">
        <x:f t="shared" si="0"/>
        <x:v>49</x:v>
      </x:c>
      <x:c r="B42" t="s">
        <x:v>167</x:v>
      </x:c>
      <x:c r="C42" t="s">
        <x:v>168</x:v>
      </x:c>
      <x:c r="D42" t="s">
        <x:v>138</x:v>
      </x:c>
      <x:c r="E42" t="s">
        <x:v>38</x:v>
      </x:c>
      <x:c r="F42" t="s">
        <x:v>169</x:v>
      </x:c>
      <x:c r="G42" t="s">
        <x:v>54</x:v>
      </x:c>
      <x:c r="H42" t="s">
        <x:v>170</x:v>
      </x:c>
      <x:c r="I42" t="s">
        <x:v>171</x:v>
      </x:c>
      <x:c r="L42" s="41" t="str">
        <x:v>Ready</x:v>
      </x:c>
      <x:c r="M42" s="42" t="str">
        <x:v>Providers Pending Onboarding; Providers Approved</x:v>
      </x:c>
      <x:c r="N42" s="42" t="str">
        <x:v>Use dim_provider[provider_status] as a visual dimension.</x:v>
      </x:c>
    </x:row>
    <x:row r="43" ht="26.399999618530273" hidden="0" customHeight="1">
      <x:c r="A43" s="1">
        <x:f t="shared" si="0"/>
        <x:v>51</x:v>
      </x:c>
      <x:c r="B43" t="s">
        <x:v>172</x:v>
      </x:c>
      <x:c r="C43" t="s">
        <x:v>173</x:v>
      </x:c>
      <x:c r="D43" t="s">
        <x:v>79</x:v>
      </x:c>
      <x:c r="E43" t="s">
        <x:v>13</x:v>
      </x:c>
      <x:c r="F43" t="s">
        <x:v>174</x:v>
      </x:c>
      <x:c r="G43" t="s">
        <x:v>15</x:v>
      </x:c>
      <x:c r="L43" s="41" t="str">
        <x:v>Ready</x:v>
      </x:c>
      <x:c r="M43" s="42" t="str">
        <x:v>Referral, offer, provider and snapshot performance measures</x:v>
      </x:c>
      <x:c r="N43" s="42" t="str">
        <x:v>Active fact_referral, fact_offer and snapshot facts are available.</x:v>
      </x:c>
    </x:row>
    <x:row r="44" ht="26.399999618530273" hidden="0" customHeight="1">
      <x:c r="A44" s="1">
        <x:f t="shared" si="0"/>
        <x:v>52</x:v>
      </x:c>
      <x:c r="B44" t="s">
        <x:v>175</x:v>
      </x:c>
      <x:c r="C44" t="s">
        <x:v>176</x:v>
      </x:c>
      <x:c r="D44" t="s">
        <x:v>79</x:v>
      </x:c>
      <x:c r="E44" t="s">
        <x:v>13</x:v>
      </x:c>
      <x:c r="F44" t="s">
        <x:v>177</x:v>
      </x:c>
      <x:c r="G44" t="s">
        <x:v>15</x:v>
      </x:c>
      <x:c r="L44" s="41" t="str">
        <x:v>Ready</x:v>
      </x:c>
      <x:c r="M44" s="42" t="str">
        <x:v>Referrals Created This Month; Referrals Created This Financial Year</x:v>
      </x:c>
      <x:c r="N44" s="42" t="str">
        <x:v>Use dim_date with referral_created_date.</x:v>
      </x:c>
    </x:row>
    <x:row r="45" ht="15" hidden="0" customHeight="1">
      <x:c r="A45" s="1">
        <x:f t="shared" si="0"/>
        <x:v>53</x:v>
      </x:c>
      <x:c r="B45" t="s">
        <x:v>178</x:v>
      </x:c>
      <x:c r="C45" t="s">
        <x:v>179</x:v>
      </x:c>
      <x:c r="D45" t="s">
        <x:v>79</x:v>
      </x:c>
      <x:c r="E45" t="s">
        <x:v>38</x:v>
      </x:c>
      <x:c r="F45" t="s">
        <x:v>180</x:v>
      </x:c>
      <x:c r="G45" t="s">
        <x:v>15</x:v>
      </x:c>
      <x:c r="L45" s="41" t="str">
        <x:v>Ready</x:v>
      </x:c>
      <x:c r="M45" s="42" t="str">
        <x:v>Latest Offer Source Export</x:v>
      </x:c>
      <x:c r="N45" s="42" t="str">
        <x:v>Uses fact_offer[source_export_date].</x:v>
      </x:c>
    </x:row>
    <x:row r="46" ht="15" hidden="0" customHeight="1">
      <x:c r="A46" s="1">
        <x:f t="shared" si="0"/>
        <x:v>54</x:v>
      </x:c>
      <x:c r="B46" t="s">
        <x:v>181</x:v>
      </x:c>
      <x:c r="C46" t="s">
        <x:v>182</x:v>
      </x:c>
      <x:c r="D46" t="s">
        <x:v>79</x:v>
      </x:c>
      <x:c r="E46" t="s">
        <x:v>13</x:v>
      </x:c>
      <x:c r="F46" t="s">
        <x:v>183</x:v>
      </x:c>
      <x:c r="G46" t="s">
        <x:v>184</x:v>
      </x:c>
      <x:c r="H46" t="s">
        <x:v>185</x:v>
      </x:c>
      <x:c r="I46" t="s">
        <x:v>186</x:v>
      </x:c>
      <x:c r="L46" s="41" t="str">
        <x:v>Proxy only</x:v>
      </x:c>
      <x:c r="M46" s="42" t="str">
        <x:v>Offers With Recorded Rejection Reason; Provider Declines</x:v>
      </x:c>
      <x:c r="N46" s="42" t="str">
        <x:v>Offer-level rejection data is available; referral-level decline history is not.</x:v>
      </x:c>
    </x:row>
    <x:row r="47" ht="15" hidden="0" customHeight="1">
      <x:c r="A47" s="1">
        <x:f t="shared" si="0"/>
        <x:v>55</x:v>
      </x:c>
      <x:c r="B47" t="s">
        <x:v>187</x:v>
      </x:c>
      <x:c r="C47" t="s">
        <x:v>188</x:v>
      </x:c>
      <x:c r="D47" t="s">
        <x:v>79</x:v>
      </x:c>
      <x:c r="E47" t="s">
        <x:v>38</x:v>
      </x:c>
      <x:c r="F47" t="s">
        <x:v>20</x:v>
      </x:c>
      <x:c r="G47" t="s">
        <x:v>45</x:v>
      </x:c>
      <x:c r="H47" t="s">
        <x:v>189</x:v>
      </x:c>
      <x:c r="I47" t="s">
        <x:v>190</x:v>
      </x:c>
      <x:c r="L47" s="41" t="str">
        <x:v>Not assessed</x:v>
      </x:c>
      <x:c r="M47" s="42" t="str">
        <x:v>—</x:v>
      </x:c>
      <x:c r="N47" s="42" t="str">
        <x:v>No direct active-Gold KPI mapping recorded.</x:v>
      </x:c>
    </x:row>
    <x:row r="48" ht="26.399999618530273" hidden="0" customHeight="1">
      <x:c r="A48" s="1">
        <x:f t="shared" si="0"/>
        <x:v>57</x:v>
      </x:c>
      <x:c r="B48" t="s">
        <x:v>191</x:v>
      </x:c>
      <x:c r="C48" t="s">
        <x:v>192</x:v>
      </x:c>
      <x:c r="D48" t="s">
        <x:v>79</x:v>
      </x:c>
      <x:c r="E48" t="s">
        <x:v>13</x:v>
      </x:c>
      <x:c r="F48" t="s">
        <x:v>193</x:v>
      </x:c>
      <x:c r="G48" t="s">
        <x:v>54</x:v>
      </x:c>
      <x:c r="H48" t="s">
        <x:v>194</x:v>
      </x:c>
      <x:c r="I48" t="s">
        <x:v>128</x:v>
      </x:c>
      <x:c r="K48" s="3" t="s">
        <x:v>195</x:v>
      </x:c>
      <x:c r="L48" s="41" t="str">
        <x:v>Ready</x:v>
      </x:c>
      <x:c r="M48" s="42" t="str">
        <x:v>Emergency Referrals; Planned Referrals; Emergency Placement Rate</x:v>
      </x:c>
      <x:c r="N48" s="42" t="str">
        <x:v>Same-day derivation supports emergency versus planned reporting.</x:v>
      </x:c>
    </x:row>
    <x:row r="49" ht="15" hidden="0" customHeight="1">
      <x:c r="A49" s="1">
        <x:f t="shared" si="0"/>
        <x:v>58</x:v>
      </x:c>
      <x:c r="B49" t="s">
        <x:v>196</x:v>
      </x:c>
      <x:c r="C49" t="s">
        <x:v>197</x:v>
      </x:c>
      <x:c r="D49" t="s">
        <x:v>79</x:v>
      </x:c>
      <x:c r="E49" t="s">
        <x:v>13</x:v>
      </x:c>
      <x:c r="F49" t="s">
        <x:v>198</x:v>
      </x:c>
      <x:c r="G49" t="s">
        <x:v>54</x:v>
      </x:c>
      <x:c r="H49" t="s">
        <x:v>199</x:v>
      </x:c>
      <x:c r="I49" t="s">
        <x:v>200</x:v>
      </x:c>
      <x:c r="K49" s="3" t="s">
        <x:v>201</x:v>
      </x:c>
      <x:c r="L49" s="41" t="str">
        <x:v>Needs Gold data</x:v>
      </x:c>
      <x:c r="M49" s="42" t="str">
        <x:v>—</x:v>
      </x:c>
      <x:c r="N49" s="42" t="str">
        <x:v>No framework-change history fact is published.</x:v>
      </x:c>
    </x:row>
    <x:row r="50" ht="26.399999618530273" hidden="0" customHeight="1">
      <x:c r="A50" s="1">
        <x:f t="shared" si="0"/>
        <x:v>59</x:v>
      </x:c>
      <x:c r="B50" t="s">
        <x:v>202</x:v>
      </x:c>
      <x:c r="C50" t="s">
        <x:v>203</x:v>
      </x:c>
      <x:c r="D50" t="s">
        <x:v>79</x:v>
      </x:c>
      <x:c r="E50" t="s">
        <x:v>19</x:v>
      </x:c>
      <x:c r="F50" t="s">
        <x:v>204</x:v>
      </x:c>
      <x:c r="G50" t="s">
        <x:v>54</x:v>
      </x:c>
      <x:c r="H50" t="s">
        <x:v>205</x:v>
      </x:c>
      <x:c r="I50" t="s">
        <x:v>206</x:v>
      </x:c>
      <x:c r="L50" s="41" t="str">
        <x:v>Ready</x:v>
      </x:c>
      <x:c r="M50" s="42" t="str">
        <x:v>Providers Pending Onboarding; Provider Onboarding Success Rate</x:v>
      </x:c>
      <x:c r="N50" s="42" t="str">
        <x:v>Uses dim_provider[provider_status].</x:v>
      </x:c>
    </x:row>
    <x:row r="51" ht="15" hidden="0" customHeight="1">
      <x:c r="A51" s="1">
        <x:f t="shared" si="0"/>
        <x:v>62</x:v>
      </x:c>
      <x:c r="B51" t="s">
        <x:v>207</x:v>
      </x:c>
      <x:c r="C51" t="s">
        <x:v>208</x:v>
      </x:c>
      <x:c r="D51" t="s">
        <x:v>209</x:v>
      </x:c>
      <x:c r="E51" t="s">
        <x:v>13</x:v>
      </x:c>
      <x:c r="F51" s="4" t="s">
        <x:v>210</x:v>
      </x:c>
      <x:c r="G51" t="s">
        <x:v>54</x:v>
      </x:c>
      <x:c r="H51" t="s">
        <x:v>211</x:v>
      </x:c>
      <x:c r="I51" t="s">
        <x:v>212</x:v>
      </x:c>
      <x:c r="K51" s="3" t="s">
        <x:v>213</x:v>
      </x:c>
      <x:c r="L51" s="41" t="str">
        <x:v>Proxy only</x:v>
      </x:c>
      <x:c r="M51" s="42" t="str">
        <x:v>Estimated Active Weekly Cost; Total IPA Weekly Cost</x:v>
      </x:c>
      <x:c r="N51" s="42" t="str">
        <x:v>Payment method/status and invoice detail are not in fct_ipa.</x:v>
      </x:c>
    </x:row>
    <x:row r="52" ht="15" hidden="0" customHeight="1">
      <x:c r="A52" s="1">
        <x:f t="shared" si="0"/>
        <x:v>67</x:v>
      </x:c>
      <x:c r="B52" t="s">
        <x:v>214</x:v>
      </x:c>
      <x:c r="C52" t="s">
        <x:v>215</x:v>
      </x:c>
      <x:c r="D52" t="s">
        <x:v>18</x:v>
      </x:c>
      <x:c r="E52" t="s">
        <x:v>38</x:v>
      </x:c>
      <x:c r="F52" t="s">
        <x:v>216</x:v>
      </x:c>
      <x:c r="G52" t="s">
        <x:v>15</x:v>
      </x:c>
      <x:c r="L52" s="41" t="str">
        <x:v>Not assessed</x:v>
      </x:c>
      <x:c r="M52" s="42" t="str">
        <x:v>—</x:v>
      </x:c>
      <x:c r="N52" s="42" t="str">
        <x:v>No direct active-Gold KPI mapping recorded.</x:v>
      </x:c>
    </x:row>
    <x:row r="53" ht="15" hidden="0" customHeight="1">
      <x:c r="A53" s="1">
        <x:f t="shared" si="0"/>
        <x:v>68</x:v>
      </x:c>
      <x:c r="B53" t="s">
        <x:v>217</x:v>
      </x:c>
      <x:c r="C53" t="s">
        <x:v>218</x:v>
      </x:c>
      <x:c r="D53" t="s">
        <x:v>18</x:v>
      </x:c>
      <x:c r="E53" t="s">
        <x:v>38</x:v>
      </x:c>
      <x:c r="F53" t="s">
        <x:v>216</x:v>
      </x:c>
      <x:c r="G53" t="s">
        <x:v>15</x:v>
      </x:c>
      <x:c r="L53" s="41" t="str">
        <x:v>Not assessed</x:v>
      </x:c>
      <x:c r="M53" s="42" t="str">
        <x:v>—</x:v>
      </x:c>
      <x:c r="N53" s="42" t="str">
        <x:v>No direct active-Gold KPI mapping recorded.</x:v>
      </x:c>
    </x:row>
    <x:row r="54" ht="15" hidden="0" customHeight="1">
      <x:c r="A54" s="1">
        <x:f t="shared" si="0"/>
        <x:v>69</x:v>
      </x:c>
      <x:c r="B54" t="s">
        <x:v>219</x:v>
      </x:c>
      <x:c r="C54" t="s">
        <x:v>220</x:v>
      </x:c>
      <x:c r="D54" t="s">
        <x:v>18</x:v>
      </x:c>
      <x:c r="E54" t="s">
        <x:v>13</x:v>
      </x:c>
      <x:c r="F54" t="s">
        <x:v>20</x:v>
      </x:c>
      <x:c r="G54" t="s">
        <x:v>21</x:v>
      </x:c>
      <x:c r="H54" t="s">
        <x:v>221</x:v>
      </x:c>
      <x:c r="L54" s="41" t="str">
        <x:v>Not assessed</x:v>
      </x:c>
      <x:c r="M54" s="42" t="str">
        <x:v>—</x:v>
      </x:c>
      <x:c r="N54" s="42" t="str">
        <x:v>No direct active-Gold KPI mapping recorded.</x:v>
      </x:c>
    </x:row>
    <x:row r="55" ht="15" hidden="0" customHeight="1">
      <x:c r="A55" s="1">
        <x:f t="shared" si="0"/>
        <x:v>70</x:v>
      </x:c>
      <x:c r="B55" t="s">
        <x:v>222</x:v>
      </x:c>
      <x:c r="C55" t="s">
        <x:v>223</x:v>
      </x:c>
      <x:c r="D55" t="s">
        <x:v>18</x:v>
      </x:c>
      <x:c r="E55" t="s">
        <x:v>19</x:v>
      </x:c>
      <x:c r="F55" t="s">
        <x:v>20</x:v>
      </x:c>
      <x:c r="G55" t="s">
        <x:v>39</x:v>
      </x:c>
      <x:c r="L55" s="41" t="str">
        <x:v>Not assessed</x:v>
      </x:c>
      <x:c r="M55" s="42" t="str">
        <x:v>—</x:v>
      </x:c>
      <x:c r="N55" s="42" t="str">
        <x:v>No direct active-Gold KPI mapping recorded.</x:v>
      </x:c>
    </x:row>
    <x:row r="56" ht="15" hidden="0" customHeight="1">
      <x:c r="A56" s="1">
        <x:f t="shared" si="0"/>
        <x:v>71</x:v>
      </x:c>
      <x:c r="B56" t="s">
        <x:v>224</x:v>
      </x:c>
      <x:c r="C56" t="s">
        <x:v>225</x:v>
      </x:c>
      <x:c r="D56" t="s">
        <x:v>99</x:v>
      </x:c>
      <x:c r="E56" t="s">
        <x:v>13</x:v>
      </x:c>
      <x:c r="F56" t="s">
        <x:v>132</x:v>
      </x:c>
      <x:c r="G56" t="s">
        <x:v>15</x:v>
      </x:c>
      <x:c r="L56" s="41" t="str">
        <x:v>Not assessed</x:v>
      </x:c>
      <x:c r="M56" s="42" t="str">
        <x:v>—</x:v>
      </x:c>
      <x:c r="N56" s="42" t="str">
        <x:v>No direct active-Gold KPI mapping recorded.</x:v>
      </x:c>
    </x:row>
    <x:row r="57" ht="15" hidden="0" customHeight="1">
      <x:c r="A57" s="1">
        <x:f t="shared" si="0"/>
        <x:v>72</x:v>
      </x:c>
      <x:c r="B57" t="s">
        <x:v>226</x:v>
      </x:c>
      <x:c r="C57" t="s">
        <x:v>227</x:v>
      </x:c>
      <x:c r="D57" t="s">
        <x:v>18</x:v>
      </x:c>
      <x:c r="E57" t="s">
        <x:v>38</x:v>
      </x:c>
      <x:c r="F57" t="s">
        <x:v>20</x:v>
      </x:c>
      <x:c r="G57" t="s">
        <x:v>39</x:v>
      </x:c>
      <x:c r="H57" t="s">
        <x:v>228</x:v>
      </x:c>
      <x:c r="L57" s="41" t="str">
        <x:v>Not assessed</x:v>
      </x:c>
      <x:c r="M57" s="42" t="str">
        <x:v>—</x:v>
      </x:c>
      <x:c r="N57" s="42" t="str">
        <x:v>No direct active-Gold KPI mapping recorded.</x:v>
      </x:c>
    </x:row>
    <x:row r="58" ht="15" hidden="0" customHeight="1">
      <x:c r="A58" s="1">
        <x:f t="shared" si="0"/>
        <x:v>73</x:v>
      </x:c>
      <x:c r="B58" t="s">
        <x:v>229</x:v>
      </x:c>
      <x:c r="C58" t="s">
        <x:v>230</x:v>
      </x:c>
      <x:c r="D58" t="s">
        <x:v>18</x:v>
      </x:c>
      <x:c r="E58" t="s">
        <x:v>19</x:v>
      </x:c>
      <x:c r="F58" t="s">
        <x:v>20</x:v>
      </x:c>
      <x:c r="G58" t="s">
        <x:v>21</x:v>
      </x:c>
      <x:c r="L58" s="41" t="str">
        <x:v>Not assessed</x:v>
      </x:c>
      <x:c r="M58" s="42" t="str">
        <x:v>—</x:v>
      </x:c>
      <x:c r="N58" s="42" t="str">
        <x:v>No direct active-Gold KPI mapping recorded.</x:v>
      </x:c>
    </x:row>
    <x:row r="59" ht="15" hidden="0" customHeight="1">
      <x:c r="A59" s="1">
        <x:f t="shared" si="0"/>
        <x:v>74</x:v>
      </x:c>
      <x:c r="B59" t="s">
        <x:v>231</x:v>
      </x:c>
      <x:c r="C59" t="s">
        <x:v>232</x:v>
      </x:c>
      <x:c r="D59" t="s">
        <x:v>18</x:v>
      </x:c>
      <x:c r="E59" t="s">
        <x:v>19</x:v>
      </x:c>
      <x:c r="F59" t="s">
        <x:v>20</x:v>
      </x:c>
      <x:c r="G59" t="s">
        <x:v>21</x:v>
      </x:c>
      <x:c r="L59" s="41" t="str">
        <x:v>Not assessed</x:v>
      </x:c>
      <x:c r="M59" s="42" t="str">
        <x:v>—</x:v>
      </x:c>
      <x:c r="N59" s="42" t="str">
        <x:v>No direct active-Gold KPI mapping recorded.</x:v>
      </x:c>
    </x:row>
    <x:row r="60" ht="15" hidden="0" customHeight="1">
      <x:c r="A60" s="1">
        <x:f t="shared" si="0"/>
        <x:v>75</x:v>
      </x:c>
      <x:c r="B60" t="s">
        <x:v>233</x:v>
      </x:c>
      <x:c r="C60" t="s">
        <x:v>234</x:v>
      </x:c>
      <x:c r="D60" t="s">
        <x:v>18</x:v>
      </x:c>
      <x:c r="E60" t="s">
        <x:v>13</x:v>
      </x:c>
      <x:c r="F60" t="s">
        <x:v>20</x:v>
      </x:c>
      <x:c r="G60" t="s">
        <x:v>21</x:v>
      </x:c>
      <x:c r="L60" s="41" t="str">
        <x:v>Not assessed</x:v>
      </x:c>
      <x:c r="M60" s="42" t="str">
        <x:v>—</x:v>
      </x:c>
      <x:c r="N60" s="42" t="str">
        <x:v>No direct active-Gold KPI mapping recorded.</x:v>
      </x:c>
    </x:row>
    <x:row r="61" ht="15" hidden="0" customHeight="1">
      <x:c r="A61" s="1">
        <x:f t="shared" si="0"/>
        <x:v>76</x:v>
      </x:c>
      <x:c r="B61" t="s">
        <x:v>235</x:v>
      </x:c>
      <x:c r="C61" t="s">
        <x:v>236</x:v>
      </x:c>
      <x:c r="D61" t="s">
        <x:v>18</x:v>
      </x:c>
      <x:c r="E61" t="s">
        <x:v>13</x:v>
      </x:c>
      <x:c r="F61" t="s">
        <x:v>20</x:v>
      </x:c>
      <x:c r="G61" t="s">
        <x:v>45</x:v>
      </x:c>
      <x:c r="L61" s="41" t="str">
        <x:v>Not assessed</x:v>
      </x:c>
      <x:c r="M61" s="42" t="str">
        <x:v>—</x:v>
      </x:c>
      <x:c r="N61" s="42" t="str">
        <x:v>No direct active-Gold KPI mapping recorded.</x:v>
      </x:c>
    </x:row>
    <x:row r="62" ht="15" hidden="0" customHeight="1">
      <x:c r="A62" s="1">
        <x:f t="shared" si="0"/>
        <x:v>77</x:v>
      </x:c>
      <x:c r="B62" t="s">
        <x:v>237</x:v>
      </x:c>
      <x:c r="C62" t="s">
        <x:v>238</x:v>
      </x:c>
      <x:c r="D62" t="s">
        <x:v>18</x:v>
      </x:c>
      <x:c r="E62" t="s">
        <x:v>38</x:v>
      </x:c>
      <x:c r="F62" t="s">
        <x:v>20</x:v>
      </x:c>
      <x:c r="G62" t="s">
        <x:v>39</x:v>
      </x:c>
      <x:c r="L62" s="41" t="str">
        <x:v>Not assessed</x:v>
      </x:c>
      <x:c r="M62" s="42" t="str">
        <x:v>—</x:v>
      </x:c>
      <x:c r="N62" s="42" t="str">
        <x:v>No direct active-Gold KPI mapping recorded.</x:v>
      </x:c>
    </x:row>
    <x:row r="63" ht="15" hidden="0" customHeight="1">
      <x:c r="A63" s="1">
        <x:f t="shared" si="0"/>
        <x:v>78</x:v>
      </x:c>
      <x:c r="B63" t="s">
        <x:v>239</x:v>
      </x:c>
      <x:c r="C63" t="s">
        <x:v>240</x:v>
      </x:c>
      <x:c r="D63" t="s">
        <x:v>18</x:v>
      </x:c>
      <x:c r="E63" t="s">
        <x:v>13</x:v>
      </x:c>
      <x:c r="F63" t="s">
        <x:v>20</x:v>
      </x:c>
      <x:c r="G63" t="s">
        <x:v>45</x:v>
      </x:c>
      <x:c r="L63" s="41" t="str">
        <x:v>Not assessed</x:v>
      </x:c>
      <x:c r="M63" s="42" t="str">
        <x:v>—</x:v>
      </x:c>
      <x:c r="N63" s="42" t="str">
        <x:v>No direct active-Gold KPI mapping recorded.</x:v>
      </x:c>
    </x:row>
    <x:row r="64" ht="15" hidden="0" customHeight="1">
      <x:c r="A64" s="1">
        <x:f t="shared" si="0"/>
        <x:v>79</x:v>
      </x:c>
      <x:c r="B64" t="s">
        <x:v>241</x:v>
      </x:c>
      <x:c r="C64" t="s">
        <x:v>242</x:v>
      </x:c>
      <x:c r="D64" t="s">
        <x:v>18</x:v>
      </x:c>
      <x:c r="E64" t="s">
        <x:v>38</x:v>
      </x:c>
      <x:c r="F64" t="s">
        <x:v>20</x:v>
      </x:c>
      <x:c r="G64" t="s">
        <x:v>45</x:v>
      </x:c>
      <x:c r="L64" s="41" t="str">
        <x:v>Not assessed</x:v>
      </x:c>
      <x:c r="M64" s="42" t="str">
        <x:v>—</x:v>
      </x:c>
      <x:c r="N64" s="42" t="str">
        <x:v>No direct active-Gold KPI mapping recorded.</x:v>
      </x:c>
    </x:row>
    <x:row r="65" ht="15" hidden="0" customHeight="1">
      <x:c r="A65" s="1">
        <x:f t="shared" si="0"/>
        <x:v>80</x:v>
      </x:c>
      <x:c r="B65" t="s">
        <x:v>243</x:v>
      </x:c>
      <x:c r="C65" t="s">
        <x:v>244</x:v>
      </x:c>
      <x:c r="D65" t="s">
        <x:v>18</x:v>
      </x:c>
      <x:c r="E65" t="s">
        <x:v>38</x:v>
      </x:c>
      <x:c r="F65" t="s">
        <x:v>20</x:v>
      </x:c>
      <x:c r="G65" t="s">
        <x:v>39</x:v>
      </x:c>
      <x:c r="L65" s="41" t="str">
        <x:v>Not assessed</x:v>
      </x:c>
      <x:c r="M65" s="42" t="str">
        <x:v>—</x:v>
      </x:c>
      <x:c r="N65" s="42" t="str">
        <x:v>No direct active-Gold KPI mapping recorded.</x:v>
      </x:c>
    </x:row>
    <x:row r="66" ht="15" hidden="0" customHeight="1">
      <x:c r="A66" s="1" t="n">
        <x:f t="shared" ref="A66:A81" si="1">VALUE(TRIM(SUBSTITUTE(B66,"R","",1)))</x:f>
        <x:v>81</x:v>
      </x:c>
      <x:c r="B66" t="s">
        <x:v>245</x:v>
      </x:c>
      <x:c r="C66" t="s">
        <x:v>246</x:v>
      </x:c>
      <x:c r="D66" t="s">
        <x:v>18</x:v>
      </x:c>
      <x:c r="E66" t="s">
        <x:v>38</x:v>
      </x:c>
      <x:c r="F66" t="s">
        <x:v>20</x:v>
      </x:c>
      <x:c r="G66" t="s">
        <x:v>21</x:v>
      </x:c>
      <x:c r="L66" s="41" t="str">
        <x:v>Not assessed</x:v>
      </x:c>
      <x:c r="M66" s="42" t="str">
        <x:v>—</x:v>
      </x:c>
      <x:c r="N66" s="42" t="str">
        <x:v>No direct active-Gold KPI mapping recorded.</x:v>
      </x:c>
    </x:row>
    <x:row r="67" ht="15" hidden="0" customHeight="1">
      <x:c r="A67" s="1">
        <x:f t="shared" si="1"/>
        <x:v>82</x:v>
      </x:c>
      <x:c r="B67" t="s">
        <x:v>247</x:v>
      </x:c>
      <x:c r="C67" t="s">
        <x:v>248</x:v>
      </x:c>
      <x:c r="D67" t="s">
        <x:v>18</x:v>
      </x:c>
      <x:c r="E67" t="s">
        <x:v>38</x:v>
      </x:c>
      <x:c r="F67" t="s">
        <x:v>249</x:v>
      </x:c>
      <x:c r="G67" t="s">
        <x:v>15</x:v>
      </x:c>
      <x:c r="L67" s="41" t="str">
        <x:v>Ready</x:v>
      </x:c>
      <x:c r="M67" s="42" t="str">
        <x:v>Gold Model Last Refreshed</x:v>
      </x:c>
      <x:c r="N67" s="42" t="str">
        <x:v>Uses fact_referral[gold_modelled_at].</x:v>
      </x:c>
    </x:row>
    <x:row r="68" ht="15" hidden="0" customHeight="1">
      <x:c r="A68" s="1">
        <x:f t="shared" si="1"/>
        <x:v>83</x:v>
      </x:c>
      <x:c r="B68" t="s">
        <x:v>250</x:v>
      </x:c>
      <x:c r="C68" t="s">
        <x:v>251</x:v>
      </x:c>
      <x:c r="D68" t="s">
        <x:v>18</x:v>
      </x:c>
      <x:c r="E68" t="s">
        <x:v>13</x:v>
      </x:c>
      <x:c r="F68" t="s">
        <x:v>20</x:v>
      </x:c>
      <x:c r="G68" t="s">
        <x:v>21</x:v>
      </x:c>
      <x:c r="H68" t="s">
        <x:v>252</x:v>
      </x:c>
      <x:c r="L68" s="41" t="str">
        <x:v>Not assessed</x:v>
      </x:c>
      <x:c r="M68" s="42" t="str">
        <x:v>—</x:v>
      </x:c>
      <x:c r="N68" s="42" t="str">
        <x:v>No direct active-Gold KPI mapping recorded.</x:v>
      </x:c>
    </x:row>
    <x:row r="69" ht="15" hidden="0" customHeight="1">
      <x:c r="A69" s="1">
        <x:f t="shared" si="1"/>
        <x:v>84</x:v>
      </x:c>
      <x:c r="B69" t="s">
        <x:v>253</x:v>
      </x:c>
      <x:c r="C69" t="s">
        <x:v>254</x:v>
      </x:c>
      <x:c r="D69" t="s">
        <x:v>18</x:v>
      </x:c>
      <x:c r="E69" t="s">
        <x:v>13</x:v>
      </x:c>
      <x:c r="F69" t="s">
        <x:v>20</x:v>
      </x:c>
      <x:c r="G69" t="s">
        <x:v>21</x:v>
      </x:c>
      <x:c r="L69" s="41" t="str">
        <x:v>Not assessed</x:v>
      </x:c>
      <x:c r="M69" s="42" t="str">
        <x:v>—</x:v>
      </x:c>
      <x:c r="N69" s="42" t="str">
        <x:v>No direct active-Gold KPI mapping recorded.</x:v>
      </x:c>
    </x:row>
    <x:row r="70" ht="15" hidden="0" customHeight="1">
      <x:c r="A70" s="1">
        <x:f t="shared" si="1"/>
        <x:v>85</x:v>
      </x:c>
      <x:c r="B70" t="s">
        <x:v>255</x:v>
      </x:c>
      <x:c r="C70" t="s">
        <x:v>256</x:v>
      </x:c>
      <x:c r="D70" t="s">
        <x:v>18</x:v>
      </x:c>
      <x:c r="E70" t="s">
        <x:v>19</x:v>
      </x:c>
      <x:c r="F70" t="s">
        <x:v>20</x:v>
      </x:c>
      <x:c r="G70" t="s">
        <x:v>21</x:v>
      </x:c>
      <x:c r="L70" s="41" t="str">
        <x:v>Not assessed</x:v>
      </x:c>
      <x:c r="M70" s="42" t="str">
        <x:v>—</x:v>
      </x:c>
      <x:c r="N70" s="42" t="str">
        <x:v>No direct active-Gold KPI mapping recorded.</x:v>
      </x:c>
    </x:row>
    <x:row r="71" ht="15" hidden="0" customHeight="1">
      <x:c r="A71" s="1">
        <x:f t="shared" si="1"/>
        <x:v>86</x:v>
      </x:c>
      <x:c r="B71" t="s">
        <x:v>257</x:v>
      </x:c>
      <x:c r="C71" t="s">
        <x:v>258</x:v>
      </x:c>
      <x:c r="D71" t="s">
        <x:v>18</x:v>
      </x:c>
      <x:c r="E71" t="s">
        <x:v>38</x:v>
      </x:c>
      <x:c r="F71" t="s">
        <x:v>20</x:v>
      </x:c>
      <x:c r="G71" t="s">
        <x:v>21</x:v>
      </x:c>
      <x:c r="L71" s="41" t="str">
        <x:v>Not assessed</x:v>
      </x:c>
      <x:c r="M71" s="42" t="str">
        <x:v>—</x:v>
      </x:c>
      <x:c r="N71" s="42" t="str">
        <x:v>No direct active-Gold KPI mapping recorded.</x:v>
      </x:c>
    </x:row>
    <x:row r="72" ht="15" hidden="0" customHeight="1">
      <x:c r="A72" s="1">
        <x:f t="shared" si="1"/>
        <x:v>87</x:v>
      </x:c>
      <x:c r="B72" t="s">
        <x:v>259</x:v>
      </x:c>
      <x:c r="C72" t="s">
        <x:v>260</x:v>
      </x:c>
      <x:c r="D72" t="s">
        <x:v>18</x:v>
      </x:c>
      <x:c r="E72" t="s">
        <x:v>38</x:v>
      </x:c>
      <x:c r="F72" t="s">
        <x:v>20</x:v>
      </x:c>
      <x:c r="G72" t="s">
        <x:v>21</x:v>
      </x:c>
      <x:c r="L72" s="41" t="str">
        <x:v>Not assessed</x:v>
      </x:c>
      <x:c r="M72" s="42" t="str">
        <x:v>—</x:v>
      </x:c>
      <x:c r="N72" s="42" t="str">
        <x:v>No direct active-Gold KPI mapping recorded.</x:v>
      </x:c>
    </x:row>
    <x:row r="73" ht="15" hidden="0" customHeight="1">
      <x:c r="A73" s="1">
        <x:f t="shared" si="1"/>
        <x:v>88</x:v>
      </x:c>
      <x:c r="B73" t="s">
        <x:v>261</x:v>
      </x:c>
      <x:c r="C73" t="s">
        <x:v>262</x:v>
      </x:c>
      <x:c r="D73" t="s">
        <x:v>18</x:v>
      </x:c>
      <x:c r="E73" t="s">
        <x:v>19</x:v>
      </x:c>
      <x:c r="F73" t="s">
        <x:v>20</x:v>
      </x:c>
      <x:c r="G73" t="s">
        <x:v>21</x:v>
      </x:c>
      <x:c r="L73" s="41" t="str">
        <x:v>Not assessed</x:v>
      </x:c>
      <x:c r="M73" s="42" t="str">
        <x:v>—</x:v>
      </x:c>
      <x:c r="N73" s="42" t="str">
        <x:v>No direct active-Gold KPI mapping recorded.</x:v>
      </x:c>
    </x:row>
    <x:row r="74" ht="15" hidden="0" customHeight="1">
      <x:c r="A74" s="1">
        <x:f t="shared" si="1"/>
        <x:v>89</x:v>
      </x:c>
      <x:c r="B74" t="s">
        <x:v>263</x:v>
      </x:c>
      <x:c r="C74" t="s">
        <x:v>264</x:v>
      </x:c>
      <x:c r="D74" t="s">
        <x:v>18</x:v>
      </x:c>
      <x:c r="E74" t="s">
        <x:v>19</x:v>
      </x:c>
      <x:c r="F74" t="s">
        <x:v>20</x:v>
      </x:c>
      <x:c r="G74" t="s">
        <x:v>21</x:v>
      </x:c>
      <x:c r="L74" s="41" t="str">
        <x:v>Not assessed</x:v>
      </x:c>
      <x:c r="M74" s="42" t="str">
        <x:v>—</x:v>
      </x:c>
      <x:c r="N74" s="42" t="str">
        <x:v>No direct active-Gold KPI mapping recorded.</x:v>
      </x:c>
    </x:row>
    <x:row r="75" ht="15" hidden="0" customHeight="1">
      <x:c r="A75" s="1">
        <x:f t="shared" si="1"/>
        <x:v>90</x:v>
      </x:c>
      <x:c r="B75" t="s">
        <x:v>265</x:v>
      </x:c>
      <x:c r="C75" t="s">
        <x:v>266</x:v>
      </x:c>
      <x:c r="D75" t="s">
        <x:v>18</x:v>
      </x:c>
      <x:c r="E75" t="s">
        <x:v>19</x:v>
      </x:c>
      <x:c r="F75" t="s">
        <x:v>20</x:v>
      </x:c>
      <x:c r="G75" t="s">
        <x:v>21</x:v>
      </x:c>
      <x:c r="L75" s="41" t="str">
        <x:v>Not assessed</x:v>
      </x:c>
      <x:c r="M75" s="42" t="str">
        <x:v>—</x:v>
      </x:c>
      <x:c r="N75" s="42" t="str">
        <x:v>No direct active-Gold KPI mapping recorded.</x:v>
      </x:c>
    </x:row>
    <x:row r="76" ht="15" hidden="0" customHeight="1">
      <x:c r="A76" s="1">
        <x:f t="shared" si="1"/>
        <x:v>91</x:v>
      </x:c>
      <x:c r="B76" t="s">
        <x:v>267</x:v>
      </x:c>
      <x:c r="C76" t="s">
        <x:v>268</x:v>
      </x:c>
      <x:c r="D76" t="s">
        <x:v>99</x:v>
      </x:c>
      <x:c r="E76" t="s">
        <x:v>13</x:v>
      </x:c>
      <x:c r="F76" t="s">
        <x:v>269</x:v>
      </x:c>
      <x:c r="G76" t="s">
        <x:v>15</x:v>
      </x:c>
      <x:c r="L76" s="41" t="str">
        <x:v>Ready</x:v>
      </x:c>
      <x:c r="M76" s="42" t="str">
        <x:v>Providers Registered; Provider Homes Registered</x:v>
      </x:c>
      <x:c r="N76" s="42" t="str">
        <x:v>Uses dim_provider and dim_provider_home.</x:v>
      </x:c>
    </x:row>
    <x:row r="77" ht="15" hidden="0" customHeight="1">
      <x:c r="A77" s="1">
        <x:f t="shared" si="1"/>
        <x:v>92</x:v>
      </x:c>
      <x:c r="B77" t="s">
        <x:v>270</x:v>
      </x:c>
      <x:c r="C77" t="s">
        <x:v>271</x:v>
      </x:c>
      <x:c r="D77" t="s">
        <x:v>138</x:v>
      </x:c>
      <x:c r="E77" t="s">
        <x:v>38</x:v>
      </x:c>
      <x:c r="F77" t="s">
        <x:v>20</x:v>
      </x:c>
      <x:c r="G77" t="s">
        <x:v>39</x:v>
      </x:c>
      <x:c r="L77" s="41" t="str">
        <x:v>Ready</x:v>
      </x:c>
      <x:c r="M77" s="42" t="str">
        <x:v>Providers Pending Onboarding; Providers Approved</x:v>
      </x:c>
      <x:c r="N77" s="42" t="str">
        <x:v>Provider status is available in dim_provider.</x:v>
      </x:c>
    </x:row>
    <x:row r="78" ht="15" hidden="0" customHeight="1">
      <x:c r="A78" s="1">
        <x:f t="shared" si="1"/>
        <x:v>93</x:v>
      </x:c>
      <x:c r="B78" t="s">
        <x:v>272</x:v>
      </x:c>
      <x:c r="C78" t="s">
        <x:v>273</x:v>
      </x:c>
      <x:c r="D78" t="s">
        <x:v>12</x:v>
      </x:c>
      <x:c r="E78" t="s">
        <x:v>13</x:v>
      </x:c>
      <x:c r="F78" t="s">
        <x:v>274</x:v>
      </x:c>
      <x:c r="G78" t="s">
        <x:v>15</x:v>
      </x:c>
      <x:c r="L78" s="41" t="str">
        <x:v>Ready</x:v>
      </x:c>
      <x:c r="M78" s="42" t="str">
        <x:v>Providers Registered; Provider Homes Registered</x:v>
      </x:c>
      <x:c r="N78" s="42" t="str">
        <x:v>Use provider and home dimensions for the directory.</x:v>
      </x:c>
    </x:row>
    <x:row r="79" ht="15" hidden="0" customHeight="1">
      <x:c r="A79" s="1">
        <x:f t="shared" si="1"/>
        <x:v>94</x:v>
      </x:c>
      <x:c r="B79" t="s">
        <x:v>275</x:v>
      </x:c>
      <x:c r="C79" t="s">
        <x:v>276</x:v>
      </x:c>
      <x:c r="D79" t="s">
        <x:v>138</x:v>
      </x:c>
      <x:c r="E79" t="s">
        <x:v>38</x:v>
      </x:c>
      <x:c r="F79" t="s">
        <x:v>277</x:v>
      </x:c>
      <x:c r="G79" t="s">
        <x:v>184</x:v>
      </x:c>
      <x:c r="H79" t="s">
        <x:v>278</x:v>
      </x:c>
      <x:c r="I79" t="s">
        <x:v>279</x:v>
      </x:c>
      <x:c r="L79" s="41" t="str">
        <x:v>Proxy only</x:v>
      </x:c>
      <x:c r="M79" s="42" t="str">
        <x:v>Providers With QA Flags; QA Flagged Homes</x:v>
      </x:c>
      <x:c r="N79" s="42" t="str">
        <x:v>No flag-type breakdown in active Gold.</x:v>
      </x:c>
    </x:row>
    <x:row r="80" ht="15" hidden="0" customHeight="1">
      <x:c r="A80" s="1">
        <x:f t="shared" si="1"/>
        <x:v>95</x:v>
      </x:c>
      <x:c r="B80" t="s">
        <x:v>280</x:v>
      </x:c>
      <x:c r="C80" t="s">
        <x:v>281</x:v>
      </x:c>
      <x:c r="D80" t="s">
        <x:v>18</x:v>
      </x:c>
      <x:c r="E80" t="s">
        <x:v>38</x:v>
      </x:c>
      <x:c r="F80" t="s">
        <x:v>282</x:v>
      </x:c>
      <x:c r="G80" t="s">
        <x:v>15</x:v>
      </x:c>
      <x:c r="L80" s="41" t="str">
        <x:v>Ready</x:v>
      </x:c>
      <x:c r="M80" s="42" t="str">
        <x:v>Providers - Fostering; Fostering Homes</x:v>
      </x:c>
      <x:c r="N80" s="42" t="str">
        <x:v>Uses dim_provider_home[service_type].</x:v>
      </x:c>
    </x:row>
    <x:row r="81" ht="15" hidden="0" customHeight="1">
      <x:c r="A81" s="1">
        <x:f t="shared" si="1"/>
        <x:v>96</x:v>
      </x:c>
      <x:c r="B81" t="s">
        <x:v>283</x:v>
      </x:c>
      <x:c r="C81" t="s">
        <x:v>284</x:v>
      </x:c>
      <x:c r="D81" t="s">
        <x:v>18</x:v>
      </x:c>
      <x:c r="E81" t="s">
        <x:v>38</x:v>
      </x:c>
      <x:c r="F81" t="s">
        <x:v>285</x:v>
      </x:c>
      <x:c r="G81" t="s">
        <x:v>15</x:v>
      </x:c>
      <x:c r="L81" s="41" t="str">
        <x:v>Ready</x:v>
      </x:c>
      <x:c r="M81" s="42" t="str">
        <x:v>Providers - Residential; Residential Homes</x:v>
      </x:c>
      <x:c r="N81" s="42" t="str">
        <x:v>Uses dim_provider_home[service_type].</x:v>
      </x:c>
    </x:row>
  </x:sheetData>
  <x:conditionalFormatting sqref="L2:L81">
    <x:cfRule type="containsText" dxfId="33" priority="1" operator="containsText" text="Ready"/>
    <x:cfRule type="containsText" dxfId="34" priority="2" operator="containsText" text="Proxy"/>
    <x:cfRule type="containsText" dxfId="35" priority="3" operator="containsText" text="Needs Gold dat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34" hidden="0" customWidth="1"/>
    <x:col min="2" max="2" width="16" hidden="0" customWidth="1"/>
    <x:col min="3" max="3" width="42" hidden="0" customWidth="1"/>
    <x:col min="4" max="4" width="37" hidden="0" customWidth="1"/>
    <x:col min="5" max="5" width="52" hidden="0" customWidth="1"/>
    <x:col min="6" max="6" width="44" hidden="0" customWidth="1"/>
  </x:cols>
  <x:sheetData>
    <x:row r="1" s="2" customFormat="1" ht="28" customHeight="1">
      <x:c r="A1" s="96" t="str">
        <x:v>Active Gold semantic-model object legend</x:v>
      </x:c>
      <x:c r="B1" s="96" t="str">
        <x:v>Active Gold semantic-model object legend</x:v>
      </x:c>
      <x:c r="C1" s="96" t="str">
        <x:v>Active Gold semantic-model object legend</x:v>
      </x:c>
      <x:c r="D1" s="96" t="str">
        <x:v>Active Gold semantic-model object legend</x:v>
      </x:c>
      <x:c r="E1" s="96" t="str">
        <x:v>Active Gold semantic-model object legend</x:v>
      </x:c>
      <x:c r="F1" s="96" t="str">
        <x:v>Active Gold semantic-model object legend</x:v>
      </x:c>
    </x:row>
    <x:row r="2" ht="34" customHeight="1">
      <x:c r="A2" s="100" t="str">
        <x:v>Active objects created by 04_gold_model.ipynb and 05_gold_dimensions.ipynb. All public fields use lower-case snake_case; gold.fct_ipa replaces retired gold.fact_placement.</x:v>
      </x:c>
      <x:c r="B2"/>
      <x:c r="C2"/>
      <x:c r="D2"/>
    </x:row>
    <x:row r="3">
      <x:c r="A3"/>
      <x:c r="B3"/>
      <x:c r="C3"/>
      <x:c r="D3"/>
    </x:row>
    <x:row r="4" ht="14.5" hidden="0" customHeight="1">
      <x:c r="A4" s="106" t="str">
        <x:v>Gold object</x:v>
      </x:c>
      <x:c r="B4" s="106" t="str">
        <x:v>Object type</x:v>
      </x:c>
      <x:c r="C4" s="106" t="str">
        <x:v>Grain / key</x:v>
      </x:c>
      <x:c r="D4" s="106" t="str">
        <x:v>Source</x:v>
      </x:c>
      <x:c r="E4" s="106" t="str">
        <x:v>Purpose</x:v>
      </x:c>
      <x:c r="F4" s="106" t="str">
        <x:v>Semantic-model use</x:v>
      </x:c>
    </x:row>
    <x:row r="5" ht="14.5" hidden="0" customHeight="1">
      <x:c r="A5" s="38" t="str">
        <x:v>gold.fact_referral</x:v>
      </x:c>
      <x:c r="B5" s="39" t="str">
        <x:v>Fact</x:v>
      </x:c>
      <x:c r="C5" s="39" t="str">
        <x:v>One current row per referral | referral_id</x:v>
      </x:c>
      <x:c r="D5" s="39" t="str">
        <x:v>silver.referral plus referral enrichment</x:v>
      </x:c>
      <x:c r="E5" s="39" t="str">
        <x:v>Current referral status, lifecycle dates, offer/IPA indicators and cost</x:v>
      </x:c>
      <x:c r="F5" s="40" t="str">
        <x:v>Primary referral KPI fact</x:v>
      </x:c>
    </x:row>
    <x:row r="6" ht="14.5" hidden="0" customHeight="1">
      <x:c r="A6" s="41" t="str">
        <x:v>gold.fact_referral_snapshot</x:v>
      </x:c>
      <x:c r="B6" s="42" t="str">
        <x:v>Fact</x:v>
      </x:c>
      <x:c r="C6" s="42" t="str">
        <x:v>One referral per snapshot | snapshot_date + referral_id</x:v>
      </x:c>
      <x:c r="D6" s="42" t="str">
        <x:v>Snapshot of gold.fact_referral</x:v>
      </x:c>
      <x:c r="E6" s="42" t="str">
        <x:v>Point-in-time referral trends and backlog</x:v>
      </x:c>
      <x:c r="F6" s="43" t="str">
        <x:v>Use for timeline visuals only</x:v>
      </x:c>
    </x:row>
    <x:row r="7" ht="14.5" hidden="0" customHeight="1">
      <x:c r="A7" s="41" t="str">
        <x:v>gold.fact_referral_lifecycle_event</x:v>
      </x:c>
      <x:c r="B7" s="42" t="str">
        <x:v>Fact</x:v>
      </x:c>
      <x:c r="C7" s="42" t="str">
        <x:v>One lifecycle event | event_id</x:v>
      </x:c>
      <x:c r="D7" s="42" t="str">
        <x:v>Silver lifecycle-event roll-up</x:v>
      </x:c>
      <x:c r="E7" s="42" t="str">
        <x:v>Referral lifecycle activity</x:v>
      </x:c>
      <x:c r="F7" s="43" t="str">
        <x:v>Audit/activity proxy; not a full source audit log</x:v>
      </x:c>
    </x:row>
    <x:row r="8" ht="14.5" hidden="0" customHeight="1">
      <x:c r="A8" s="41" t="str">
        <x:v>gold.fact_offer</x:v>
      </x:c>
      <x:c r="B8" s="42" t="str">
        <x:v>Fact</x:v>
      </x:c>
      <x:c r="C8" s="42" t="str">
        <x:v>One offer | offer_id</x:v>
      </x:c>
      <x:c r="D8" s="42" t="str">
        <x:v>silver.offer joined to silver.referral_provider</x:v>
      </x:c>
      <x:c r="E8" s="42" t="str">
        <x:v>Offer submissions, decisions, ageing, cost and rejection reasons</x:v>
      </x:c>
      <x:c r="F8" s="43" t="str">
        <x:v>Use for offer and provider-performance KPIs</x:v>
      </x:c>
    </x:row>
    <x:row r="9" ht="14.5" hidden="0" customHeight="1">
      <x:c r="A9" s="41" t="str">
        <x:v>gold.fct_ipa</x:v>
      </x:c>
      <x:c r="B9" s="42" t="str">
        <x:v>Fact</x:v>
      </x:c>
      <x:c r="C9" s="42" t="str">
        <x:v>One IPA | ipa_id</x:v>
      </x:c>
      <x:c r="D9" s="42" t="str">
        <x:v>silver.ipa</x:v>
      </x:c>
      <x:c r="E9" s="42" t="str">
        <x:v>IPA issue, placement dates, status and weekly cost</x:v>
      </x:c>
      <x:c r="F9" s="43" t="str">
        <x:v>Replaces retired gold.fact_placement</x:v>
      </x:c>
    </x:row>
    <x:row r="10" ht="14.5" hidden="0" customHeight="1">
      <x:c r="A10" s="41" t="str">
        <x:v>gold.fact_referral_provider</x:v>
      </x:c>
      <x:c r="B10" s="42" t="str">
        <x:v>Fact</x:v>
      </x:c>
      <x:c r="C10" s="42" t="str">
        <x:v>One referral-provider assignment | referral_provider_id</x:v>
      </x:c>
      <x:c r="D10" s="42" t="str">
        <x:v>silver.referral_provider</x:v>
      </x:c>
      <x:c r="E10" s="42" t="str">
        <x:v>Provider assignment, decline, cancellation and closure</x:v>
      </x:c>
      <x:c r="F10" s="43" t="str">
        <x:v>Use for engagement and decline KPIs</x:v>
      </x:c>
    </x:row>
    <x:row r="11" ht="14.5" hidden="0" customHeight="1">
      <x:c r="A11" s="41" t="str">
        <x:v>gold.dim_date</x:v>
      </x:c>
      <x:c r="B11" s="42" t="str">
        <x:v>Dimension</x:v>
      </x:c>
      <x:c r="C11" s="42" t="str">
        <x:v>One calendar date | date</x:v>
      </x:c>
      <x:c r="D11" s="42" t="str">
        <x:v>Generated calendar</x:v>
      </x:c>
      <x:c r="E11" s="42" t="str">
        <x:v>Calendar, year, quarter, month and weekday attributes</x:v>
      </x:c>
      <x:c r="F11" s="43" t="str">
        <x:v>Mark as the Power BI date table</x:v>
      </x:c>
    </x:row>
    <x:row r="12" ht="14.5" hidden="0" customHeight="1">
      <x:c r="A12" s="41" t="str">
        <x:v>gold.dim_holding_company</x:v>
      </x:c>
      <x:c r="B12" s="42" t="str">
        <x:v>Dimension</x:v>
      </x:c>
      <x:c r="C12" s="42" t="str">
        <x:v>One holding company | holding_company_id</x:v>
      </x:c>
      <x:c r="D12" s="42" t="str">
        <x:v>silver.holding_company</x:v>
      </x:c>
      <x:c r="E12" s="42" t="str">
        <x:v>Provider holding-company attributes</x:v>
      </x:c>
      <x:c r="F12" s="43" t="str">
        <x:v>Optional provider hierarchy</x:v>
      </x:c>
    </x:row>
    <x:row r="13" ht="14.5" hidden="0" customHeight="1">
      <x:c r="A13" s="41" t="str">
        <x:v>gold.dim_provider</x:v>
      </x:c>
      <x:c r="B13" s="42" t="str">
        <x:v>Dimension</x:v>
      </x:c>
      <x:c r="C13" s="42" t="str">
        <x:v>One provider | provider_id</x:v>
      </x:c>
      <x:c r="D13" s="42" t="str">
        <x:v>silver.provider</x:v>
      </x:c>
      <x:c r="E13" s="42" t="str">
        <x:v>Provider name, status, geography and QA flag</x:v>
      </x:c>
      <x:c r="F13" s="43" t="str">
        <x:v>Provider slicing, QA and onboarding</x:v>
      </x:c>
    </x:row>
    <x:row r="14" ht="14.5" hidden="0" customHeight="1">
      <x:c r="A14" s="41" t="str">
        <x:v>gold.dim_provider_home</x:v>
      </x:c>
      <x:c r="B14" s="42" t="str">
        <x:v>Dimension</x:v>
      </x:c>
      <x:c r="C14" s="42" t="str">
        <x:v>One provider home | provider_home_id</x:v>
      </x:c>
      <x:c r="D14" s="42" t="str">
        <x:v>silver.provider_home</x:v>
      </x:c>
      <x:c r="E14" s="42" t="str">
        <x:v>Home, service type, beds, spot and QA attributes</x:v>
      </x:c>
      <x:c r="F14" s="43" t="str">
        <x:v>Connect to fact_offer[home_id]</x:v>
      </x:c>
    </x:row>
    <x:row r="15" ht="14.5" hidden="0" customHeight="1">
      <x:c r="A15" s="41" t="str">
        <x:v>gold.dim_framework</x:v>
      </x:c>
      <x:c r="B15" s="42" t="str">
        <x:v>Dimension</x:v>
      </x:c>
      <x:c r="C15" s="42" t="str">
        <x:v>One framework | framework_code</x:v>
      </x:c>
      <x:c r="D15" s="42" t="str">
        <x:v>silver.framework</x:v>
      </x:c>
      <x:c r="E15" s="42" t="str">
        <x:v>Framework name, placement type and dates</x:v>
      </x:c>
      <x:c r="F15" s="43" t="str">
        <x:v>Framework reference data</x:v>
      </x:c>
    </x:row>
    <x:row r="16" ht="14.5" hidden="0" customHeight="1">
      <x:c r="A16" s="41" t="str">
        <x:v>gold.dim_framework_category</x:v>
      </x:c>
      <x:c r="B16" s="42" t="str">
        <x:v>Dimension</x:v>
      </x:c>
      <x:c r="C16" s="42" t="str">
        <x:v>One framework category | framework_category_id</x:v>
      </x:c>
      <x:c r="D16" s="42" t="str">
        <x:v>silver.framework_category</x:v>
      </x:c>
      <x:c r="E16" s="42" t="str">
        <x:v>Framework category attributes</x:v>
      </x:c>
      <x:c r="F16" s="43" t="str">
        <x:v>Framework reference data</x:v>
      </x:c>
    </x:row>
    <x:row r="17" ht="14.5" hidden="0" customHeight="1">
      <x:c r="A17" s="41" t="str">
        <x:v>gold.dim_provider_submission_document</x:v>
      </x:c>
      <x:c r="B17" s="42" t="str">
        <x:v>Dimension</x:v>
      </x:c>
      <x:c r="C17" s="42" t="str">
        <x:v>One document | document_id</x:v>
      </x:c>
      <x:c r="D17" s="42" t="str">
        <x:v>silver.provider_submission_docs</x:v>
      </x:c>
      <x:c r="E17" s="42" t="str">
        <x:v>Document type, expiry/review dates and home</x:v>
      </x:c>
      <x:c r="F17" s="43" t="str">
        <x:v>Document expiry monitoring</x:v>
      </x:c>
    </x:row>
    <x:row r="18" ht="14.5" hidden="0" customHeight="1">
      <x:c r="A18" s="41" t="str">
        <x:v>gold.dim_placement_type</x:v>
      </x:c>
      <x:c r="B18" s="42" t="str">
        <x:v>Dimension</x:v>
      </x:c>
      <x:c r="C18" s="42" t="str">
        <x:v>One placement type | placement_type</x:v>
      </x:c>
      <x:c r="D18" s="42" t="str">
        <x:v>silver.referral and silver.ipa</x:v>
      </x:c>
      <x:c r="E18" s="42" t="str">
        <x:v>Placement-type lookup</x:v>
      </x:c>
      <x:c r="F18" s="43" t="str">
        <x:v>Use as visual filter</x:v>
      </x:c>
    </x:row>
    <x:row r="19" ht="14.5" hidden="0" customHeight="1">
      <x:c r="A19" s="41" t="str">
        <x:v>gold.dim_referral_status</x:v>
      </x:c>
      <x:c r="B19" s="42" t="str">
        <x:v>Dimension</x:v>
      </x:c>
      <x:c r="C19" s="42" t="str">
        <x:v>One referral status | referral_status</x:v>
      </x:c>
      <x:c r="D19" s="42" t="str">
        <x:v>silver.referral</x:v>
      </x:c>
      <x:c r="E19" s="42" t="str">
        <x:v>Referral-status lookup</x:v>
      </x:c>
      <x:c r="F19" s="43" t="str">
        <x:v>Use as visual filter</x:v>
      </x:c>
    </x:row>
    <x:row r="20" ht="26.399999618530273" hidden="0" customHeight="1">
      <x:c r="A20" s="41" t="str">
        <x:v>gold.bridge_provider_framework</x:v>
      </x:c>
      <x:c r="B20" s="42" t="str">
        <x:v>Bridge</x:v>
      </x:c>
      <x:c r="C20" s="42" t="str">
        <x:v>Provider-framework membership | provider_framework_id</x:v>
      </x:c>
      <x:c r="D20" s="42" t="str">
        <x:v>silver.provider_framework</x:v>
      </x:c>
      <x:c r="E20" s="42" t="str">
        <x:v>Provider framework coverage and QA flag</x:v>
      </x:c>
      <x:c r="F20" s="43" t="str">
        <x:v>Connect from dim_provider</x:v>
      </x:c>
    </x:row>
    <x:row r="21" ht="14.5" hidden="0" customHeight="1">
      <x:c r="A21" s="41" t="str">
        <x:v>gold.bridge_provider_sic_code</x:v>
      </x:c>
      <x:c r="B21" s="42" t="str">
        <x:v>Bridge</x:v>
      </x:c>
      <x:c r="C21" s="42" t="str">
        <x:v>Provider SIC-code membership | provider_id + sic_code</x:v>
      </x:c>
      <x:c r="D21" s="42" t="str">
        <x:v>silver.provider_sic_codes</x:v>
      </x:c>
      <x:c r="E21" s="42" t="str">
        <x:v>Provider SIC-code coverage</x:v>
      </x:c>
      <x:c r="F21" s="43" t="str">
        <x:v>Use only where SIC analysis is required</x:v>
      </x:c>
    </x:row>
    <x:row r="22" ht="14.5" hidden="0" customHeight="1">
      <x:c r="A22" s="41" t="str">
        <x:v>gold.vw_kpi_referral_board_summary</x:v>
      </x:c>
      <x:c r="B22" s="42" t="str">
        <x:v>KPI view</x:v>
      </x:c>
      <x:c r="C22" s="42" t="str">
        <x:v>Daily summary</x:v>
      </x:c>
      <x:c r="D22" s="42" t="str">
        <x:v>gold.fact_referral</x:v>
      </x:c>
      <x:c r="E22" s="42" t="str">
        <x:v>Pre-aggregated referral board metrics</x:v>
      </x:c>
      <x:c r="F22" s="43" t="str">
        <x:v>Optional validation source; do not replace detailed facts</x:v>
      </x:c>
    </x:row>
    <x:row r="23" ht="14.5" hidden="0" customHeight="1">
      <x:c r="A23" s="41" t="str">
        <x:v>gold.vw_kpi_referral_monthly</x:v>
      </x:c>
      <x:c r="B23" s="42" t="str">
        <x:v>KPI view</x:v>
      </x:c>
      <x:c r="C23" s="42" t="str">
        <x:v>Monthly summary</x:v>
      </x:c>
      <x:c r="D23" s="42" t="str">
        <x:v>gold.fact_referral</x:v>
      </x:c>
      <x:c r="E23" s="42" t="str">
        <x:v>Pre-aggregated monthly referral metrics</x:v>
      </x:c>
      <x:c r="F23" s="43" t="str">
        <x:v>Optional validation source</x:v>
      </x:c>
    </x:row>
    <x:row r="24" ht="14.5" hidden="0" customHeight="1">
      <x:c r="A24" s="44" t="str">
        <x:v>gold.vw_provider_offer_performance</x:v>
      </x:c>
      <x:c r="B24" s="45" t="str">
        <x:v>KPI view</x:v>
      </x:c>
      <x:c r="C24" s="45" t="str">
        <x:v>Provider performance summary</x:v>
      </x:c>
      <x:c r="D24" s="45" t="str">
        <x:v>gold.fact_offer / gold.fact_referral</x:v>
      </x:c>
      <x:c r="E24" s="45" t="str">
        <x:v>Provider offer performance</x:v>
      </x:c>
      <x:c r="F24" s="46" t="str">
        <x:v>Optional validation source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5288ac76a114eb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16" hidden="0" customWidth="1"/>
    <x:col min="2" max="2" width="30" hidden="0" customWidth="1"/>
    <x:col min="3" max="3" width="39" hidden="0" customWidth="1"/>
    <x:col min="4" max="4" width="27" hidden="0" customWidth="1"/>
    <x:col min="5" max="5" width="22" hidden="0" customWidth="1"/>
    <x:col min="6" max="6" width="48" hidden="0" customWidth="1"/>
    <x:col min="7" max="7" width="18" hidden="0" customWidth="1"/>
    <x:col min="8" max="8" width="32" hidden="0" customWidth="1"/>
  </x:cols>
  <x:sheetData>
    <x:row r="1" s="2" customFormat="1" ht="28" customHeight="1">
      <x:c r="A1" s="96" t="str">
        <x:v>Active Gold KPI and DAX measure legend</x:v>
      </x:c>
      <x:c r="B1" s="96" t="str">
        <x:v>Active Gold KPI and DAX measure legend</x:v>
      </x:c>
      <x:c r="C1" s="96" t="str">
        <x:v>Active Gold KPI and DAX measure legend</x:v>
      </x:c>
      <x:c r="D1" s="96" t="str">
        <x:v>Active Gold KPI and DAX measure legend</x:v>
      </x:c>
      <x:c r="E1" s="96" t="str">
        <x:v>Active Gold KPI and DAX measure legend</x:v>
      </x:c>
      <x:c r="F1" s="96" t="str">
        <x:v>Active Gold KPI and DAX measure legend</x:v>
      </x:c>
      <x:c r="G1" s="96" t="str">
        <x:v>Active Gold KPI and DAX measure legend</x:v>
      </x:c>
      <x:c r="H1" s="96" t="str">
        <x:v>Active Gold KPI and DAX measure legend</x:v>
      </x:c>
    </x:row>
    <x:row r="2" ht="34" customHeight="1">
      <x:c r="A2" s="100" t="str">
        <x:v>Current Gold-only DAX catalogue: 109 published measures (108 Ready, 1 lifecycle-event proxy), including Average Estimated Weekly Cost — Confirmed Referrals and Provider Messages Sent. End-to-end lineage: client documentation/04_Data_and_Reporting/KPI_Lineage.md.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14.5" hidden="0" customHeight="1">
      <x:c r="A4" s="106" t="str">
        <x:v>Gold KPI ID</x:v>
      </x:c>
      <x:c r="B4" s="106" t="str">
        <x:v>Business area</x:v>
      </x:c>
      <x:c r="C4" s="106" t="str">
        <x:v>DAX measure</x:v>
      </x:c>
      <x:c r="D4" s="106" t="str">
        <x:v>Legacy KPI mapping</x:v>
      </x:c>
      <x:c r="E4" s="106" t="str">
        <x:v>Requirement IDs</x:v>
      </x:c>
      <x:c r="F4" s="106" t="str">
        <x:v>Active Gold source</x:v>
      </x:c>
      <x:c r="G4" s="106" t="str">
        <x:v>Port status</x:v>
      </x:c>
      <x:c r="H4" s="106" t="str">
        <x:v>DAX-guide section</x:v>
      </x:c>
    </x:row>
    <x:row r="5" ht="14.5" hidden="0" customHeight="1">
      <x:c r="A5" s="38" t="str">
        <x:v>GOLD-KPI-001</x:v>
      </x:c>
      <x:c r="B5" s="39" t="str">
        <x:v>Referral performance</x:v>
      </x:c>
      <x:c r="C5" s="39" t="str">
        <x:v>Total Referrals</x:v>
      </x:c>
      <x:c r="D5" s="39" t="str">
        <x:v>KPI-01</x:v>
      </x:c>
      <x:c r="E5" s="39" t="str">
        <x:v>R24, R51</x:v>
      </x:c>
      <x:c r="F5" s="39" t="str">
        <x:v>fact_referral</x:v>
      </x:c>
      <x:c r="G5" s="39" t="str">
        <x:v>Ready</x:v>
      </x:c>
      <x:c r="H5" s="40" t="str">
        <x:v>Core referral, offer, provider and IPA</x:v>
      </x:c>
    </x:row>
    <x:row r="6" ht="14.5" hidden="0" customHeight="1">
      <x:c r="A6" s="41" t="str">
        <x:v>GOLD-KPI-002</x:v>
      </x:c>
      <x:c r="B6" s="42" t="str">
        <x:v>Referral performance</x:v>
      </x:c>
      <x:c r="C6" s="42" t="str">
        <x:v>Open Referrals</x:v>
      </x:c>
      <x:c r="D6" s="42" t="str">
        <x:v>KPI-08, KPI-29</x:v>
      </x:c>
      <x:c r="E6" s="42" t="str">
        <x:v>R24</x:v>
      </x:c>
      <x:c r="F6" s="42" t="str">
        <x:v>fact_referral</x:v>
      </x:c>
      <x:c r="G6" s="42" t="str">
        <x:v>Ready</x:v>
      </x:c>
      <x:c r="H6" s="43" t="str">
        <x:v>Core referral, offer, provider and IPA</x:v>
      </x:c>
    </x:row>
    <x:row r="7" ht="14.5" hidden="0" customHeight="1">
      <x:c r="A7" s="41" t="str">
        <x:v>GOLD-KPI-003</x:v>
      </x:c>
      <x:c r="B7" s="42" t="str">
        <x:v>Referral performance</x:v>
      </x:c>
      <x:c r="C7" s="42" t="str">
        <x:v>Closed Referrals</x:v>
      </x:c>
      <x:c r="D7" s="42" t="str">
        <x:v>KPI-31</x:v>
      </x:c>
      <x:c r="E7" s="42" t="str">
        <x:v>R13</x:v>
      </x:c>
      <x:c r="F7" s="42" t="str">
        <x:v>fact_referral</x:v>
      </x:c>
      <x:c r="G7" s="42" t="str">
        <x:v>Ready</x:v>
      </x:c>
      <x:c r="H7" s="43" t="str">
        <x:v>Core referral, offer, provider and IPA</x:v>
      </x:c>
    </x:row>
    <x:row r="8" ht="14.5" hidden="0" customHeight="1">
      <x:c r="A8" s="41" t="str">
        <x:v>GOLD-KPI-004</x:v>
      </x:c>
      <x:c r="B8" s="42" t="str">
        <x:v>Referral performance</x:v>
      </x:c>
      <x:c r="C8" s="42" t="str">
        <x:v>Referrals With an Offer</x:v>
      </x:c>
      <x:c r="D8" s="42" t="str">
        <x:v>KPI-02, KPI-09, KPI-33</x:v>
      </x:c>
      <x:c r="E8" s="42" t="str">
        <x:v>R24, R36, R51</x:v>
      </x:c>
      <x:c r="F8" s="42" t="str">
        <x:v>fact_referral</x:v>
      </x:c>
      <x:c r="G8" s="42" t="str">
        <x:v>Ready</x:v>
      </x:c>
      <x:c r="H8" s="43" t="str">
        <x:v>Core referral, offer, provider and IPA</x:v>
      </x:c>
    </x:row>
    <x:row r="9" ht="14.5" hidden="0" customHeight="1">
      <x:c r="A9" s="41" t="str">
        <x:v>GOLD-KPI-005</x:v>
      </x:c>
      <x:c r="B9" s="42" t="str">
        <x:v>Referral performance</x:v>
      </x:c>
      <x:c r="C9" s="42" t="str">
        <x:v>Referrals Awaiting Offer</x:v>
      </x:c>
      <x:c r="D9" s="42" t="str">
        <x:v>KPI-03, KPI-32</x:v>
      </x:c>
      <x:c r="E9" s="42" t="str">
        <x:v>R24, R36</x:v>
      </x:c>
      <x:c r="F9" s="42" t="str">
        <x:v>fact_referral</x:v>
      </x:c>
      <x:c r="G9" s="42" t="str">
        <x:v>Ready</x:v>
      </x:c>
      <x:c r="H9" s="43" t="str">
        <x:v>Core referral, offer, provider and IPA</x:v>
      </x:c>
    </x:row>
    <x:row r="10" ht="14.5" hidden="0" customHeight="1">
      <x:c r="A10" s="41" t="str">
        <x:v>GOLD-KPI-006</x:v>
      </x:c>
      <x:c r="B10" s="42" t="str">
        <x:v>Provider engagement</x:v>
      </x:c>
      <x:c r="C10" s="42" t="str">
        <x:v>Referrals Without Provider Assignment</x:v>
      </x:c>
      <x:c r="D10" s="42" t="str">
        <x:v>New Gold KPI</x:v>
      </x:c>
      <x:c r="E10" s="42" t="str">
        <x:v>R24, R26</x:v>
      </x:c>
      <x:c r="F10" s="42" t="str">
        <x:v>fact_referral_provider; dim_provider</x:v>
      </x:c>
      <x:c r="G10" s="42" t="str">
        <x:v>Ready</x:v>
      </x:c>
      <x:c r="H10" s="43" t="str">
        <x:v>Core referral, offer, provider and IPA</x:v>
      </x:c>
    </x:row>
    <x:row r="11" ht="14.5" hidden="0" customHeight="1">
      <x:c r="A11" s="41" t="str">
        <x:v>GOLD-KPI-007</x:v>
      </x:c>
      <x:c r="B11" s="42" t="str">
        <x:v>Referral performance</x:v>
      </x:c>
      <x:c r="C11" s="42" t="str">
        <x:v>Open Overdue Referrals</x:v>
      </x:c>
      <x:c r="D11" s="42" t="str">
        <x:v>New Gold KPI</x:v>
      </x:c>
      <x:c r="E11" s="42" t="str">
        <x:v>R24</x:v>
      </x:c>
      <x:c r="F11" s="42" t="str">
        <x:v>fact_referral</x:v>
      </x:c>
      <x:c r="G11" s="42" t="str">
        <x:v>Ready</x:v>
      </x:c>
      <x:c r="H11" s="43" t="str">
        <x:v>Core referral, offer, provider and IPA</x:v>
      </x:c>
    </x:row>
    <x:row r="12" ht="14.5" hidden="0" customHeight="1">
      <x:c r="A12" s="41" t="str">
        <x:v>GOLD-KPI-008</x:v>
      </x:c>
      <x:c r="B12" s="42" t="str">
        <x:v>Referral performance</x:v>
      </x:c>
      <x:c r="C12" s="42" t="str">
        <x:v>Referrals Placed by Required Date</x:v>
      </x:c>
      <x:c r="D12" s="42" t="str">
        <x:v>New Gold KPI</x:v>
      </x:c>
      <x:c r="E12" s="42" t="str">
        <x:v>R18, R57</x:v>
      </x:c>
      <x:c r="F12" s="42" t="str">
        <x:v>fact_referral</x:v>
      </x:c>
      <x:c r="G12" s="42" t="str">
        <x:v>Ready</x:v>
      </x:c>
      <x:c r="H12" s="43" t="str">
        <x:v>Core referral, offer, provider and IPA</x:v>
      </x:c>
    </x:row>
    <x:row r="13" ht="14.5" hidden="0" customHeight="1">
      <x:c r="A13" s="41" t="str">
        <x:v>GOLD-KPI-009</x:v>
      </x:c>
      <x:c r="B13" s="42" t="str">
        <x:v>Referral performance</x:v>
      </x:c>
      <x:c r="C13" s="42" t="str">
        <x:v>Placement Target Hit Rate</x:v>
      </x:c>
      <x:c r="D13" s="42" t="str">
        <x:v>New Gold KPI</x:v>
      </x:c>
      <x:c r="E13" s="42" t="str">
        <x:v>R18, R57</x:v>
      </x:c>
      <x:c r="F13" s="42" t="str">
        <x:v>fact_referral</x:v>
      </x:c>
      <x:c r="G13" s="42" t="str">
        <x:v>Ready</x:v>
      </x:c>
      <x:c r="H13" s="43" t="str">
        <x:v>Core referral, offer, provider and IPA</x:v>
      </x:c>
    </x:row>
    <x:row r="14" ht="14.5" hidden="0" customHeight="1">
      <x:c r="A14" s="41" t="str">
        <x:v>GOLD-KPI-010</x:v>
      </x:c>
      <x:c r="B14" s="42" t="str">
        <x:v>Referral performance</x:v>
      </x:c>
      <x:c r="C14" s="42" t="str">
        <x:v>Median Days to First Action</x:v>
      </x:c>
      <x:c r="D14" s="42" t="str">
        <x:v>New Gold KPI</x:v>
      </x:c>
      <x:c r="E14" s="42" t="str">
        <x:v>R24</x:v>
      </x:c>
      <x:c r="F14" s="42" t="str">
        <x:v>fact_referral</x:v>
      </x:c>
      <x:c r="G14" s="42" t="str">
        <x:v>Ready</x:v>
      </x:c>
      <x:c r="H14" s="43" t="str">
        <x:v>Core referral, offer, provider and IPA</x:v>
      </x:c>
    </x:row>
    <x:row r="15" ht="14.5" hidden="0" customHeight="1">
      <x:c r="A15" s="41" t="str">
        <x:v>GOLD-KPI-011</x:v>
      </x:c>
      <x:c r="B15" s="42" t="str">
        <x:v>Referral performance</x:v>
      </x:c>
      <x:c r="C15" s="42" t="str">
        <x:v>Median Days to First Offer</x:v>
      </x:c>
      <x:c r="D15" s="42" t="str">
        <x:v>New Gold KPI</x:v>
      </x:c>
      <x:c r="E15" s="42" t="str">
        <x:v>R24</x:v>
      </x:c>
      <x:c r="F15" s="42" t="str">
        <x:v>fact_referral</x:v>
      </x:c>
      <x:c r="G15" s="42" t="str">
        <x:v>Ready</x:v>
      </x:c>
      <x:c r="H15" s="43" t="str">
        <x:v>Core referral, offer, provider and IPA</x:v>
      </x:c>
    </x:row>
    <x:row r="16" ht="14.5" hidden="0" customHeight="1">
      <x:c r="A16" s="41" t="str">
        <x:v>GOLD-KPI-012</x:v>
      </x:c>
      <x:c r="B16" s="42" t="str">
        <x:v>Offer, provider and IPA</x:v>
      </x:c>
      <x:c r="C16" s="42" t="str">
        <x:v>Median Days to IPA</x:v>
      </x:c>
      <x:c r="D16" s="42" t="str">
        <x:v>New Gold KPI</x:v>
      </x:c>
      <x:c r="E16" s="42" t="str">
        <x:v>R35</x:v>
      </x:c>
      <x:c r="F16" s="42" t="str">
        <x:v>fct_ipa; fact_referral; fact_referral_lifecycle_event</x:v>
      </x:c>
      <x:c r="G16" s="42" t="str">
        <x:v>Ready</x:v>
      </x:c>
      <x:c r="H16" s="43" t="str">
        <x:v>Core referral, offer, provider and IPA</x:v>
      </x:c>
    </x:row>
    <x:row r="17" ht="14.5" hidden="0" customHeight="1">
      <x:c r="A17" s="41" t="str">
        <x:v>GOLD-KPI-013</x:v>
      </x:c>
      <x:c r="B17" s="42" t="str">
        <x:v>Referral performance</x:v>
      </x:c>
      <x:c r="C17" s="42" t="str">
        <x:v>Open Referrals Stalled 7+ Days</x:v>
      </x:c>
      <x:c r="D17" s="42" t="str">
        <x:v>New Gold KPI</x:v>
      </x:c>
      <x:c r="E17" s="42" t="str">
        <x:v>—</x:v>
      </x:c>
      <x:c r="F17" s="42" t="str">
        <x:v>fact_referral</x:v>
      </x:c>
      <x:c r="G17" s="42" t="str">
        <x:v>Ready</x:v>
      </x:c>
      <x:c r="H17" s="43" t="str">
        <x:v>Core referral, offer, provider and IPA</x:v>
      </x:c>
    </x:row>
    <x:row r="18" ht="14.5" hidden="0" customHeight="1">
      <x:c r="A18" s="41" t="str">
        <x:v>GOLD-KPI-014</x:v>
      </x:c>
      <x:c r="B18" s="42" t="str">
        <x:v>Offer, provider and IPA</x:v>
      </x:c>
      <x:c r="C18" s="42" t="str">
        <x:v>Offers Submitted</x:v>
      </x:c>
      <x:c r="D18" s="42" t="str">
        <x:v>KPI-12, KPI-28</x:v>
      </x:c>
      <x:c r="E18" s="42" t="str">
        <x:v>R25–R29</x:v>
      </x:c>
      <x:c r="F18" s="42" t="str">
        <x:v>fact_offer; dim_provider_home; dim_provider</x:v>
      </x:c>
      <x:c r="G18" s="42" t="str">
        <x:v>Ready</x:v>
      </x:c>
      <x:c r="H18" s="43" t="str">
        <x:v>Core referral, offer, provider and IPA</x:v>
      </x:c>
    </x:row>
    <x:row r="19" ht="14.5" hidden="0" customHeight="1">
      <x:c r="A19" s="41" t="str">
        <x:v>GOLD-KPI-015</x:v>
      </x:c>
      <x:c r="B19" s="42" t="str">
        <x:v>Offer, provider and IPA</x:v>
      </x:c>
      <x:c r="C19" s="42" t="str">
        <x:v>Accepted Offers</x:v>
      </x:c>
      <x:c r="D19" s="42" t="str">
        <x:v>KPI-15, KPI-39, KPI-75</x:v>
      </x:c>
      <x:c r="E19" s="42" t="str">
        <x:v>R28, R35</x:v>
      </x:c>
      <x:c r="F19" s="42" t="str">
        <x:v>fact_offer; dim_provider_home; dim_provider</x:v>
      </x:c>
      <x:c r="G19" s="42" t="str">
        <x:v>Ready</x:v>
      </x:c>
      <x:c r="H19" s="43" t="str">
        <x:v>Core referral, offer, provider and IPA</x:v>
      </x:c>
    </x:row>
    <x:row r="20" ht="14.5" hidden="0" customHeight="1">
      <x:c r="A20" s="41" t="str">
        <x:v>GOLD-KPI-016</x:v>
      </x:c>
      <x:c r="B20" s="42" t="str">
        <x:v>Offer, provider and IPA</x:v>
      </x:c>
      <x:c r="C20" s="42" t="str">
        <x:v>Offers with a Decision</x:v>
      </x:c>
      <x:c r="D20" s="42" t="str">
        <x:v>New Gold KPI</x:v>
      </x:c>
      <x:c r="E20" s="42" t="str">
        <x:v>R28</x:v>
      </x:c>
      <x:c r="F20" s="42" t="str">
        <x:v>fact_offer; dim_provider_home; dim_provider</x:v>
      </x:c>
      <x:c r="G20" s="42" t="str">
        <x:v>Ready</x:v>
      </x:c>
      <x:c r="H20" s="43" t="str">
        <x:v>Core referral, offer, provider and IPA</x:v>
      </x:c>
    </x:row>
    <x:row r="21" ht="14.5" hidden="0" customHeight="1">
      <x:c r="A21" s="41" t="str">
        <x:v>GOLD-KPI-017</x:v>
      </x:c>
      <x:c r="B21" s="42" t="str">
        <x:v>Offer, provider and IPA</x:v>
      </x:c>
      <x:c r="C21" s="42" t="str">
        <x:v>Offer Acceptance Rate</x:v>
      </x:c>
      <x:c r="D21" s="42" t="str">
        <x:v>New Gold KPI</x:v>
      </x:c>
      <x:c r="E21" s="42" t="str">
        <x:v>R28</x:v>
      </x:c>
      <x:c r="F21" s="42" t="str">
        <x:v>fact_offer; dim_provider_home; dim_provider</x:v>
      </x:c>
      <x:c r="G21" s="42" t="str">
        <x:v>Ready</x:v>
      </x:c>
      <x:c r="H21" s="43" t="str">
        <x:v>Core referral, offer, provider and IPA</x:v>
      </x:c>
    </x:row>
    <x:row r="22" ht="14.5" hidden="0" customHeight="1">
      <x:c r="A22" s="41" t="str">
        <x:v>GOLD-KPI-018</x:v>
      </x:c>
      <x:c r="B22" s="42" t="str">
        <x:v>Offer performance</x:v>
      </x:c>
      <x:c r="C22" s="42" t="str">
        <x:v>Average Offers per Referral</x:v>
      </x:c>
      <x:c r="D22" s="42" t="str">
        <x:v>New Gold KPI</x:v>
      </x:c>
      <x:c r="E22" s="42" t="str">
        <x:v>—</x:v>
      </x:c>
      <x:c r="F22" s="42" t="str">
        <x:v>fact_offer; fact_referral</x:v>
      </x:c>
      <x:c r="G22" s="42" t="str">
        <x:v>Ready</x:v>
      </x:c>
      <x:c r="H22" s="43" t="str">
        <x:v>Core referral, offer, provider and IPA</x:v>
      </x:c>
    </x:row>
    <x:row r="23" ht="14.5" hidden="0" customHeight="1">
      <x:c r="A23" s="41" t="str">
        <x:v>GOLD-KPI-019</x:v>
      </x:c>
      <x:c r="B23" s="42" t="str">
        <x:v>Offer, provider and IPA</x:v>
      </x:c>
      <x:c r="C23" s="42" t="str">
        <x:v>Offers in Draft</x:v>
      </x:c>
      <x:c r="D23" s="42" t="str">
        <x:v>KPI-17, KPI-61</x:v>
      </x:c>
      <x:c r="E23" s="42" t="str">
        <x:v>R24</x:v>
      </x:c>
      <x:c r="F23" s="42" t="str">
        <x:v>fact_offer; dim_provider_home; dim_provider</x:v>
      </x:c>
      <x:c r="G23" s="42" t="str">
        <x:v>Ready</x:v>
      </x:c>
      <x:c r="H23" s="43" t="str">
        <x:v>Core referral, offer, provider and IPA</x:v>
      </x:c>
    </x:row>
    <x:row r="24" ht="14.5" hidden="0" customHeight="1">
      <x:c r="A24" s="41" t="str">
        <x:v>GOLD-KPI-020</x:v>
      </x:c>
      <x:c r="B24" s="42" t="str">
        <x:v>Offer, provider and IPA</x:v>
      </x:c>
      <x:c r="C24" s="42" t="str">
        <x:v>Draft Offers Stalled 7+ Days</x:v>
      </x:c>
      <x:c r="D24" s="42" t="str">
        <x:v>New Gold KPI</x:v>
      </x:c>
      <x:c r="E24" s="42" t="str">
        <x:v>—</x:v>
      </x:c>
      <x:c r="F24" s="42" t="str">
        <x:v>fact_offer; dim_provider_home; dim_provider</x:v>
      </x:c>
      <x:c r="G24" s="42" t="str">
        <x:v>Ready</x:v>
      </x:c>
      <x:c r="H24" s="43" t="str">
        <x:v>Core referral, offer, provider and IPA</x:v>
      </x:c>
    </x:row>
    <x:row r="25" ht="14.5" hidden="0" customHeight="1">
      <x:c r="A25" s="41" t="str">
        <x:v>GOLD-KPI-021</x:v>
      </x:c>
      <x:c r="B25" s="42" t="str">
        <x:v>Offer, provider and IPA</x:v>
      </x:c>
      <x:c r="C25" s="42" t="str">
        <x:v>IPAs Created</x:v>
      </x:c>
      <x:c r="D25" s="42" t="str">
        <x:v>KPI-76</x:v>
      </x:c>
      <x:c r="E25" s="42" t="str">
        <x:v>R35</x:v>
      </x:c>
      <x:c r="F25" s="42" t="str">
        <x:v>fct_ipa; fact_referral; fact_referral_lifecycle_event</x:v>
      </x:c>
      <x:c r="G25" s="42" t="str">
        <x:v>Ready</x:v>
      </x:c>
      <x:c r="H25" s="43" t="str">
        <x:v>Core referral, offer, provider and IPA</x:v>
      </x:c>
    </x:row>
    <x:row r="26" ht="14.5" hidden="0" customHeight="1">
      <x:c r="A26" s="41" t="str">
        <x:v>GOLD-KPI-022</x:v>
      </x:c>
      <x:c r="B26" s="42" t="str">
        <x:v>Offer, provider and IPA</x:v>
      </x:c>
      <x:c r="C26" s="42" t="str">
        <x:v>Active IPAs</x:v>
      </x:c>
      <x:c r="D26" s="42" t="str">
        <x:v>New Gold KPI</x:v>
      </x:c>
      <x:c r="E26" s="42" t="str">
        <x:v>R35, R62</x:v>
      </x:c>
      <x:c r="F26" s="42" t="str">
        <x:v>fct_ipa; fact_referral; fact_referral_lifecycle_event</x:v>
      </x:c>
      <x:c r="G26" s="42" t="str">
        <x:v>Ready</x:v>
      </x:c>
      <x:c r="H26" s="43" t="str">
        <x:v>Core referral, offer, provider and IPA</x:v>
      </x:c>
    </x:row>
    <x:row r="27" ht="14.5" hidden="0" customHeight="1">
      <x:c r="A27" s="41" t="str">
        <x:v>GOLD-KPI-023</x:v>
      </x:c>
      <x:c r="B27" s="42" t="str">
        <x:v>Offer, provider and IPA</x:v>
      </x:c>
      <x:c r="C27" s="42" t="str">
        <x:v>Estimated Active Weekly Cost</x:v>
      </x:c>
      <x:c r="D27" s="42" t="str">
        <x:v>KPI-107 replacement</x:v>
      </x:c>
      <x:c r="E27" s="42" t="str">
        <x:v>R62</x:v>
      </x:c>
      <x:c r="F27" s="42" t="str">
        <x:v>fct_ipa; fact_referral; fact_referral_lifecycle_event</x:v>
      </x:c>
      <x:c r="G27" s="42" t="str">
        <x:v>Ready</x:v>
      </x:c>
      <x:c r="H27" s="43" t="str">
        <x:v>Core referral, offer, provider and IPA</x:v>
      </x:c>
    </x:row>
    <x:row r="28" ht="26.399999618530273" hidden="0" customHeight="1">
      <x:c r="A28" s="41" t="str">
        <x:v>GOLD-KPI-024</x:v>
      </x:c>
      <x:c r="B28" s="42" t="str">
        <x:v>IPA cost</x:v>
      </x:c>
      <x:c r="C28" s="42" t="str">
        <x:v>Average Estimated Weekly Cost — Confirmed Referrals</x:v>
      </x:c>
      <x:c r="D28" s="42" t="str">
        <x:v>New Gold KPI</x:v>
      </x:c>
      <x:c r="E28" s="42" t="str">
        <x:v>R62</x:v>
      </x:c>
      <x:c r="F28" s="42" t="str">
        <x:v>fact_referral</x:v>
      </x:c>
      <x:c r="G28" s="42" t="str">
        <x:v>Ready</x:v>
      </x:c>
      <x:c r="H28" s="43" t="str">
        <x:v>Core referral, offer, provider and IPA</x:v>
      </x:c>
    </x:row>
    <x:row r="29" ht="14.5" hidden="0" customHeight="1">
      <x:c r="A29" s="41" t="str">
        <x:v>GOLD-KPI-025</x:v>
      </x:c>
      <x:c r="B29" s="42" t="str">
        <x:v>Provider engagement</x:v>
      </x:c>
      <x:c r="C29" s="42" t="str">
        <x:v>Provider Assignments</x:v>
      </x:c>
      <x:c r="D29" s="42" t="str">
        <x:v>New Gold KPI</x:v>
      </x:c>
      <x:c r="E29" s="42" t="str">
        <x:v>R24, R26</x:v>
      </x:c>
      <x:c r="F29" s="42" t="str">
        <x:v>fact_referral_provider; dim_provider</x:v>
      </x:c>
      <x:c r="G29" s="42" t="str">
        <x:v>Ready</x:v>
      </x:c>
      <x:c r="H29" s="43" t="str">
        <x:v>Core referral, offer, provider and IPA</x:v>
      </x:c>
    </x:row>
    <x:row r="30" ht="14.5" hidden="0" customHeight="1">
      <x:c r="A30" s="41" t="str">
        <x:v>GOLD-KPI-026</x:v>
      </x:c>
      <x:c r="B30" s="42" t="str">
        <x:v>Provider engagement</x:v>
      </x:c>
      <x:c r="C30" s="42" t="str">
        <x:v>Provider Declines</x:v>
      </x:c>
      <x:c r="D30" s="42" t="str">
        <x:v>New Gold KPI</x:v>
      </x:c>
      <x:c r="E30" s="42" t="str">
        <x:v>R54</x:v>
      </x:c>
      <x:c r="F30" s="42" t="str">
        <x:v>fact_referral_provider; dim_provider</x:v>
      </x:c>
      <x:c r="G30" s="42" t="str">
        <x:v>Ready</x:v>
      </x:c>
      <x:c r="H30" s="43" t="str">
        <x:v>Core referral, offer, provider and IPA</x:v>
      </x:c>
    </x:row>
    <x:row r="31" ht="14.5" hidden="0" customHeight="1">
      <x:c r="A31" s="41" t="str">
        <x:v>GOLD-KPI-027</x:v>
      </x:c>
      <x:c r="B31" s="42" t="str">
        <x:v>Provider engagement</x:v>
      </x:c>
      <x:c r="C31" s="42" t="str">
        <x:v>Provider Decline Rate</x:v>
      </x:c>
      <x:c r="D31" s="42" t="str">
        <x:v>New Gold KPI</x:v>
      </x:c>
      <x:c r="E31" s="42" t="str">
        <x:v>R54</x:v>
      </x:c>
      <x:c r="F31" s="42" t="str">
        <x:v>fact_referral_provider; dim_provider</x:v>
      </x:c>
      <x:c r="G31" s="42" t="str">
        <x:v>Ready</x:v>
      </x:c>
      <x:c r="H31" s="43" t="str">
        <x:v>Core referral, offer, provider and IPA</x:v>
      </x:c>
    </x:row>
    <x:row r="32" ht="14.5" hidden="0" customHeight="1">
      <x:c r="A32" s="41" t="str">
        <x:v>GOLD-KPI-028</x:v>
      </x:c>
      <x:c r="B32" s="42" t="str">
        <x:v>Referral snapshot</x:v>
      </x:c>
      <x:c r="C32" s="42" t="str">
        <x:v>Snapshot Referrals</x:v>
      </x:c>
      <x:c r="D32" s="42" t="str">
        <x:v>New Gold KPI</x:v>
      </x:c>
      <x:c r="E32" s="42" t="str">
        <x:v>R24, R52</x:v>
      </x:c>
      <x:c r="F32" s="42" t="str">
        <x:v>fact_referral_snapshot</x:v>
      </x:c>
      <x:c r="G32" s="42" t="str">
        <x:v>Ready</x:v>
      </x:c>
      <x:c r="H32" s="43" t="str">
        <x:v>Referral snapshot</x:v>
      </x:c>
    </x:row>
    <x:row r="33" ht="14.5" hidden="0" customHeight="1">
      <x:c r="A33" s="41" t="str">
        <x:v>GOLD-KPI-029</x:v>
      </x:c>
      <x:c r="B33" s="42" t="str">
        <x:v>Referral snapshot</x:v>
      </x:c>
      <x:c r="C33" s="42" t="str">
        <x:v>Open Referrals at Snapshot</x:v>
      </x:c>
      <x:c r="D33" s="42" t="str">
        <x:v>New Gold KPI</x:v>
      </x:c>
      <x:c r="E33" s="42" t="str">
        <x:v>R24</x:v>
      </x:c>
      <x:c r="F33" s="42" t="str">
        <x:v>fact_referral_snapshot</x:v>
      </x:c>
      <x:c r="G33" s="42" t="str">
        <x:v>Ready</x:v>
      </x:c>
      <x:c r="H33" s="43" t="str">
        <x:v>Referral snapshot</x:v>
      </x:c>
    </x:row>
    <x:row r="34" ht="14.5" hidden="0" customHeight="1">
      <x:c r="A34" s="41" t="str">
        <x:v>GOLD-KPI-030</x:v>
      </x:c>
      <x:c r="B34" s="42" t="str">
        <x:v>Referral snapshot</x:v>
      </x:c>
      <x:c r="C34" s="42" t="str">
        <x:v>Closed Referrals at Snapshot</x:v>
      </x:c>
      <x:c r="D34" s="42" t="str">
        <x:v>New Gold KPI</x:v>
      </x:c>
      <x:c r="E34" s="42" t="str">
        <x:v>R13</x:v>
      </x:c>
      <x:c r="F34" s="42" t="str">
        <x:v>fact_referral_snapshot</x:v>
      </x:c>
      <x:c r="G34" s="42" t="str">
        <x:v>Ready</x:v>
      </x:c>
      <x:c r="H34" s="43" t="str">
        <x:v>Referral snapshot</x:v>
      </x:c>
    </x:row>
    <x:row r="35" ht="14.5" hidden="0" customHeight="1">
      <x:c r="A35" s="41" t="str">
        <x:v>GOLD-KPI-031</x:v>
      </x:c>
      <x:c r="B35" s="42" t="str">
        <x:v>Referral snapshot</x:v>
      </x:c>
      <x:c r="C35" s="42" t="str">
        <x:v>Referrals with IPA at Snapshot</x:v>
      </x:c>
      <x:c r="D35" s="42" t="str">
        <x:v>New Gold KPI</x:v>
      </x:c>
      <x:c r="E35" s="42" t="str">
        <x:v>R35</x:v>
      </x:c>
      <x:c r="F35" s="42" t="str">
        <x:v>fact_referral_snapshot</x:v>
      </x:c>
      <x:c r="G35" s="42" t="str">
        <x:v>Ready</x:v>
      </x:c>
      <x:c r="H35" s="43" t="str">
        <x:v>Referral snapshot</x:v>
      </x:c>
    </x:row>
    <x:row r="36" ht="14.5" hidden="0" customHeight="1">
      <x:c r="A36" s="41" t="str">
        <x:v>GOLD-KPI-032</x:v>
      </x:c>
      <x:c r="B36" s="42" t="str">
        <x:v>Referral snapshot</x:v>
      </x:c>
      <x:c r="C36" s="42" t="str">
        <x:v>Open Overdue Referrals at Snapshot</x:v>
      </x:c>
      <x:c r="D36" s="42" t="str">
        <x:v>New Gold KPI</x:v>
      </x:c>
      <x:c r="E36" s="42" t="str">
        <x:v>—</x:v>
      </x:c>
      <x:c r="F36" s="42" t="str">
        <x:v>fact_referral_snapshot</x:v>
      </x:c>
      <x:c r="G36" s="42" t="str">
        <x:v>Ready</x:v>
      </x:c>
      <x:c r="H36" s="43" t="str">
        <x:v>Referral snapshot</x:v>
      </x:c>
    </x:row>
    <x:row r="37" ht="14.5" hidden="0" customHeight="1">
      <x:c r="A37" s="41" t="str">
        <x:v>GOLD-KPI-033</x:v>
      </x:c>
      <x:c r="B37" s="42" t="str">
        <x:v>Referral snapshot</x:v>
      </x:c>
      <x:c r="C37" s="42" t="str">
        <x:v>Open On-Track Referrals at Snapshot</x:v>
      </x:c>
      <x:c r="D37" s="42" t="str">
        <x:v>New Gold KPI</x:v>
      </x:c>
      <x:c r="E37" s="42" t="str">
        <x:v>—</x:v>
      </x:c>
      <x:c r="F37" s="42" t="str">
        <x:v>fact_referral_snapshot</x:v>
      </x:c>
      <x:c r="G37" s="42" t="str">
        <x:v>Ready</x:v>
      </x:c>
      <x:c r="H37" s="43" t="str">
        <x:v>Referral snapshot</x:v>
      </x:c>
    </x:row>
    <x:row r="38" ht="14.5" hidden="0" customHeight="1">
      <x:c r="A38" s="41" t="str">
        <x:v>GOLD-KPI-034</x:v>
      </x:c>
      <x:c r="B38" s="42" t="str">
        <x:v>Referral snapshot</x:v>
      </x:c>
      <x:c r="C38" s="42" t="str">
        <x:v>Open Referral Rate at Snapshot</x:v>
      </x:c>
      <x:c r="D38" s="42" t="str">
        <x:v>New Gold KPI</x:v>
      </x:c>
      <x:c r="E38" s="42" t="str">
        <x:v>—</x:v>
      </x:c>
      <x:c r="F38" s="42" t="str">
        <x:v>fact_referral_snapshot</x:v>
      </x:c>
      <x:c r="G38" s="42" t="str">
        <x:v>Ready</x:v>
      </x:c>
      <x:c r="H38" s="43" t="str">
        <x:v>Referral snapshot</x:v>
      </x:c>
    </x:row>
    <x:row r="39" ht="14.5" hidden="0" customHeight="1">
      <x:c r="A39" s="41" t="str">
        <x:v>GOLD-KPI-035</x:v>
      </x:c>
      <x:c r="B39" s="42" t="str">
        <x:v>Referral snapshot</x:v>
      </x:c>
      <x:c r="C39" s="42" t="str">
        <x:v>Placement Rate at Snapshot</x:v>
      </x:c>
      <x:c r="D39" s="42" t="str">
        <x:v>New Gold KPI</x:v>
      </x:c>
      <x:c r="E39" s="42" t="str">
        <x:v>—</x:v>
      </x:c>
      <x:c r="F39" s="42" t="str">
        <x:v>fact_referral_snapshot</x:v>
      </x:c>
      <x:c r="G39" s="42" t="str">
        <x:v>Ready</x:v>
      </x:c>
      <x:c r="H39" s="43" t="str">
        <x:v>Referral snapshot</x:v>
      </x:c>
    </x:row>
    <x:row r="40" ht="26.399999618530273" hidden="0" customHeight="1">
      <x:c r="A40" s="41" t="str">
        <x:v>GOLD-KPI-036</x:v>
      </x:c>
      <x:c r="B40" s="42" t="str">
        <x:v>Referral and provider engagement</x:v>
      </x:c>
      <x:c r="C40" s="42" t="str">
        <x:v>Referrals Created This Month</x:v>
      </x:c>
      <x:c r="D40" s="42" t="str">
        <x:v>KPI-23</x:v>
      </x:c>
      <x:c r="E40" s="42" t="str">
        <x:v>R24, R52</x:v>
      </x:c>
      <x:c r="F40" s="42" t="str">
        <x:v>fact_referral; fact_referral_provider</x:v>
      </x:c>
      <x:c r="G40" s="42" t="str">
        <x:v>Ready</x:v>
      </x:c>
      <x:c r="H40" s="43" t="str">
        <x:v>Referral, provider engagement and planning</x:v>
      </x:c>
    </x:row>
    <x:row r="41" ht="26.399999618530273" hidden="0" customHeight="1">
      <x:c r="A41" s="41" t="str">
        <x:v>GOLD-KPI-037</x:v>
      </x:c>
      <x:c r="B41" s="42" t="str">
        <x:v>Referral and provider engagement</x:v>
      </x:c>
      <x:c r="C41" s="42" t="str">
        <x:v>Referrals Created Previous Month</x:v>
      </x:c>
      <x:c r="D41" s="42" t="str">
        <x:v>New Gold KPI</x:v>
      </x:c>
      <x:c r="E41" s="42" t="str">
        <x:v>—</x:v>
      </x:c>
      <x:c r="F41" s="42" t="str">
        <x:v>fact_referral; fact_referral_provider</x:v>
      </x:c>
      <x:c r="G41" s="42" t="str">
        <x:v>Ready</x:v>
      </x:c>
      <x:c r="H41" s="43" t="str">
        <x:v>Referral, provider engagement and planning</x:v>
      </x:c>
    </x:row>
    <x:row r="42" ht="26.399999618530273" hidden="0" customHeight="1">
      <x:c r="A42" s="41" t="str">
        <x:v>GOLD-KPI-038</x:v>
      </x:c>
      <x:c r="B42" s="42" t="str">
        <x:v>Referral and provider engagement</x:v>
      </x:c>
      <x:c r="C42" s="42" t="str">
        <x:v>Referral Volume Month on Month</x:v>
      </x:c>
      <x:c r="D42" s="42" t="str">
        <x:v>New Gold KPI</x:v>
      </x:c>
      <x:c r="E42" s="42" t="str">
        <x:v>—</x:v>
      </x:c>
      <x:c r="F42" s="42" t="str">
        <x:v>fact_referral; fact_referral_provider</x:v>
      </x:c>
      <x:c r="G42" s="42" t="str">
        <x:v>Ready</x:v>
      </x:c>
      <x:c r="H42" s="43" t="str">
        <x:v>Referral, provider engagement and planning</x:v>
      </x:c>
    </x:row>
    <x:row r="43" ht="26.399999618530273" hidden="0" customHeight="1">
      <x:c r="A43" s="41" t="str">
        <x:v>GOLD-KPI-039</x:v>
      </x:c>
      <x:c r="B43" s="42" t="str">
        <x:v>Referral and provider engagement</x:v>
      </x:c>
      <x:c r="C43" s="42" t="str">
        <x:v>Referral Volume Month on Month %</x:v>
      </x:c>
      <x:c r="D43" s="42" t="str">
        <x:v>New Gold KPI</x:v>
      </x:c>
      <x:c r="E43" s="42" t="str">
        <x:v>—</x:v>
      </x:c>
      <x:c r="F43" s="42" t="str">
        <x:v>fact_referral; fact_referral_provider</x:v>
      </x:c>
      <x:c r="G43" s="42" t="str">
        <x:v>Ready</x:v>
      </x:c>
      <x:c r="H43" s="43" t="str">
        <x:v>Referral, provider engagement and planning</x:v>
      </x:c>
    </x:row>
    <x:row r="44" ht="26.399999618530273" hidden="0" customHeight="1">
      <x:c r="A44" s="41" t="str">
        <x:v>GOLD-KPI-040</x:v>
      </x:c>
      <x:c r="B44" s="42" t="str">
        <x:v>Referral and provider engagement</x:v>
      </x:c>
      <x:c r="C44" s="42" t="str">
        <x:v>Referrals Created This Financial Year</x:v>
      </x:c>
      <x:c r="D44" s="42" t="str">
        <x:v>KPI-24</x:v>
      </x:c>
      <x:c r="E44" s="42" t="str">
        <x:v>R52</x:v>
      </x:c>
      <x:c r="F44" s="42" t="str">
        <x:v>fact_referral; fact_referral_provider</x:v>
      </x:c>
      <x:c r="G44" s="42" t="str">
        <x:v>Ready</x:v>
      </x:c>
      <x:c r="H44" s="43" t="str">
        <x:v>Referral, provider engagement and planning</x:v>
      </x:c>
    </x:row>
    <x:row r="45" ht="26.399999618530273" hidden="0" customHeight="1">
      <x:c r="A45" s="41" t="str">
        <x:v>GOLD-KPI-041</x:v>
      </x:c>
      <x:c r="B45" s="42" t="str">
        <x:v>Referral and provider engagement</x:v>
      </x:c>
      <x:c r="C45" s="42" t="str">
        <x:v>Referrals Currently Active</x:v>
      </x:c>
      <x:c r="D45" s="42" t="str">
        <x:v>New Gold KPI</x:v>
      </x:c>
      <x:c r="E45" s="42" t="str">
        <x:v>—</x:v>
      </x:c>
      <x:c r="F45" s="42" t="str">
        <x:v>fact_referral; fact_referral_provider</x:v>
      </x:c>
      <x:c r="G45" s="42" t="str">
        <x:v>Ready</x:v>
      </x:c>
      <x:c r="H45" s="43" t="str">
        <x:v>Referral, provider engagement and planning</x:v>
      </x:c>
    </x:row>
    <x:row r="46" ht="26.399999618530273" hidden="0" customHeight="1">
      <x:c r="A46" s="41" t="str">
        <x:v>GOLD-KPI-042</x:v>
      </x:c>
      <x:c r="B46" s="42" t="str">
        <x:v>Referral and provider engagement</x:v>
      </x:c>
      <x:c r="C46" s="42" t="str">
        <x:v>Referrals Under Offer</x:v>
      </x:c>
      <x:c r="D46" s="42" t="str">
        <x:v>KPI-30</x:v>
      </x:c>
      <x:c r="E46" s="42" t="str">
        <x:v>R24, R36</x:v>
      </x:c>
      <x:c r="F46" s="42" t="str">
        <x:v>fact_referral; fact_referral_provider</x:v>
      </x:c>
      <x:c r="G46" s="42" t="str">
        <x:v>Ready</x:v>
      </x:c>
      <x:c r="H46" s="43" t="str">
        <x:v>Referral, provider engagement and planning</x:v>
      </x:c>
    </x:row>
    <x:row r="47" ht="26.399999618530273" hidden="0" customHeight="1">
      <x:c r="A47" s="41" t="str">
        <x:v>GOLD-KPI-043</x:v>
      </x:c>
      <x:c r="B47" s="42" t="str">
        <x:v>Referral and provider engagement</x:v>
      </x:c>
      <x:c r="C47" s="42" t="str">
        <x:v>Closed or Cancelled Referrals</x:v>
      </x:c>
      <x:c r="D47" s="42" t="str">
        <x:v>New Gold KPI</x:v>
      </x:c>
      <x:c r="E47" s="42" t="str">
        <x:v>—</x:v>
      </x:c>
      <x:c r="F47" s="42" t="str">
        <x:v>fact_referral; fact_referral_provider</x:v>
      </x:c>
      <x:c r="G47" s="42" t="str">
        <x:v>Ready</x:v>
      </x:c>
      <x:c r="H47" s="43" t="str">
        <x:v>Referral, provider engagement and planning</x:v>
      </x:c>
    </x:row>
    <x:row r="48" ht="26.399999618530273" hidden="0" customHeight="1">
      <x:c r="A48" s="41" t="str">
        <x:v>GOLD-KPI-044</x:v>
      </x:c>
      <x:c r="B48" s="42" t="str">
        <x:v>Referral and provider engagement</x:v>
      </x:c>
      <x:c r="C48" s="42" t="str">
        <x:v>Active Referrals With Provider Engagement</x:v>
      </x:c>
      <x:c r="D48" s="42" t="str">
        <x:v>New Gold KPI</x:v>
      </x:c>
      <x:c r="E48" s="42" t="str">
        <x:v>—</x:v>
      </x:c>
      <x:c r="F48" s="42" t="str">
        <x:v>fact_referral; fact_referral_provider</x:v>
      </x:c>
      <x:c r="G48" s="42" t="str">
        <x:v>Ready</x:v>
      </x:c>
      <x:c r="H48" s="43" t="str">
        <x:v>Referral, provider engagement and planning</x:v>
      </x:c>
    </x:row>
    <x:row r="49" ht="26.399999618530273" hidden="0" customHeight="1">
      <x:c r="A49" s="41" t="str">
        <x:v>GOLD-KPI-045</x:v>
      </x:c>
      <x:c r="B49" s="42" t="str">
        <x:v>Referral and provider engagement</x:v>
      </x:c>
      <x:c r="C49" s="42" t="str">
        <x:v>Active Referral Engagement Rate</x:v>
      </x:c>
      <x:c r="D49" s="42" t="str">
        <x:v>New Gold KPI</x:v>
      </x:c>
      <x:c r="E49" s="42" t="str">
        <x:v>—</x:v>
      </x:c>
      <x:c r="F49" s="42" t="str">
        <x:v>fact_referral; fact_referral_provider</x:v>
      </x:c>
      <x:c r="G49" s="42" t="str">
        <x:v>Ready</x:v>
      </x:c>
      <x:c r="H49" s="43" t="str">
        <x:v>Referral, provider engagement and planning</x:v>
      </x:c>
    </x:row>
    <x:row r="50" ht="26.399999618530273" hidden="0" customHeight="1">
      <x:c r="A50" s="41" t="str">
        <x:v>GOLD-KPI-046</x:v>
      </x:c>
      <x:c r="B50" s="42" t="str">
        <x:v>Referral and provider engagement</x:v>
      </x:c>
      <x:c r="C50" s="42" t="str">
        <x:v>Active Awaiting Offers With Engagement</x:v>
      </x:c>
      <x:c r="D50" s="42" t="str">
        <x:v>New Gold KPI</x:v>
      </x:c>
      <x:c r="E50" s="42" t="str">
        <x:v>—</x:v>
      </x:c>
      <x:c r="F50" s="42" t="str">
        <x:v>fact_referral; fact_referral_provider</x:v>
      </x:c>
      <x:c r="G50" s="42" t="str">
        <x:v>Ready</x:v>
      </x:c>
      <x:c r="H50" s="43" t="str">
        <x:v>Referral, provider engagement and planning</x:v>
      </x:c>
    </x:row>
    <x:row r="51" ht="26.399999618530273" hidden="0" customHeight="1">
      <x:c r="A51" s="41" t="str">
        <x:v>GOLD-KPI-047</x:v>
      </x:c>
      <x:c r="B51" s="42" t="str">
        <x:v>Referral and provider engagement</x:v>
      </x:c>
      <x:c r="C51" s="42" t="str">
        <x:v>Active Awaiting Offers Without Engagement</x:v>
      </x:c>
      <x:c r="D51" s="42" t="str">
        <x:v>New Gold KPI</x:v>
      </x:c>
      <x:c r="E51" s="42" t="str">
        <x:v>—</x:v>
      </x:c>
      <x:c r="F51" s="42" t="str">
        <x:v>fact_referral; fact_referral_provider</x:v>
      </x:c>
      <x:c r="G51" s="42" t="str">
        <x:v>Ready</x:v>
      </x:c>
      <x:c r="H51" s="43" t="str">
        <x:v>Referral, provider engagement and planning</x:v>
      </x:c>
    </x:row>
    <x:row r="52" ht="26.399999618530273" hidden="0" customHeight="1">
      <x:c r="A52" s="41" t="str">
        <x:v>GOLD-KPI-048</x:v>
      </x:c>
      <x:c r="B52" s="42" t="str">
        <x:v>Referral and provider engagement</x:v>
      </x:c>
      <x:c r="C52" s="42" t="str">
        <x:v>Emergency Referrals</x:v>
      </x:c>
      <x:c r="D52" s="42" t="str">
        <x:v>KPI-91</x:v>
      </x:c>
      <x:c r="E52" s="42" t="str">
        <x:v>R18, R57</x:v>
      </x:c>
      <x:c r="F52" s="42" t="str">
        <x:v>fact_referral; fact_referral_provider</x:v>
      </x:c>
      <x:c r="G52" s="42" t="str">
        <x:v>Ready</x:v>
      </x:c>
      <x:c r="H52" s="43" t="str">
        <x:v>Referral, provider engagement and planning</x:v>
      </x:c>
    </x:row>
    <x:row r="53" ht="26.399999618530273" hidden="0" customHeight="1">
      <x:c r="A53" s="41" t="str">
        <x:v>GOLD-KPI-049</x:v>
      </x:c>
      <x:c r="B53" s="42" t="str">
        <x:v>Referral and provider engagement</x:v>
      </x:c>
      <x:c r="C53" s="42" t="str">
        <x:v>Planned Referrals</x:v>
      </x:c>
      <x:c r="D53" s="42" t="str">
        <x:v>KPI-93</x:v>
      </x:c>
      <x:c r="E53" s="42" t="str">
        <x:v>R57</x:v>
      </x:c>
      <x:c r="F53" s="42" t="str">
        <x:v>fact_referral; fact_referral_provider</x:v>
      </x:c>
      <x:c r="G53" s="42" t="str">
        <x:v>Ready</x:v>
      </x:c>
      <x:c r="H53" s="43" t="str">
        <x:v>Referral, provider engagement and planning</x:v>
      </x:c>
    </x:row>
    <x:row r="54" ht="26.399999618530273" hidden="0" customHeight="1">
      <x:c r="A54" s="41" t="str">
        <x:v>GOLD-KPI-050</x:v>
      </x:c>
      <x:c r="B54" s="42" t="str">
        <x:v>Referral and provider engagement</x:v>
      </x:c>
      <x:c r="C54" s="42" t="str">
        <x:v>Emergency Placement Rate</x:v>
      </x:c>
      <x:c r="D54" s="42" t="str">
        <x:v>KPI-92</x:v>
      </x:c>
      <x:c r="E54" s="42" t="str">
        <x:v>R18, R57</x:v>
      </x:c>
      <x:c r="F54" s="42" t="str">
        <x:v>fact_referral; fact_referral_provider</x:v>
      </x:c>
      <x:c r="G54" s="42" t="str">
        <x:v>Ready</x:v>
      </x:c>
      <x:c r="H54" s="43" t="str">
        <x:v>Referral, provider engagement and planning</x:v>
      </x:c>
    </x:row>
    <x:row r="55" ht="26.399999618530273" hidden="0" customHeight="1">
      <x:c r="A55" s="41" t="str">
        <x:v>GOLD-KPI-051</x:v>
      </x:c>
      <x:c r="B55" s="42" t="str">
        <x:v>Provider engagement</x:v>
      </x:c>
      <x:c r="C55" s="42" t="str">
        <x:v>Referrals With Multiple Provider Assignments</x:v>
      </x:c>
      <x:c r="D55" s="42" t="str">
        <x:v>KPI-90</x:v>
      </x:c>
      <x:c r="E55" s="42" t="str">
        <x:v>R22 (partial)</x:v>
      </x:c>
      <x:c r="F55" s="42" t="str">
        <x:v>fact_referral_provider</x:v>
      </x:c>
      <x:c r="G55" s="42" t="str">
        <x:v>Ready</x:v>
      </x:c>
      <x:c r="H55" s="43" t="str">
        <x:v>Referral, provider engagement and planning</x:v>
      </x:c>
    </x:row>
    <x:row r="56" ht="26.399999618530273" hidden="0" customHeight="1">
      <x:c r="A56" s="41" t="str">
        <x:v>GOLD-KPI-052</x:v>
      </x:c>
      <x:c r="B56" s="42" t="str">
        <x:v>Offer portfolio and ageing</x:v>
      </x:c>
      <x:c r="C56" s="42" t="str">
        <x:v>Non-Draft Offers</x:v>
      </x:c>
      <x:c r="D56" s="42" t="str">
        <x:v>New Gold KPI</x:v>
      </x:c>
      <x:c r="E56" s="42" t="str">
        <x:v>—</x:v>
      </x:c>
      <x:c r="F56" s="42" t="str">
        <x:v>fact_offer; dim_provider_home; dim_provider</x:v>
      </x:c>
      <x:c r="G56" s="42" t="str">
        <x:v>Ready</x:v>
      </x:c>
      <x:c r="H56" s="43" t="str">
        <x:v>Offer, spot/framework and draft/pending-offer portfolio</x:v>
      </x:c>
    </x:row>
    <x:row r="57" ht="26.399999618530273" hidden="0" customHeight="1">
      <x:c r="A57" s="41" t="str">
        <x:v>GOLD-KPI-053</x:v>
      </x:c>
      <x:c r="B57" s="42" t="str">
        <x:v>Offer portfolio and ageing</x:v>
      </x:c>
      <x:c r="C57" s="42" t="str">
        <x:v>Pending Offers</x:v>
      </x:c>
      <x:c r="D57" s="42" t="str">
        <x:v>KPI-18</x:v>
      </x:c>
      <x:c r="E57" s="42" t="str">
        <x:v>R24</x:v>
      </x:c>
      <x:c r="F57" s="42" t="str">
        <x:v>fact_offer; dim_provider_home; dim_provider</x:v>
      </x:c>
      <x:c r="G57" s="42" t="str">
        <x:v>Ready</x:v>
      </x:c>
      <x:c r="H57" s="43" t="str">
        <x:v>Offer, spot/framework and draft/pending-offer portfolio</x:v>
      </x:c>
    </x:row>
    <x:row r="58" ht="26.399999618530273" hidden="0" customHeight="1">
      <x:c r="A58" s="41" t="str">
        <x:v>GOLD-KPI-054</x:v>
      </x:c>
      <x:c r="B58" s="42" t="str">
        <x:v>Offer portfolio and ageing</x:v>
      </x:c>
      <x:c r="C58" s="42" t="str">
        <x:v>Unsuccessful Offers</x:v>
      </x:c>
      <x:c r="D58" s="42" t="str">
        <x:v>KPI-16</x:v>
      </x:c>
      <x:c r="E58" s="42" t="str">
        <x:v>R28</x:v>
      </x:c>
      <x:c r="F58" s="42" t="str">
        <x:v>fact_offer; dim_provider_home; dim_provider</x:v>
      </x:c>
      <x:c r="G58" s="42" t="str">
        <x:v>Ready</x:v>
      </x:c>
      <x:c r="H58" s="43" t="str">
        <x:v>Offer, spot/framework and draft/pending-offer portfolio</x:v>
      </x:c>
    </x:row>
    <x:row r="59" ht="26.399999618530273" hidden="0" customHeight="1">
      <x:c r="A59" s="41" t="str">
        <x:v>GOLD-KPI-055</x:v>
      </x:c>
      <x:c r="B59" s="42" t="str">
        <x:v>Offer portfolio and ageing</x:v>
      </x:c>
      <x:c r="C59" s="42" t="str">
        <x:v>Offers With Recorded Rejection Reason</x:v>
      </x:c>
      <x:c r="D59" s="42" t="str">
        <x:v>New Gold KPI</x:v>
      </x:c>
      <x:c r="E59" s="42" t="str">
        <x:v>—</x:v>
      </x:c>
      <x:c r="F59" s="42" t="str">
        <x:v>fact_offer; dim_provider_home; dim_provider</x:v>
      </x:c>
      <x:c r="G59" s="42" t="str">
        <x:v>Ready</x:v>
      </x:c>
      <x:c r="H59" s="43" t="str">
        <x:v>Offer, spot/framework and draft/pending-offer portfolio</x:v>
      </x:c>
    </x:row>
    <x:row r="60" ht="26.399999618530273" hidden="0" customHeight="1">
      <x:c r="A60" s="41" t="str">
        <x:v>GOLD-KPI-056</x:v>
      </x:c>
      <x:c r="B60" s="42" t="str">
        <x:v>Offer portfolio and ageing</x:v>
      </x:c>
      <x:c r="C60" s="42" t="str">
        <x:v>Providers Who Made Offers</x:v>
      </x:c>
      <x:c r="D60" s="42" t="str">
        <x:v>KPI-11</x:v>
      </x:c>
      <x:c r="E60" s="42" t="str">
        <x:v>R25, R26</x:v>
      </x:c>
      <x:c r="F60" s="42" t="str">
        <x:v>fact_offer; dim_provider_home; dim_provider</x:v>
      </x:c>
      <x:c r="G60" s="42" t="str">
        <x:v>Ready</x:v>
      </x:c>
      <x:c r="H60" s="43" t="str">
        <x:v>Offer, spot/framework and draft/pending-offer portfolio</x:v>
      </x:c>
    </x:row>
    <x:row r="61" ht="26.399999618530273" hidden="0" customHeight="1">
      <x:c r="A61" s="41" t="str">
        <x:v>GOLD-KPI-057</x:v>
      </x:c>
      <x:c r="B61" s="42" t="str">
        <x:v>Offer portfolio and ageing</x:v>
      </x:c>
      <x:c r="C61" s="42" t="str">
        <x:v>Average Offers per Provider</x:v>
      </x:c>
      <x:c r="D61" s="42" t="str">
        <x:v>New Gold KPI</x:v>
      </x:c>
      <x:c r="E61" s="42" t="str">
        <x:v>—</x:v>
      </x:c>
      <x:c r="F61" s="42" t="str">
        <x:v>fact_offer; dim_provider_home; dim_provider</x:v>
      </x:c>
      <x:c r="G61" s="42" t="str">
        <x:v>Ready</x:v>
      </x:c>
      <x:c r="H61" s="43" t="str">
        <x:v>Offer, spot/framework and draft/pending-offer portfolio</x:v>
      </x:c>
    </x:row>
    <x:row r="62" ht="26.399999618530273" hidden="0" customHeight="1">
      <x:c r="A62" s="41" t="str">
        <x:v>GOLD-KPI-058</x:v>
      </x:c>
      <x:c r="B62" s="42" t="str">
        <x:v>Offer portfolio and ageing</x:v>
      </x:c>
      <x:c r="C62" s="42" t="str">
        <x:v>Average Offers per Referral Under Offer</x:v>
      </x:c>
      <x:c r="D62" s="42" t="str">
        <x:v>New Gold KPI</x:v>
      </x:c>
      <x:c r="E62" s="42" t="str">
        <x:v>—</x:v>
      </x:c>
      <x:c r="F62" s="42" t="str">
        <x:v>fact_offer; dim_provider_home; dim_provider</x:v>
      </x:c>
      <x:c r="G62" s="42" t="str">
        <x:v>Ready</x:v>
      </x:c>
      <x:c r="H62" s="43" t="str">
        <x:v>Offer, spot/framework and draft/pending-offer portfolio</x:v>
      </x:c>
    </x:row>
    <x:row r="63" ht="26.399999618530273" hidden="0" customHeight="1">
      <x:c r="A63" s="41" t="str">
        <x:v>GOLD-KPI-059</x:v>
      </x:c>
      <x:c r="B63" s="42" t="str">
        <x:v>Offer portfolio and ageing</x:v>
      </x:c>
      <x:c r="C63" s="42" t="str">
        <x:v>Offers on Referrals Under Offer</x:v>
      </x:c>
      <x:c r="D63" s="42" t="str">
        <x:v>New Gold KPI</x:v>
      </x:c>
      <x:c r="E63" s="42" t="str">
        <x:v>—</x:v>
      </x:c>
      <x:c r="F63" s="42" t="str">
        <x:v>fact_offer; dim_provider_home; dim_provider</x:v>
      </x:c>
      <x:c r="G63" s="42" t="str">
        <x:v>Ready</x:v>
      </x:c>
      <x:c r="H63" s="43" t="str">
        <x:v>Offer, spot/framework and draft/pending-offer portfolio</x:v>
      </x:c>
    </x:row>
    <x:row r="64" ht="26.399999618530273" hidden="0" customHeight="1">
      <x:c r="A64" s="41" t="str">
        <x:v>GOLD-KPI-060</x:v>
      </x:c>
      <x:c r="B64" s="42" t="str">
        <x:v>Offer portfolio and ageing</x:v>
      </x:c>
      <x:c r="C64" s="42" t="str">
        <x:v>Spot Offers</x:v>
      </x:c>
      <x:c r="D64" s="42" t="str">
        <x:v>New Gold KPI</x:v>
      </x:c>
      <x:c r="E64" s="42" t="str">
        <x:v>—</x:v>
      </x:c>
      <x:c r="F64" s="42" t="str">
        <x:v>fact_offer; dim_provider_home; dim_provider</x:v>
      </x:c>
      <x:c r="G64" s="42" t="str">
        <x:v>Ready</x:v>
      </x:c>
      <x:c r="H64" s="43" t="str">
        <x:v>Offer, spot/framework and draft/pending-offer portfolio</x:v>
      </x:c>
    </x:row>
    <x:row r="65" ht="26.399999618530273" hidden="0" customHeight="1">
      <x:c r="A65" s="41" t="str">
        <x:v>GOLD-KPI-061</x:v>
      </x:c>
      <x:c r="B65" s="42" t="str">
        <x:v>Offer portfolio and ageing</x:v>
      </x:c>
      <x:c r="C65" s="42" t="str">
        <x:v>Non-Spot Offers</x:v>
      </x:c>
      <x:c r="D65" s="42" t="str">
        <x:v>New Gold KPI</x:v>
      </x:c>
      <x:c r="E65" s="42" t="str">
        <x:v>—</x:v>
      </x:c>
      <x:c r="F65" s="42" t="str">
        <x:v>fact_offer; dim_provider_home; dim_provider</x:v>
      </x:c>
      <x:c r="G65" s="42" t="str">
        <x:v>Ready</x:v>
      </x:c>
      <x:c r="H65" s="43" t="str">
        <x:v>Offer, spot/framework and draft/pending-offer portfolio</x:v>
      </x:c>
    </x:row>
    <x:row r="66" ht="26.399999618530273" hidden="0" customHeight="1">
      <x:c r="A66" s="41" t="str">
        <x:v>GOLD-KPI-062</x:v>
      </x:c>
      <x:c r="B66" s="42" t="str">
        <x:v>Offer portfolio and ageing</x:v>
      </x:c>
      <x:c r="C66" s="42" t="str">
        <x:v>Spot Offer Rate</x:v>
      </x:c>
      <x:c r="D66" s="42" t="str">
        <x:v>New Gold KPI</x:v>
      </x:c>
      <x:c r="E66" s="42" t="str">
        <x:v>—</x:v>
      </x:c>
      <x:c r="F66" s="42" t="str">
        <x:v>fact_offer; dim_provider_home; dim_provider</x:v>
      </x:c>
      <x:c r="G66" s="42" t="str">
        <x:v>Ready</x:v>
      </x:c>
      <x:c r="H66" s="43" t="str">
        <x:v>Offer, spot/framework and draft/pending-offer portfolio</x:v>
      </x:c>
    </x:row>
    <x:row r="67" ht="26.399999618530273" hidden="0" customHeight="1">
      <x:c r="A67" s="41" t="str">
        <x:v>GOLD-KPI-063</x:v>
      </x:c>
      <x:c r="B67" s="42" t="str">
        <x:v>Offer portfolio and ageing</x:v>
      </x:c>
      <x:c r="C67" s="42" t="str">
        <x:v>Draft Offers With No Activity Since Creation</x:v>
      </x:c>
      <x:c r="D67" s="42" t="str">
        <x:v>New Gold KPI</x:v>
      </x:c>
      <x:c r="E67" s="42" t="str">
        <x:v>—</x:v>
      </x:c>
      <x:c r="F67" s="42" t="str">
        <x:v>fact_offer; dim_provider_home; dim_provider</x:v>
      </x:c>
      <x:c r="G67" s="42" t="str">
        <x:v>Ready</x:v>
      </x:c>
      <x:c r="H67" s="43" t="str">
        <x:v>Offer, spot/framework and draft/pending-offer portfolio</x:v>
      </x:c>
    </x:row>
    <x:row r="68" ht="26.399999618530273" hidden="0" customHeight="1">
      <x:c r="A68" s="41" t="str">
        <x:v>GOLD-KPI-064</x:v>
      </x:c>
      <x:c r="B68" s="42" t="str">
        <x:v>Offer portfolio and ageing</x:v>
      </x:c>
      <x:c r="C68" s="42" t="str">
        <x:v>Draft Offers With Activity Since Creation</x:v>
      </x:c>
      <x:c r="D68" s="42" t="str">
        <x:v>New Gold KPI</x:v>
      </x:c>
      <x:c r="E68" s="42" t="str">
        <x:v>—</x:v>
      </x:c>
      <x:c r="F68" s="42" t="str">
        <x:v>fact_offer; dim_provider_home; dim_provider</x:v>
      </x:c>
      <x:c r="G68" s="42" t="str">
        <x:v>Ready</x:v>
      </x:c>
      <x:c r="H68" s="43" t="str">
        <x:v>Offer, spot/framework and draft/pending-offer portfolio</x:v>
      </x:c>
    </x:row>
    <x:row r="69" ht="26.399999618530273" hidden="0" customHeight="1">
      <x:c r="A69" s="41" t="str">
        <x:v>GOLD-KPI-065</x:v>
      </x:c>
      <x:c r="B69" s="42" t="str">
        <x:v>Offer portfolio and ageing</x:v>
      </x:c>
      <x:c r="C69" s="42" t="str">
        <x:v>Draft Offers Missing Dates</x:v>
      </x:c>
      <x:c r="D69" s="42" t="str">
        <x:v>New Gold KPI</x:v>
      </x:c>
      <x:c r="E69" s="42" t="str">
        <x:v>—</x:v>
      </x:c>
      <x:c r="F69" s="42" t="str">
        <x:v>fact_offer; dim_provider_home; dim_provider</x:v>
      </x:c>
      <x:c r="G69" s="42" t="str">
        <x:v>Ready</x:v>
      </x:c>
      <x:c r="H69" s="43" t="str">
        <x:v>Offer, spot/framework and draft/pending-offer portfolio</x:v>
      </x:c>
    </x:row>
    <x:row r="70" ht="26.399999618530273" hidden="0" customHeight="1">
      <x:c r="A70" s="41" t="str">
        <x:v>GOLD-KPI-066</x:v>
      </x:c>
      <x:c r="B70" s="42" t="str">
        <x:v>Offer portfolio and ageing</x:v>
      </x:c>
      <x:c r="C70" s="42" t="str">
        <x:v>Draft Offers Stalled 14+ Days</x:v>
      </x:c>
      <x:c r="D70" s="42" t="str">
        <x:v>New Gold KPI</x:v>
      </x:c>
      <x:c r="E70" s="42" t="str">
        <x:v>—</x:v>
      </x:c>
      <x:c r="F70" s="42" t="str">
        <x:v>fact_offer; dim_provider_home; dim_provider</x:v>
      </x:c>
      <x:c r="G70" s="42" t="str">
        <x:v>Ready</x:v>
      </x:c>
      <x:c r="H70" s="43" t="str">
        <x:v>Offer, spot/framework and draft/pending-offer portfolio</x:v>
      </x:c>
    </x:row>
    <x:row r="71" ht="26.399999618530273" hidden="0" customHeight="1">
      <x:c r="A71" s="41" t="str">
        <x:v>GOLD-KPI-067</x:v>
      </x:c>
      <x:c r="B71" s="42" t="str">
        <x:v>Offer portfolio and ageing</x:v>
      </x:c>
      <x:c r="C71" s="42" t="str">
        <x:v>Average Days in Draft</x:v>
      </x:c>
      <x:c r="D71" s="42" t="str">
        <x:v>New Gold KPI</x:v>
      </x:c>
      <x:c r="E71" s="42" t="str">
        <x:v>—</x:v>
      </x:c>
      <x:c r="F71" s="42" t="str">
        <x:v>fact_offer; dim_provider_home; dim_provider</x:v>
      </x:c>
      <x:c r="G71" s="42" t="str">
        <x:v>Ready</x:v>
      </x:c>
      <x:c r="H71" s="43" t="str">
        <x:v>Offer, spot/framework and draft/pending-offer portfolio</x:v>
      </x:c>
    </x:row>
    <x:row r="72" ht="26.399999618530273" hidden="0" customHeight="1">
      <x:c r="A72" s="41" t="str">
        <x:v>GOLD-KPI-068</x:v>
      </x:c>
      <x:c r="B72" s="42" t="str">
        <x:v>Offer portfolio and ageing</x:v>
      </x:c>
      <x:c r="C72" s="42" t="str">
        <x:v>Oldest Draft Age Days</x:v>
      </x:c>
      <x:c r="D72" s="42" t="str">
        <x:v>New Gold KPI</x:v>
      </x:c>
      <x:c r="E72" s="42" t="str">
        <x:v>—</x:v>
      </x:c>
      <x:c r="F72" s="42" t="str">
        <x:v>fact_offer; dim_provider_home; dim_provider</x:v>
      </x:c>
      <x:c r="G72" s="42" t="str">
        <x:v>Ready</x:v>
      </x:c>
      <x:c r="H72" s="43" t="str">
        <x:v>Offer, spot/framework and draft/pending-offer portfolio</x:v>
      </x:c>
    </x:row>
    <x:row r="73" ht="26.399999618530273" hidden="0" customHeight="1">
      <x:c r="A73" s="41" t="str">
        <x:v>GOLD-KPI-069</x:v>
      </x:c>
      <x:c r="B73" s="42" t="str">
        <x:v>Offer portfolio and ageing</x:v>
      </x:c>
      <x:c r="C73" s="42" t="str">
        <x:v>Draft Offers With No Activity %</x:v>
      </x:c>
      <x:c r="D73" s="42" t="str">
        <x:v>New Gold KPI</x:v>
      </x:c>
      <x:c r="E73" s="42" t="str">
        <x:v>—</x:v>
      </x:c>
      <x:c r="F73" s="42" t="str">
        <x:v>fact_offer; dim_provider_home; dim_provider</x:v>
      </x:c>
      <x:c r="G73" s="42" t="str">
        <x:v>Ready</x:v>
      </x:c>
      <x:c r="H73" s="43" t="str">
        <x:v>Offer, spot/framework and draft/pending-offer portfolio</x:v>
      </x:c>
    </x:row>
    <x:row r="74" ht="26.399999618530273" hidden="0" customHeight="1">
      <x:c r="A74" s="41" t="str">
        <x:v>GOLD-KPI-070</x:v>
      </x:c>
      <x:c r="B74" s="42" t="str">
        <x:v>Offer portfolio and ageing</x:v>
      </x:c>
      <x:c r="C74" s="42" t="str">
        <x:v>Pending Offers 0-7 Days</x:v>
      </x:c>
      <x:c r="D74" s="42" t="str">
        <x:v>New Gold KPI</x:v>
      </x:c>
      <x:c r="E74" s="42" t="str">
        <x:v>—</x:v>
      </x:c>
      <x:c r="F74" s="42" t="str">
        <x:v>fact_offer; dim_provider_home; dim_provider</x:v>
      </x:c>
      <x:c r="G74" s="42" t="str">
        <x:v>Ready</x:v>
      </x:c>
      <x:c r="H74" s="43" t="str">
        <x:v>Offer, spot/framework and draft/pending-offer portfolio</x:v>
      </x:c>
    </x:row>
    <x:row r="75" ht="26.399999618530273" hidden="0" customHeight="1">
      <x:c r="A75" s="41" t="str">
        <x:v>GOLD-KPI-071</x:v>
      </x:c>
      <x:c r="B75" s="42" t="str">
        <x:v>Offer portfolio and ageing</x:v>
      </x:c>
      <x:c r="C75" s="42" t="str">
        <x:v>Pending Offers 8-14 Days</x:v>
      </x:c>
      <x:c r="D75" s="42" t="str">
        <x:v>New Gold KPI</x:v>
      </x:c>
      <x:c r="E75" s="42" t="str">
        <x:v>—</x:v>
      </x:c>
      <x:c r="F75" s="42" t="str">
        <x:v>fact_offer; dim_provider_home; dim_provider</x:v>
      </x:c>
      <x:c r="G75" s="42" t="str">
        <x:v>Ready</x:v>
      </x:c>
      <x:c r="H75" s="43" t="str">
        <x:v>Offer, spot/framework and draft/pending-offer portfolio</x:v>
      </x:c>
    </x:row>
    <x:row r="76" ht="26.399999618530273" hidden="0" customHeight="1">
      <x:c r="A76" s="41" t="str">
        <x:v>GOLD-KPI-072</x:v>
      </x:c>
      <x:c r="B76" s="42" t="str">
        <x:v>Offer portfolio and ageing</x:v>
      </x:c>
      <x:c r="C76" s="42" t="str">
        <x:v>Pending Offers 15-29 Days</x:v>
      </x:c>
      <x:c r="D76" s="42" t="str">
        <x:v>New Gold KPI</x:v>
      </x:c>
      <x:c r="E76" s="42" t="str">
        <x:v>—</x:v>
      </x:c>
      <x:c r="F76" s="42" t="str">
        <x:v>fact_offer; dim_provider_home; dim_provider</x:v>
      </x:c>
      <x:c r="G76" s="42" t="str">
        <x:v>Ready</x:v>
      </x:c>
      <x:c r="H76" s="43" t="str">
        <x:v>Offer, spot/framework and draft/pending-offer portfolio</x:v>
      </x:c>
    </x:row>
    <x:row r="77" ht="26.399999618530273" hidden="0" customHeight="1">
      <x:c r="A77" s="41" t="str">
        <x:v>GOLD-KPI-073</x:v>
      </x:c>
      <x:c r="B77" s="42" t="str">
        <x:v>Offer portfolio and ageing</x:v>
      </x:c>
      <x:c r="C77" s="42" t="str">
        <x:v>Pending Offers 30+ Days</x:v>
      </x:c>
      <x:c r="D77" s="42" t="str">
        <x:v>New Gold KPI</x:v>
      </x:c>
      <x:c r="E77" s="42" t="str">
        <x:v>—</x:v>
      </x:c>
      <x:c r="F77" s="42" t="str">
        <x:v>fact_offer; dim_provider_home; dim_provider</x:v>
      </x:c>
      <x:c r="G77" s="42" t="str">
        <x:v>Ready</x:v>
      </x:c>
      <x:c r="H77" s="43" t="str">
        <x:v>Offer, spot/framework and draft/pending-offer portfolio</x:v>
      </x:c>
    </x:row>
    <x:row r="78" ht="26.399999618530273" hidden="0" customHeight="1">
      <x:c r="A78" s="41" t="str">
        <x:v>GOLD-KPI-074</x:v>
      </x:c>
      <x:c r="B78" s="42" t="str">
        <x:v>Offer portfolio and ageing</x:v>
      </x:c>
      <x:c r="C78" s="42" t="str">
        <x:v>Providers With Pending Offers 30+ Days</x:v>
      </x:c>
      <x:c r="D78" s="42" t="str">
        <x:v>New Gold KPI</x:v>
      </x:c>
      <x:c r="E78" s="42" t="str">
        <x:v>—</x:v>
      </x:c>
      <x:c r="F78" s="42" t="str">
        <x:v>fact_offer; dim_provider_home; dim_provider</x:v>
      </x:c>
      <x:c r="G78" s="42" t="str">
        <x:v>Ready</x:v>
      </x:c>
      <x:c r="H78" s="43" t="str">
        <x:v>Offer, spot/framework and draft/pending-offer portfolio</x:v>
      </x:c>
    </x:row>
    <x:row r="79" ht="26.399999618530273" hidden="0" customHeight="1">
      <x:c r="A79" s="41" t="str">
        <x:v>GOLD-KPI-075</x:v>
      </x:c>
      <x:c r="B79" s="42" t="str">
        <x:v>Offer portfolio and ageing</x:v>
      </x:c>
      <x:c r="C79" s="42" t="str">
        <x:v>Latest Offer Source Export</x:v>
      </x:c>
      <x:c r="D79" s="42" t="str">
        <x:v>New Gold KPI</x:v>
      </x:c>
      <x:c r="E79" s="42" t="str">
        <x:v>—</x:v>
      </x:c>
      <x:c r="F79" s="42" t="str">
        <x:v>fact_offer; dim_provider_home; dim_provider</x:v>
      </x:c>
      <x:c r="G79" s="42" t="str">
        <x:v>Ready</x:v>
      </x:c>
      <x:c r="H79" s="43" t="str">
        <x:v>Offer, spot/framework and draft/pending-offer portfolio</x:v>
      </x:c>
    </x:row>
    <x:row r="80" ht="39.599998474121094" hidden="0" customHeight="1">
      <x:c r="A80" s="41" t="str">
        <x:v>GOLD-KPI-076</x:v>
      </x:c>
      <x:c r="B80" s="42" t="str">
        <x:v>Provider, framework and documents</x:v>
      </x:c>
      <x:c r="C80" s="42" t="str">
        <x:v>Provider Homes Registered</x:v>
      </x:c>
      <x:c r="D80" s="42" t="str">
        <x:v>KPI-40</x:v>
      </x:c>
      <x:c r="E80" s="42" t="str">
        <x:v>R91, R93</x:v>
      </x:c>
      <x:c r="F80" s="42" t="str">
        <x:v>dim_provider; dim_provider_home; bridge_provider_framework; dim_provider_submission_document</x:v>
      </x:c>
      <x:c r="G80" s="42" t="str">
        <x:v>Ready</x:v>
      </x:c>
      <x:c r="H80" s="43" t="str">
        <x:v>Provider register, framework, QA and documentation</x:v>
      </x:c>
    </x:row>
    <x:row r="81" ht="39.599998474121094" hidden="0" customHeight="1">
      <x:c r="A81" s="41" t="str">
        <x:v>GOLD-KPI-077</x:v>
      </x:c>
      <x:c r="B81" s="42" t="str">
        <x:v>Provider, framework and documents</x:v>
      </x:c>
      <x:c r="C81" s="42" t="str">
        <x:v>Providers Registered</x:v>
      </x:c>
      <x:c r="D81" s="42" t="str">
        <x:v>KPI-41</x:v>
      </x:c>
      <x:c r="E81" s="42" t="str">
        <x:v>R91, R93</x:v>
      </x:c>
      <x:c r="F81" s="42" t="str">
        <x:v>dim_provider; dim_provider_home; bridge_provider_framework; dim_provider_submission_document</x:v>
      </x:c>
      <x:c r="G81" s="42" t="str">
        <x:v>Ready</x:v>
      </x:c>
      <x:c r="H81" s="43" t="str">
        <x:v>Provider register, framework, QA and documentation</x:v>
      </x:c>
    </x:row>
    <x:row r="82" ht="39.599998474121094" hidden="0" customHeight="1">
      <x:c r="A82" s="41" t="str">
        <x:v>GOLD-KPI-078</x:v>
      </x:c>
      <x:c r="B82" s="42" t="str">
        <x:v>Provider, framework and documents</x:v>
      </x:c>
      <x:c r="C82" s="42" t="str">
        <x:v>Providers - Fostering</x:v>
      </x:c>
      <x:c r="D82" s="42" t="str">
        <x:v>New Gold KPI</x:v>
      </x:c>
      <x:c r="E82" s="42" t="str">
        <x:v>—</x:v>
      </x:c>
      <x:c r="F82" s="42" t="str">
        <x:v>dim_provider; dim_provider_home; bridge_provider_framework; dim_provider_submission_document</x:v>
      </x:c>
      <x:c r="G82" s="42" t="str">
        <x:v>Ready</x:v>
      </x:c>
      <x:c r="H82" s="43" t="str">
        <x:v>Provider register, framework, QA and documentation</x:v>
      </x:c>
    </x:row>
    <x:row r="83" ht="39.599998474121094" hidden="0" customHeight="1">
      <x:c r="A83" s="41" t="str">
        <x:v>GOLD-KPI-079</x:v>
      </x:c>
      <x:c r="B83" s="42" t="str">
        <x:v>Provider, framework and documents</x:v>
      </x:c>
      <x:c r="C83" s="42" t="str">
        <x:v>Providers - Residential</x:v>
      </x:c>
      <x:c r="D83" s="42" t="str">
        <x:v>New Gold KPI</x:v>
      </x:c>
      <x:c r="E83" s="42" t="str">
        <x:v>—</x:v>
      </x:c>
      <x:c r="F83" s="42" t="str">
        <x:v>dim_provider; dim_provider_home; bridge_provider_framework; dim_provider_submission_document</x:v>
      </x:c>
      <x:c r="G83" s="42" t="str">
        <x:v>Ready</x:v>
      </x:c>
      <x:c r="H83" s="43" t="str">
        <x:v>Provider register, framework, QA and documentation</x:v>
      </x:c>
    </x:row>
    <x:row r="84" ht="39.599998474121094" hidden="0" customHeight="1">
      <x:c r="A84" s="41" t="str">
        <x:v>GOLD-KPI-080</x:v>
      </x:c>
      <x:c r="B84" s="42" t="str">
        <x:v>Provider, framework and documents</x:v>
      </x:c>
      <x:c r="C84" s="42" t="str">
        <x:v>Providers - Supported Accommodation</x:v>
      </x:c>
      <x:c r="D84" s="42" t="str">
        <x:v>New Gold KPI</x:v>
      </x:c>
      <x:c r="E84" s="42" t="str">
        <x:v>—</x:v>
      </x:c>
      <x:c r="F84" s="42" t="str">
        <x:v>dim_provider; dim_provider_home; bridge_provider_framework; dim_provider_submission_document</x:v>
      </x:c>
      <x:c r="G84" s="42" t="str">
        <x:v>Ready</x:v>
      </x:c>
      <x:c r="H84" s="43" t="str">
        <x:v>Provider register, framework, QA and documentation</x:v>
      </x:c>
    </x:row>
    <x:row r="85" ht="39.599998474121094" hidden="0" customHeight="1">
      <x:c r="A85" s="41" t="str">
        <x:v>GOLD-KPI-081</x:v>
      </x:c>
      <x:c r="B85" s="42" t="str">
        <x:v>Provider, framework and documents</x:v>
      </x:c>
      <x:c r="C85" s="42" t="str">
        <x:v>Residential Homes</x:v>
      </x:c>
      <x:c r="D85" s="42" t="str">
        <x:v>New Gold KPI</x:v>
      </x:c>
      <x:c r="E85" s="42" t="str">
        <x:v>—</x:v>
      </x:c>
      <x:c r="F85" s="42" t="str">
        <x:v>dim_provider; dim_provider_home; bridge_provider_framework; dim_provider_submission_document</x:v>
      </x:c>
      <x:c r="G85" s="42" t="str">
        <x:v>Ready</x:v>
      </x:c>
      <x:c r="H85" s="43" t="str">
        <x:v>Provider register, framework, QA and documentation</x:v>
      </x:c>
    </x:row>
    <x:row r="86" ht="39.599998474121094" hidden="0" customHeight="1">
      <x:c r="A86" s="41" t="str">
        <x:v>GOLD-KPI-082</x:v>
      </x:c>
      <x:c r="B86" s="42" t="str">
        <x:v>Provider, framework and documents</x:v>
      </x:c>
      <x:c r="C86" s="42" t="str">
        <x:v>Supported Accommodation Homes</x:v>
      </x:c>
      <x:c r="D86" s="42" t="str">
        <x:v>New Gold KPI</x:v>
      </x:c>
      <x:c r="E86" s="42" t="str">
        <x:v>—</x:v>
      </x:c>
      <x:c r="F86" s="42" t="str">
        <x:v>dim_provider; dim_provider_home; bridge_provider_framework; dim_provider_submission_document</x:v>
      </x:c>
      <x:c r="G86" s="42" t="str">
        <x:v>Ready</x:v>
      </x:c>
      <x:c r="H86" s="43" t="str">
        <x:v>Provider register, framework, QA and documentation</x:v>
      </x:c>
    </x:row>
    <x:row r="87" ht="39.599998474121094" hidden="0" customHeight="1">
      <x:c r="A87" s="41" t="str">
        <x:v>GOLD-KPI-083</x:v>
      </x:c>
      <x:c r="B87" s="42" t="str">
        <x:v>Provider, framework and documents</x:v>
      </x:c>
      <x:c r="C87" s="42" t="str">
        <x:v>Fostering Homes</x:v>
      </x:c>
      <x:c r="D87" s="42" t="str">
        <x:v>New Gold KPI</x:v>
      </x:c>
      <x:c r="E87" s="42" t="str">
        <x:v>—</x:v>
      </x:c>
      <x:c r="F87" s="42" t="str">
        <x:v>dim_provider; dim_provider_home; bridge_provider_framework; dim_provider_submission_document</x:v>
      </x:c>
      <x:c r="G87" s="42" t="str">
        <x:v>Ready</x:v>
      </x:c>
      <x:c r="H87" s="43" t="str">
        <x:v>Provider register, framework, QA and documentation</x:v>
      </x:c>
    </x:row>
    <x:row r="88" ht="39.599998474121094" hidden="0" customHeight="1">
      <x:c r="A88" s="41" t="str">
        <x:v>GOLD-KPI-084</x:v>
      </x:c>
      <x:c r="B88" s="42" t="str">
        <x:v>Provider, framework and documents</x:v>
      </x:c>
      <x:c r="C88" s="42" t="str">
        <x:v>Framework Providers</x:v>
      </x:c>
      <x:c r="D88" s="42" t="str">
        <x:v>KPI-45</x:v>
      </x:c>
      <x:c r="E88" s="42" t="str">
        <x:v>R67</x:v>
      </x:c>
      <x:c r="F88" s="42" t="str">
        <x:v>dim_provider; dim_provider_home; bridge_provider_framework; dim_provider_submission_document</x:v>
      </x:c>
      <x:c r="G88" s="42" t="str">
        <x:v>Ready</x:v>
      </x:c>
      <x:c r="H88" s="43" t="str">
        <x:v>Provider register, framework, QA and documentation</x:v>
      </x:c>
    </x:row>
    <x:row r="89" ht="39.599998474121094" hidden="0" customHeight="1">
      <x:c r="A89" s="41" t="str">
        <x:v>GOLD-KPI-085</x:v>
      </x:c>
      <x:c r="B89" s="42" t="str">
        <x:v>Provider, framework and documents</x:v>
      </x:c>
      <x:c r="C89" s="42" t="str">
        <x:v>Non-Framework Providers</x:v>
      </x:c>
      <x:c r="D89" s="42" t="str">
        <x:v>KPI-46</x:v>
      </x:c>
      <x:c r="E89" s="42" t="str">
        <x:v>R46</x:v>
      </x:c>
      <x:c r="F89" s="42" t="str">
        <x:v>dim_provider; dim_provider_home; bridge_provider_framework; dim_provider_submission_document</x:v>
      </x:c>
      <x:c r="G89" s="42" t="str">
        <x:v>Ready</x:v>
      </x:c>
      <x:c r="H89" s="43" t="str">
        <x:v>Provider register, framework, QA and documentation</x:v>
      </x:c>
    </x:row>
    <x:row r="90" ht="39.599998474121094" hidden="0" customHeight="1">
      <x:c r="A90" s="41" t="str">
        <x:v>GOLD-KPI-086</x:v>
      </x:c>
      <x:c r="B90" s="42" t="str">
        <x:v>Provider, framework and documents</x:v>
      </x:c>
      <x:c r="C90" s="42" t="str">
        <x:v>Providers With QA Flags</x:v>
      </x:c>
      <x:c r="D90" s="42" t="str">
        <x:v>KPI-97</x:v>
      </x:c>
      <x:c r="E90" s="42" t="str">
        <x:v>R41</x:v>
      </x:c>
      <x:c r="F90" s="42" t="str">
        <x:v>dim_provider; dim_provider_home; bridge_provider_framework; dim_provider_submission_document</x:v>
      </x:c>
      <x:c r="G90" s="42" t="str">
        <x:v>Ready</x:v>
      </x:c>
      <x:c r="H90" s="43" t="str">
        <x:v>Provider register, framework, QA and documentation</x:v>
      </x:c>
    </x:row>
    <x:row r="91" ht="39.599998474121094" hidden="0" customHeight="1">
      <x:c r="A91" s="41" t="str">
        <x:v>GOLD-KPI-087</x:v>
      </x:c>
      <x:c r="B91" s="42" t="str">
        <x:v>Provider, framework and documents</x:v>
      </x:c>
      <x:c r="C91" s="42" t="str">
        <x:v>QA Flagged Homes</x:v>
      </x:c>
      <x:c r="D91" s="42" t="str">
        <x:v>New Gold KPI</x:v>
      </x:c>
      <x:c r="E91" s="42" t="str">
        <x:v>—</x:v>
      </x:c>
      <x:c r="F91" s="42" t="str">
        <x:v>dim_provider; dim_provider_home; bridge_provider_framework; dim_provider_submission_document</x:v>
      </x:c>
      <x:c r="G91" s="42" t="str">
        <x:v>Ready</x:v>
      </x:c>
      <x:c r="H91" s="43" t="str">
        <x:v>Provider register, framework, QA and documentation</x:v>
      </x:c>
    </x:row>
    <x:row r="92" ht="39.599998474121094" hidden="0" customHeight="1">
      <x:c r="A92" s="41" t="str">
        <x:v>GOLD-KPI-088</x:v>
      </x:c>
      <x:c r="B92" s="42" t="str">
        <x:v>Provider, framework and documents</x:v>
      </x:c>
      <x:c r="C92" s="42" t="str">
        <x:v>Providers Pending Onboarding</x:v>
      </x:c>
      <x:c r="D92" s="42" t="str">
        <x:v>KPI-116</x:v>
      </x:c>
      <x:c r="E92" s="42" t="str">
        <x:v>R59</x:v>
      </x:c>
      <x:c r="F92" s="42" t="str">
        <x:v>dim_provider; dim_provider_home; bridge_provider_framework; dim_provider_submission_document</x:v>
      </x:c>
      <x:c r="G92" s="42" t="str">
        <x:v>Ready</x:v>
      </x:c>
      <x:c r="H92" s="43" t="str">
        <x:v>Provider register, framework, QA and documentation</x:v>
      </x:c>
    </x:row>
    <x:row r="93" ht="39.599998474121094" hidden="0" customHeight="1">
      <x:c r="A93" s="41" t="str">
        <x:v>GOLD-KPI-089</x:v>
      </x:c>
      <x:c r="B93" s="42" t="str">
        <x:v>Provider, framework and documents</x:v>
      </x:c>
      <x:c r="C93" s="42" t="str">
        <x:v>Providers Approved</x:v>
      </x:c>
      <x:c r="D93" s="42" t="str">
        <x:v>New Gold KPI</x:v>
      </x:c>
      <x:c r="E93" s="42" t="str">
        <x:v>—</x:v>
      </x:c>
      <x:c r="F93" s="42" t="str">
        <x:v>dim_provider; dim_provider_home; bridge_provider_framework; dim_provider_submission_document</x:v>
      </x:c>
      <x:c r="G93" s="42" t="str">
        <x:v>Ready</x:v>
      </x:c>
      <x:c r="H93" s="43" t="str">
        <x:v>Provider register, framework, QA and documentation</x:v>
      </x:c>
    </x:row>
    <x:row r="94" ht="39.599998474121094" hidden="0" customHeight="1">
      <x:c r="A94" s="41" t="str">
        <x:v>GOLD-KPI-090</x:v>
      </x:c>
      <x:c r="B94" s="42" t="str">
        <x:v>Provider, framework and documents</x:v>
      </x:c>
      <x:c r="C94" s="42" t="str">
        <x:v>Provider Onboarding Success Rate</x:v>
      </x:c>
      <x:c r="D94" s="42" t="str">
        <x:v>KPI-117</x:v>
      </x:c>
      <x:c r="E94" s="42" t="str">
        <x:v>R59</x:v>
      </x:c>
      <x:c r="F94" s="42" t="str">
        <x:v>dim_provider; dim_provider_home; bridge_provider_framework; dim_provider_submission_document</x:v>
      </x:c>
      <x:c r="G94" s="42" t="str">
        <x:v>Ready</x:v>
      </x:c>
      <x:c r="H94" s="43" t="str">
        <x:v>Provider register, framework, QA and documentation</x:v>
      </x:c>
    </x:row>
    <x:row r="95" ht="39.599998474121094" hidden="0" customHeight="1">
      <x:c r="A95" s="41" t="str">
        <x:v>GOLD-KPI-091</x:v>
      </x:c>
      <x:c r="B95" s="42" t="str">
        <x:v>Provider, framework and documents</x:v>
      </x:c>
      <x:c r="C95" s="42" t="str">
        <x:v>Provider Submission Documents</x:v>
      </x:c>
      <x:c r="D95" s="42" t="str">
        <x:v>New Gold KPI</x:v>
      </x:c>
      <x:c r="E95" s="42" t="str">
        <x:v>—</x:v>
      </x:c>
      <x:c r="F95" s="42" t="str">
        <x:v>dim_provider; dim_provider_home; bridge_provider_framework; dim_provider_submission_document</x:v>
      </x:c>
      <x:c r="G95" s="42" t="str">
        <x:v>Ready</x:v>
      </x:c>
      <x:c r="H95" s="43" t="str">
        <x:v>Provider register, framework, QA and documentation</x:v>
      </x:c>
    </x:row>
    <x:row r="96" ht="39.599998474121094" hidden="0" customHeight="1">
      <x:c r="A96" s="41" t="str">
        <x:v>GOLD-KPI-092</x:v>
      </x:c>
      <x:c r="B96" s="42" t="str">
        <x:v>Provider, framework and documents</x:v>
      </x:c>
      <x:c r="C96" s="42" t="str">
        <x:v>Documents Expiring Next 30 Days</x:v>
      </x:c>
      <x:c r="D96" s="42" t="str">
        <x:v>KPI-100</x:v>
      </x:c>
      <x:c r="E96" s="42" t="str">
        <x:v>R47</x:v>
      </x:c>
      <x:c r="F96" s="42" t="str">
        <x:v>dim_provider; dim_provider_home; bridge_provider_framework; dim_provider_submission_document</x:v>
      </x:c>
      <x:c r="G96" s="42" t="str">
        <x:v>Ready</x:v>
      </x:c>
      <x:c r="H96" s="43" t="str">
        <x:v>Provider register, framework, QA and documentation</x:v>
      </x:c>
    </x:row>
    <x:row r="97" ht="39.599998474121094" hidden="0" customHeight="1">
      <x:c r="A97" s="41" t="str">
        <x:v>GOLD-KPI-093</x:v>
      </x:c>
      <x:c r="B97" s="42" t="str">
        <x:v>Provider, framework and documents</x:v>
      </x:c>
      <x:c r="C97" s="42" t="str">
        <x:v>Documents Expired</x:v>
      </x:c>
      <x:c r="D97" s="42" t="str">
        <x:v>KPI-101</x:v>
      </x:c>
      <x:c r="E97" s="42" t="str">
        <x:v>R47, R48</x:v>
      </x:c>
      <x:c r="F97" s="42" t="str">
        <x:v>dim_provider; dim_provider_home; bridge_provider_framework; dim_provider_submission_document</x:v>
      </x:c>
      <x:c r="G97" s="42" t="str">
        <x:v>Ready</x:v>
      </x:c>
      <x:c r="H97" s="43" t="str">
        <x:v>Provider register, framework, QA and documentation</x:v>
      </x:c>
    </x:row>
    <x:row r="98" ht="39.599998474121094" hidden="0" customHeight="1">
      <x:c r="A98" s="41" t="str">
        <x:v>GOLD-KPI-094</x:v>
      </x:c>
      <x:c r="B98" s="42" t="str">
        <x:v>Provider, framework and documents</x:v>
      </x:c>
      <x:c r="C98" s="42" t="str">
        <x:v>Provider Homes With Expired Documents</x:v>
      </x:c>
      <x:c r="D98" s="42" t="str">
        <x:v>New Gold KPI</x:v>
      </x:c>
      <x:c r="E98" s="42" t="str">
        <x:v>—</x:v>
      </x:c>
      <x:c r="F98" s="42" t="str">
        <x:v>dim_provider; dim_provider_home; bridge_provider_framework; dim_provider_submission_document</x:v>
      </x:c>
      <x:c r="G98" s="42" t="str">
        <x:v>Ready</x:v>
      </x:c>
      <x:c r="H98" s="43" t="str">
        <x:v>Provider register, framework, QA and documentation</x:v>
      </x:c>
    </x:row>
    <x:row r="99" ht="14.5" hidden="0" customHeight="1">
      <x:c r="A99" s="41" t="str">
        <x:v>GOLD-KPI-095</x:v>
      </x:c>
      <x:c r="B99" s="42" t="str">
        <x:v>IPA, cost and lifecycle</x:v>
      </x:c>
      <x:c r="C99" s="42" t="str">
        <x:v>IPAs Issued This Month</x:v>
      </x:c>
      <x:c r="D99" s="42" t="str">
        <x:v>New Gold KPI</x:v>
      </x:c>
      <x:c r="E99" s="42" t="str">
        <x:v>—</x:v>
      </x:c>
      <x:c r="F99" s="42" t="str">
        <x:v>fct_ipa; fact_offer; fact_referral; fact_referral_lifecycle_event</x:v>
      </x:c>
      <x:c r="G99" s="42" t="str">
        <x:v>Ready</x:v>
      </x:c>
      <x:c r="H99" s="43" t="str">
        <x:v>IPA, cost and referral-lifecycle measures</x:v>
      </x:c>
    </x:row>
    <x:row r="100" ht="14.5" hidden="0" customHeight="1">
      <x:c r="A100" s="41" t="str">
        <x:v>GOLD-KPI-096</x:v>
      </x:c>
      <x:c r="B100" s="42" t="str">
        <x:v>IPA, cost and lifecycle</x:v>
      </x:c>
      <x:c r="C100" s="42" t="str">
        <x:v>Closed IPAs</x:v>
      </x:c>
      <x:c r="D100" s="42" t="str">
        <x:v>New Gold KPI</x:v>
      </x:c>
      <x:c r="E100" s="42" t="str">
        <x:v>—</x:v>
      </x:c>
      <x:c r="F100" s="42" t="str">
        <x:v>fct_ipa; fact_offer; fact_referral; fact_referral_lifecycle_event</x:v>
      </x:c>
      <x:c r="G100" s="42" t="str">
        <x:v>Ready</x:v>
      </x:c>
      <x:c r="H100" s="43" t="str">
        <x:v>IPA, cost and referral-lifecycle measures</x:v>
      </x:c>
    </x:row>
    <x:row r="101" ht="14.5" hidden="0" customHeight="1">
      <x:c r="A101" s="41" t="str">
        <x:v>GOLD-KPI-097</x:v>
      </x:c>
      <x:c r="B101" s="42" t="str">
        <x:v>IPA, cost and lifecycle</x:v>
      </x:c>
      <x:c r="C101" s="42" t="str">
        <x:v>Average Active IPA Weekly Cost</x:v>
      </x:c>
      <x:c r="D101" s="42" t="str">
        <x:v>New Gold KPI</x:v>
      </x:c>
      <x:c r="E101" s="42" t="str">
        <x:v>—</x:v>
      </x:c>
      <x:c r="F101" s="42" t="str">
        <x:v>fct_ipa; fact_offer; fact_referral; fact_referral_lifecycle_event</x:v>
      </x:c>
      <x:c r="G101" s="42" t="str">
        <x:v>Ready</x:v>
      </x:c>
      <x:c r="H101" s="43" t="str">
        <x:v>IPA, cost and referral-lifecycle measures</x:v>
      </x:c>
    </x:row>
    <x:row r="102" ht="14.5" hidden="0" customHeight="1">
      <x:c r="A102" s="41" t="str">
        <x:v>GOLD-KPI-098</x:v>
      </x:c>
      <x:c r="B102" s="42" t="str">
        <x:v>IPA, cost and lifecycle</x:v>
      </x:c>
      <x:c r="C102" s="42" t="str">
        <x:v>Total IPA Weekly Cost</x:v>
      </x:c>
      <x:c r="D102" s="42" t="str">
        <x:v>New Gold KPI</x:v>
      </x:c>
      <x:c r="E102" s="42" t="str">
        <x:v>—</x:v>
      </x:c>
      <x:c r="F102" s="42" t="str">
        <x:v>fct_ipa; fact_offer; fact_referral; fact_referral_lifecycle_event</x:v>
      </x:c>
      <x:c r="G102" s="42" t="str">
        <x:v>Ready</x:v>
      </x:c>
      <x:c r="H102" s="43" t="str">
        <x:v>IPA, cost and referral-lifecycle measures</x:v>
      </x:c>
    </x:row>
    <x:row r="103" ht="14.5" hidden="0" customHeight="1">
      <x:c r="A103" s="41" t="str">
        <x:v>GOLD-KPI-099</x:v>
      </x:c>
      <x:c r="B103" s="42" t="str">
        <x:v>IPA conversion</x:v>
      </x:c>
      <x:c r="C103" s="42" t="str">
        <x:v>Accepted Offers With IPA</x:v>
      </x:c>
      <x:c r="D103" s="42" t="str">
        <x:v>KPI-79 replacement</x:v>
      </x:c>
      <x:c r="E103" s="42" t="str">
        <x:v>R35</x:v>
      </x:c>
      <x:c r="F103" s="42" t="str">
        <x:v>fact_offer; fct_ipa</x:v>
      </x:c>
      <x:c r="G103" s="42" t="str">
        <x:v>Ready</x:v>
      </x:c>
      <x:c r="H103" s="43" t="str">
        <x:v>IPA, cost and referral-lifecycle measures</x:v>
      </x:c>
    </x:row>
    <x:row r="104" ht="14.5" hidden="0" customHeight="1">
      <x:c r="A104" s="41" t="str">
        <x:v>GOLD-KPI-100</x:v>
      </x:c>
      <x:c r="B104" s="42" t="str">
        <x:v>IPA conversion</x:v>
      </x:c>
      <x:c r="C104" s="42" t="str">
        <x:v>Offers Awaiting IPA Creation</x:v>
      </x:c>
      <x:c r="D104" s="42" t="str">
        <x:v>KPI-79</x:v>
      </x:c>
      <x:c r="E104" s="42" t="str">
        <x:v>R35</x:v>
      </x:c>
      <x:c r="F104" s="42" t="str">
        <x:v>fact_offer; fct_ipa</x:v>
      </x:c>
      <x:c r="G104" s="42" t="str">
        <x:v>Ready</x:v>
      </x:c>
      <x:c r="H104" s="43" t="str">
        <x:v>IPA, cost and referral-lifecycle measures</x:v>
      </x:c>
    </x:row>
    <x:row r="105" ht="14.5" hidden="0" customHeight="1">
      <x:c r="A105" s="41" t="str">
        <x:v>GOLD-KPI-101</x:v>
      </x:c>
      <x:c r="B105" s="42" t="str">
        <x:v>IPA conversion</x:v>
      </x:c>
      <x:c r="C105" s="42" t="str">
        <x:v>Accepted Offer to IPA Conversion %</x:v>
      </x:c>
      <x:c r="D105" s="42" t="str">
        <x:v>KPI-83</x:v>
      </x:c>
      <x:c r="E105" s="42" t="str">
        <x:v>R35</x:v>
      </x:c>
      <x:c r="F105" s="42" t="str">
        <x:v>fact_offer; fct_ipa</x:v>
      </x:c>
      <x:c r="G105" s="42" t="str">
        <x:v>Ready</x:v>
      </x:c>
      <x:c r="H105" s="43" t="str">
        <x:v>IPA, cost and referral-lifecycle measures</x:v>
      </x:c>
    </x:row>
    <x:row r="106" ht="14.5" hidden="0" customHeight="1">
      <x:c r="A106" s="41" t="str">
        <x:v>GOLD-KPI-102</x:v>
      </x:c>
      <x:c r="B106" s="42" t="str">
        <x:v>IPA conversion</x:v>
      </x:c>
      <x:c r="C106" s="42" t="str">
        <x:v>Offers Still to Progress to IPA %</x:v>
      </x:c>
      <x:c r="D106" s="42" t="str">
        <x:v>KPI-84</x:v>
      </x:c>
      <x:c r="E106" s="42" t="str">
        <x:v>R35</x:v>
      </x:c>
      <x:c r="F106" s="42" t="str">
        <x:v>fact_offer; fct_ipa</x:v>
      </x:c>
      <x:c r="G106" s="42" t="str">
        <x:v>Ready</x:v>
      </x:c>
      <x:c r="H106" s="43" t="str">
        <x:v>IPA, cost and referral-lifecycle measures</x:v>
      </x:c>
    </x:row>
    <x:row r="107" ht="14.5" hidden="0" customHeight="1">
      <x:c r="A107" s="41" t="str">
        <x:v>GOLD-KPI-103</x:v>
      </x:c>
      <x:c r="B107" s="42" t="str">
        <x:v>IPA, cost and lifecycle</x:v>
      </x:c>
      <x:c r="C107" s="42" t="str">
        <x:v>Referrals With Fully Signed IPA</x:v>
      </x:c>
      <x:c r="D107" s="42" t="str">
        <x:v>New Gold KPI</x:v>
      </x:c>
      <x:c r="E107" s="42" t="str">
        <x:v>—</x:v>
      </x:c>
      <x:c r="F107" s="42" t="str">
        <x:v>fct_ipa; fact_offer; fact_referral; fact_referral_lifecycle_event</x:v>
      </x:c>
      <x:c r="G107" s="42" t="str">
        <x:v>Ready</x:v>
      </x:c>
      <x:c r="H107" s="43" t="str">
        <x:v>IPA, cost and referral-lifecycle measures</x:v>
      </x:c>
    </x:row>
    <x:row r="108" ht="14.5" hidden="0" customHeight="1">
      <x:c r="A108" s="41" t="str">
        <x:v>GOLD-KPI-104</x:v>
      </x:c>
      <x:c r="B108" s="42" t="str">
        <x:v>IPA, cost and lifecycle</x:v>
      </x:c>
      <x:c r="C108" s="42" t="str">
        <x:v>IPA Signature Completion Rate</x:v>
      </x:c>
      <x:c r="D108" s="42" t="str">
        <x:v>New Gold KPI</x:v>
      </x:c>
      <x:c r="E108" s="42" t="str">
        <x:v>—</x:v>
      </x:c>
      <x:c r="F108" s="42" t="str">
        <x:v>fct_ipa; fact_offer; fact_referral; fact_referral_lifecycle_event</x:v>
      </x:c>
      <x:c r="G108" s="42" t="str">
        <x:v>Ready</x:v>
      </x:c>
      <x:c r="H108" s="43" t="str">
        <x:v>IPA, cost and referral-lifecycle measures</x:v>
      </x:c>
    </x:row>
    <x:row r="109" ht="14.5" hidden="0" customHeight="1">
      <x:c r="A109" s="41" t="str">
        <x:v>GOLD-KPI-105</x:v>
      </x:c>
      <x:c r="B109" s="42" t="str">
        <x:v>IPA, cost and lifecycle</x:v>
      </x:c>
      <x:c r="C109" s="42" t="str">
        <x:v>Referral Lifecycle Events</x:v>
      </x:c>
      <x:c r="D109" s="42" t="str">
        <x:v>KPI-113</x:v>
      </x:c>
      <x:c r="E109" s="42" t="str">
        <x:v>R20</x:v>
      </x:c>
      <x:c r="F109" s="42" t="str">
        <x:v>fct_ipa; fact_offer; fact_referral; fact_referral_lifecycle_event</x:v>
      </x:c>
      <x:c r="G109" s="42" t="str">
        <x:v>Ready</x:v>
      </x:c>
      <x:c r="H109" s="43" t="str">
        <x:v>IPA, cost and referral-lifecycle measures</x:v>
      </x:c>
    </x:row>
    <x:row r="110" ht="14.5" hidden="0" customHeight="1">
      <x:c r="A110" s="41" t="str">
        <x:v>GOLD-KPI-106</x:v>
      </x:c>
      <x:c r="B110" s="42" t="str">
        <x:v>IPA, cost and lifecycle</x:v>
      </x:c>
      <x:c r="C110" s="42" t="str">
        <x:v>Referrals With Lifecycle Activity</x:v>
      </x:c>
      <x:c r="D110" s="42" t="str">
        <x:v>New Gold KPI</x:v>
      </x:c>
      <x:c r="E110" s="42" t="str">
        <x:v>—</x:v>
      </x:c>
      <x:c r="F110" s="42" t="str">
        <x:v>fct_ipa; fact_offer; fact_referral; fact_referral_lifecycle_event</x:v>
      </x:c>
      <x:c r="G110" s="42" t="str">
        <x:v>Ready</x:v>
      </x:c>
      <x:c r="H110" s="43" t="str">
        <x:v>IPA, cost and referral-lifecycle measures</x:v>
      </x:c>
    </x:row>
    <x:row r="111" ht="14.5" hidden="0" customHeight="1">
      <x:c r="A111" s="41" t="str">
        <x:v>GOLD-KPI-107</x:v>
      </x:c>
      <x:c r="B111" s="42" t="str">
        <x:v>IPA, cost and lifecycle</x:v>
      </x:c>
      <x:c r="C111" s="42" t="str">
        <x:v>Average Lifecycle Events per Referral</x:v>
      </x:c>
      <x:c r="D111" s="42" t="str">
        <x:v>New Gold KPI</x:v>
      </x:c>
      <x:c r="E111" s="42" t="str">
        <x:v>—</x:v>
      </x:c>
      <x:c r="F111" s="42" t="str">
        <x:v>fct_ipa; fact_offer; fact_referral; fact_referral_lifecycle_event</x:v>
      </x:c>
      <x:c r="G111" s="42" t="str">
        <x:v>Ready</x:v>
      </x:c>
      <x:c r="H111" s="43" t="str">
        <x:v>IPA, cost and referral-lifecycle measures</x:v>
      </x:c>
    </x:row>
    <x:row r="112" ht="14.5" hidden="0" customHeight="1">
      <x:c r="A112" s="44" t="str">
        <x:v>GOLD-KPI-108</x:v>
      </x:c>
      <x:c r="B112" s="45" t="str">
        <x:v>IPA, cost and lifecycle</x:v>
      </x:c>
      <x:c r="C112" s="45" t="str">
        <x:v>Gold Model Last Refreshed</x:v>
      </x:c>
      <x:c r="D112" s="45" t="str">
        <x:v>KPI-87</x:v>
      </x:c>
      <x:c r="E112" s="45" t="str">
        <x:v>R82</x:v>
      </x:c>
      <x:c r="F112" s="45" t="str">
        <x:v>fct_ipa; fact_offer; fact_referral; fact_referral_lifecycle_event</x:v>
      </x:c>
      <x:c r="G112" s="45" t="str">
        <x:v>Ready</x:v>
      </x:c>
      <x:c r="H112" s="46" t="str">
        <x:v>IPA, cost and referral-lifecycle measures</x:v>
      </x:c>
    </x:row>
    <x:row r="113" ht="14.5" hidden="0" customHeight="1">
      <x:c r="A113" t="str">
        <x:v>GOLD-KPI-109</x:v>
      </x:c>
      <x:c r="B113" t="str">
        <x:v>Message activity proxy</x:v>
      </x:c>
      <x:c r="C113" t="str">
        <x:v>Provider Messages Sent</x:v>
      </x:c>
      <x:c r="D113" t="str">
        <x:v>KPI-110 proxy</x:v>
      </x:c>
      <x:c r="E113" t="str">
        <x:v>R14</x:v>
      </x:c>
      <x:c r="F113" t="str">
        <x:v>fact_referral_lifecycle_event</x:v>
      </x:c>
      <x:c r="G113" s="134" t="str">
        <x:v>Proxy only</x:v>
      </x:c>
      <x:c r="H113" t="str">
        <x:v>IPA, cost and referral-lifecycle measures</x:v>
      </x:c>
    </x:row>
    <x:row r="114" ht="14.5" hidden="0" customHeight="1">
      <x:c r="A114"/>
      <x:c r="B114"/>
      <x:c r="C114"/>
      <x:c r="D114"/>
      <x:c r="E114"/>
      <x:c r="F114"/>
      <x:c r="G114"/>
      <x:c r="H114"/>
    </x:row>
    <x:row r="115" ht="14.5" hidden="0" customHeight="1">
      <x:c r="A115" s="107" t="str">
        <x:v>Gold KPI gaps and controlled proxies</x:v>
      </x:c>
      <x:c r="B115"/>
      <x:c r="C115"/>
      <x:c r="D115"/>
      <x:c r="E115"/>
      <x:c r="F115"/>
      <x:c r="G115"/>
      <x:c r="H115"/>
    </x:row>
    <x:row r="116" ht="26.399999618530273" hidden="0" customHeight="1">
      <x:c r="A116" s="113" t="str">
        <x:v>Gap ID</x:v>
      </x:c>
      <x:c r="B116" s="113" t="str">
        <x:v>Business area</x:v>
      </x:c>
      <x:c r="C116" s="113" t="str">
        <x:v>KPI / capability</x:v>
      </x:c>
      <x:c r="D116" s="113" t="str">
        <x:v>Legacy KPI mapping</x:v>
      </x:c>
      <x:c r="E116" s="113" t="str">
        <x:v>Requirement IDs</x:v>
      </x:c>
      <x:c r="F116" s="113" t="str">
        <x:v>Status</x:v>
      </x:c>
      <x:c r="G116" s="113" t="str">
        <x:v>Reason / next Gold-model change</x:v>
      </x:c>
      <x:c r="H116"/>
    </x:row>
    <x:row r="117" ht="52.79999923706055" hidden="0" customHeight="1">
      <x:c r="A117" s="38" t="str">
        <x:v>GOLD-GAP-001</x:v>
      </x:c>
      <x:c r="B117" s="39" t="str">
        <x:v>Child demographics</x:v>
      </x:c>
      <x:c r="C117" s="39" t="str">
        <x:v>Child gender and demographic KPIs (KPI-04–07)</x:v>
      </x:c>
      <x:c r="D117" s="39" t="str">
        <x:v>KPI-04–07</x:v>
      </x:c>
      <x:c r="E117" s="39" t="str">
        <x:v>R51</x:v>
      </x:c>
      <x:c r="F117" s="39" t="str">
        <x:v>Needs Gold data</x:v>
      </x:c>
      <x:c r="G117" s="40" t="str">
        <x:v>No child demographic fact/dimension is published in active Gold.</x:v>
      </x:c>
      <x:c r="H117"/>
    </x:row>
    <x:row r="118" ht="66" hidden="0" customHeight="1">
      <x:c r="A118" s="41" t="str">
        <x:v>GOLD-GAP-002</x:v>
      </x:c>
      <x:c r="B118" s="42" t="str">
        <x:v>IPA signatures</x:v>
      </x:c>
      <x:c r="C118" s="42" t="str">
        <x:v>IPA completion/pending/completion-rate KPIs (KPI-77–78, 80–82, 85–86, 114)</x:v>
      </x:c>
      <x:c r="D118" s="42" t="str">
        <x:v>KPI-77–78, 80–82, 85–86, 114</x:v>
      </x:c>
      <x:c r="E118" s="42" t="str">
        <x:v>R20, R35</x:v>
      </x:c>
      <x:c r="F118" s="42" t="str">
        <x:v>Proxy only</x:v>
      </x:c>
      <x:c r="G118" s="43" t="str">
        <x:v>fact_referral[ipa_2_signatures] supports a referral-level proxy, not IPA-grain signature reporting.</x:v>
      </x:c>
      <x:c r="H118"/>
    </x:row>
    <x:row r="119" ht="52.79999923706055" hidden="0" customHeight="1">
      <x:c r="A119" s="41" t="str">
        <x:v>GOLD-GAP-003</x:v>
      </x:c>
      <x:c r="B119" s="42" t="str">
        <x:v>Geography</x:v>
      </x:c>
      <x:c r="C119" s="42" t="str">
        <x:v>Out-of-region referral and placement rate (KPI-95–96)</x:v>
      </x:c>
      <x:c r="D119" s="42" t="str">
        <x:v>KPI-95–96</x:v>
      </x:c>
      <x:c r="E119" s="42" t="str">
        <x:v>R22</x:v>
      </x:c>
      <x:c r="F119" s="42" t="str">
        <x:v>Needs Gold data</x:v>
      </x:c>
      <x:c r="G119" s="43" t="str">
        <x:v>fact_referral[region] is not populated; provider geography is not a safe substitute.</x:v>
      </x:c>
      <x:c r="H119"/>
    </x:row>
    <x:row r="120" ht="52.79999923706055" hidden="0" customHeight="1">
      <x:c r="A120" s="41" t="str">
        <x:v>GOLD-GAP-004</x:v>
      </x:c>
      <x:c r="B120" s="42" t="str">
        <x:v>QA detail</x:v>
      </x:c>
      <x:c r="C120" s="42" t="str">
        <x:v>QA flag-type breakdown (KPI-98)</x:v>
      </x:c>
      <x:c r="D120" s="42" t="str">
        <x:v>KPI-98</x:v>
      </x:c>
      <x:c r="E120" s="42" t="str">
        <x:v>R41</x:v>
      </x:c>
      <x:c r="F120" s="42" t="str">
        <x:v>Needs Gold data</x:v>
      </x:c>
      <x:c r="G120" s="43" t="str">
        <x:v>Only provider/home QA flags are published; historic flag-type fields are not.</x:v>
      </x:c>
      <x:c r="H120"/>
    </x:row>
    <x:row r="121" ht="52.79999923706055" hidden="0" customHeight="1">
      <x:c r="A121" s="41" t="str">
        <x:v>GOLD-GAP-005</x:v>
      </x:c>
      <x:c r="B121" s="42" t="str">
        <x:v>Document compliance</x:v>
      </x:c>
      <x:c r="C121" s="42" t="str">
        <x:v>Providers blocked and document-compliance rate (KPI-102–103)</x:v>
      </x:c>
      <x:c r="D121" s="42" t="str">
        <x:v>KPI-102–103</x:v>
      </x:c>
      <x:c r="E121" s="42" t="str">
        <x:v>R48</x:v>
      </x:c>
      <x:c r="F121" s="42" t="str">
        <x:v>Needs Gold data</x:v>
      </x:c>
      <x:c r="G121" s="43" t="str">
        <x:v>No expected-document set or blocked-provider outcome exists in Gold.</x:v>
      </x:c>
      <x:c r="H121"/>
    </x:row>
    <x:row r="122" ht="66" hidden="0" customHeight="1">
      <x:c r="A122" s="41" t="str">
        <x:v>GOLD-GAP-006</x:v>
      </x:c>
      <x:c r="B122" s="42" t="str">
        <x:v>Decline/framework history</x:v>
      </x:c>
      <x:c r="C122" s="42" t="str">
        <x:v>Referral-level decline and framework-change reporting (KPI-105–106)</x:v>
      </x:c>
      <x:c r="D122" s="42" t="str">
        <x:v>KPI-105–106</x:v>
      </x:c>
      <x:c r="E122" s="42" t="str">
        <x:v>R54, R58</x:v>
      </x:c>
      <x:c r="F122" s="42" t="str">
        <x:v>Needs Gold data</x:v>
      </x:c>
      <x:c r="G122" s="43" t="str">
        <x:v>Offer rejection_reason is available; referral-level decline and framework-history facts are not.</x:v>
      </x:c>
      <x:c r="H122"/>
    </x:row>
    <x:row r="123" ht="39.599998474121094" hidden="0" customHeight="1">
      <x:c r="A123" s="41" t="str">
        <x:v>GOLD-GAP-007</x:v>
      </x:c>
      <x:c r="B123" s="42" t="str">
        <x:v>Payments</x:v>
      </x:c>
      <x:c r="C123" s="42" t="str">
        <x:v>Payment method and IPA payment status (KPI-108–109)</x:v>
      </x:c>
      <x:c r="D123" s="42" t="str">
        <x:v>KPI-108–109</x:v>
      </x:c>
      <x:c r="E123" s="42" t="str">
        <x:v>R62</x:v>
      </x:c>
      <x:c r="F123" s="42" t="str">
        <x:v>Needs Gold data</x:v>
      </x:c>
      <x:c r="G123" s="43" t="str">
        <x:v>No payment or invoice fields are published in fct_ipa.</x:v>
      </x:c>
      <x:c r="H123"/>
    </x:row>
    <x:row r="124" ht="52.79999923706055" hidden="0" customHeight="1">
      <x:c r="A124" s="41" t="str">
        <x:v>GOLD-GAP-008</x:v>
      </x:c>
      <x:c r="B124" s="42" t="str">
        <x:v>Provider messages</x:v>
      </x:c>
      <x:c r="C124" s="42" t="str">
        <x:v>Message response-time and unread-priority KPIs (KPI-111–112)</x:v>
      </x:c>
      <x:c r="D124" s="42" t="str">
        <x:v>KPI-111–112</x:v>
      </x:c>
      <x:c r="E124" s="42" t="str">
        <x:v>R14</x:v>
      </x:c>
      <x:c r="F124" s="136" t="str">
        <x:v>Silver available — not promoted</x:v>
      </x:c>
      <x:c r="G124" s="43" t="str">
        <x:v>Provider Messages Sent is a lifecycle-event proxy. Build detailed message and message-status Gold facts for response-time and unread analysis.</x:v>
      </x:c>
      <x:c r="H124"/>
    </x:row>
    <x:row r="125" ht="92.4000015258789" hidden="0" customHeight="1">
      <x:c r="A125" s="41" t="str">
        <x:v>GOLD-GAP-009</x:v>
      </x:c>
      <x:c r="B125" s="42" t="str">
        <x:v>Referral updates</x:v>
      </x:c>
      <x:c r="C125" s="42" t="str">
        <x:v>Referral updates per day (KPI-115)</x:v>
      </x:c>
      <x:c r="D125" s="42" t="str">
        <x:v>KPI-115</x:v>
      </x:c>
      <x:c r="E125" s="42" t="str">
        <x:v>R19</x:v>
      </x:c>
      <x:c r="F125" s="42" t="str">
        <x:v>Proxy only</x:v>
      </x:c>
      <x:c r="G125" s="43" t="str">
        <x:v>Use Referral Lifecycle Events as the supported activity measure until a durable update timestamp is published.</x:v>
      </x:c>
      <x:c r="H125"/>
    </x:row>
    <x:row r="126" ht="52.79999923706055" hidden="0" customHeight="1">
      <x:c r="A126" s="44" t="str">
        <x:v>GOLD-GAP-010</x:v>
      </x:c>
      <x:c r="B126" s="45" t="str">
        <x:v>Categories/support needs</x:v>
      </x:c>
      <x:c r="C126" s="45" t="str">
        <x:v>Referral category and child support-needs analysis</x:v>
      </x:c>
      <x:c r="D126" s="45" t="str">
        <x:v>New requirement</x:v>
      </x:c>
      <x:c r="E126" s="45" t="str">
        <x:v>—</x:v>
      </x:c>
      <x:c r="F126" s="45" t="str">
        <x:v>Needs Gold data</x:v>
      </x:c>
      <x:c r="G126" s="46" t="str">
        <x:v>No active Gold fact/dimension exists at the required analysis grain.</x:v>
      </x:c>
      <x:c r="H126"/>
    </x:row>
    <x:row r="127" ht="39.599998474121094" hidden="0" customHeight="1">
      <x:c r="A127"/>
      <x:c r="B127"/>
      <x:c r="C127"/>
      <x:c r="D127"/>
      <x:c r="E127"/>
      <x:c r="F127"/>
      <x:c r="G127"/>
      <x:c r="H127"/>
    </x:row>
    <x:row r="128" ht="39.599998474121094" hidden="0" customHeight="1">
      <x:c r="A128"/>
      <x:c r="B128"/>
      <x:c r="C128"/>
      <x:c r="D128"/>
      <x:c r="E128"/>
      <x:c r="F128"/>
      <x:c r="G128"/>
      <x:c r="H128"/>
    </x:row>
    <x:row r="129" ht="39.599998474121094" hidden="0" customHeight="1">
      <x:c r="A129"/>
      <x:c r="B129"/>
      <x:c r="C129"/>
      <x:c r="D129"/>
      <x:c r="E129"/>
      <x:c r="F129"/>
      <x:c r="G129"/>
      <x:c r="H129"/>
    </x:row>
    <x:row r="130" ht="39.599998474121094" hidden="0" customHeight="1">
      <x:c r="A130"/>
      <x:c r="B130"/>
      <x:c r="C130"/>
      <x:c r="D130"/>
      <x:c r="E130"/>
      <x:c r="F130"/>
      <x:c r="G130"/>
      <x:c r="H130"/>
    </x:row>
    <x:row r="131" ht="39.599998474121094" hidden="0" customHeight="1">
      <x:c r="A131"/>
      <x:c r="B131"/>
      <x:c r="C131"/>
      <x:c r="D131"/>
      <x:c r="E131"/>
      <x:c r="F131"/>
      <x:c r="G131"/>
      <x:c r="H131"/>
    </x:row>
    <x:row r="132" ht="39.599998474121094" hidden="0" customHeight="1">
      <x:c r="A132"/>
      <x:c r="B132"/>
      <x:c r="C132"/>
      <x:c r="D132"/>
      <x:c r="E132"/>
      <x:c r="F132"/>
      <x:c r="G132"/>
      <x:c r="H132"/>
    </x:row>
    <x:row r="133" ht="39.599998474121094" hidden="0" customHeight="1">
      <x:c r="A133"/>
      <x:c r="B133"/>
      <x:c r="C133"/>
      <x:c r="D133"/>
      <x:c r="E133"/>
      <x:c r="F133"/>
      <x:c r="G133"/>
      <x:c r="H133"/>
    </x:row>
    <x:row r="134" ht="39.599998474121094" hidden="0" customHeight="1">
      <x:c r="A134"/>
      <x:c r="B134"/>
      <x:c r="C134"/>
      <x:c r="D134"/>
      <x:c r="E134"/>
      <x:c r="F134"/>
      <x:c r="G134"/>
      <x:c r="H134"/>
    </x:row>
    <x:row r="135" ht="39.599998474121094" hidden="0" customHeight="1">
      <x:c r="A135"/>
      <x:c r="B135"/>
      <x:c r="C135"/>
      <x:c r="D135"/>
      <x:c r="E135"/>
      <x:c r="F135"/>
      <x:c r="G135"/>
      <x:c r="H135"/>
    </x:row>
    <x:row r="136" ht="39.599998474121094" hidden="0" customHeight="1">
      <x:c r="A136"/>
      <x:c r="B136"/>
      <x:c r="C136"/>
      <x:c r="D136"/>
      <x:c r="E136"/>
      <x:c r="F136"/>
      <x:c r="G136"/>
      <x:c r="H136"/>
    </x:row>
    <x:row r="137" ht="39.599998474121094" hidden="0" customHeight="1">
      <x:c r="A137"/>
      <x:c r="B137"/>
      <x:c r="C137"/>
      <x:c r="D137"/>
      <x:c r="E137"/>
      <x:c r="F137"/>
      <x:c r="G137"/>
      <x:c r="H137"/>
    </x:row>
    <x:row r="138" ht="39.599998474121094" hidden="0" customHeight="1">
      <x:c r="A138"/>
      <x:c r="B138"/>
      <x:c r="C138"/>
      <x:c r="D138"/>
      <x:c r="E138"/>
      <x:c r="F138"/>
      <x:c r="G138"/>
      <x:c r="H138"/>
    </x:row>
    <x:row r="139" ht="39.599998474121094" hidden="0" customHeight="1">
      <x:c r="A139"/>
      <x:c r="B139"/>
      <x:c r="C139"/>
      <x:c r="D139"/>
      <x:c r="E139"/>
      <x:c r="F139"/>
      <x:c r="G139"/>
      <x:c r="H139"/>
    </x:row>
    <x:row r="140" ht="39.599998474121094" hidden="0" customHeight="1">
      <x:c r="A140"/>
      <x:c r="B140"/>
      <x:c r="C140"/>
      <x:c r="D140"/>
      <x:c r="E140"/>
      <x:c r="F140"/>
      <x:c r="G140"/>
      <x:c r="H140"/>
    </x:row>
    <x:row r="141" ht="39.599998474121094" hidden="0" customHeight="1">
      <x:c r="A141"/>
      <x:c r="B141"/>
      <x:c r="C141"/>
      <x:c r="D141"/>
      <x:c r="E141"/>
      <x:c r="F141"/>
      <x:c r="G141"/>
      <x:c r="H141"/>
    </x:row>
    <x:row r="142" ht="39.599998474121094" hidden="0" customHeight="1">
      <x:c r="A142"/>
      <x:c r="B142"/>
      <x:c r="C142"/>
      <x:c r="D142"/>
      <x:c r="E142"/>
      <x:c r="F142"/>
      <x:c r="G142"/>
      <x:c r="H142"/>
    </x:row>
    <x:row r="143" ht="39.599998474121094" hidden="0" customHeight="1">
      <x:c r="A143"/>
      <x:c r="B143"/>
      <x:c r="C143"/>
      <x:c r="D143"/>
      <x:c r="E143"/>
      <x:c r="F143"/>
      <x:c r="G143"/>
      <x:c r="H143"/>
    </x:row>
    <x:row r="144" ht="39.599998474121094" hidden="0" customHeight="1">
      <x:c r="A144"/>
      <x:c r="B144"/>
      <x:c r="C144"/>
      <x:c r="D144"/>
      <x:c r="E144"/>
      <x:c r="F144"/>
      <x:c r="G144"/>
      <x:c r="H144"/>
    </x:row>
    <x:row r="145" ht="39.599998474121094" hidden="0" customHeight="1">
      <x:c r="A145"/>
      <x:c r="B145"/>
      <x:c r="C145"/>
      <x:c r="D145"/>
      <x:c r="E145"/>
      <x:c r="F145"/>
      <x:c r="G145"/>
      <x:c r="H145"/>
    </x:row>
    <x:row r="146" ht="39.599998474121094" hidden="0" customHeight="1">
      <x:c r="A146"/>
      <x:c r="B146"/>
      <x:c r="C146"/>
      <x:c r="D146"/>
      <x:c r="E146"/>
      <x:c r="F146"/>
      <x:c r="G146"/>
      <x:c r="H146"/>
    </x:row>
    <x:row r="147" ht="39.599998474121094" hidden="0" customHeight="1">
      <x:c r="A147"/>
      <x:c r="B147"/>
      <x:c r="C147"/>
      <x:c r="D147"/>
      <x:c r="E147"/>
      <x:c r="F147"/>
      <x:c r="G147"/>
      <x:c r="H147"/>
    </x:row>
    <x:row r="148" ht="39.599998474121094" hidden="0" customHeight="1">
      <x:c r="A148"/>
      <x:c r="B148"/>
      <x:c r="C148"/>
      <x:c r="D148"/>
      <x:c r="E148"/>
      <x:c r="F148"/>
      <x:c r="G148"/>
      <x:c r="H148"/>
    </x:row>
    <x:row r="149" ht="39.599998474121094" hidden="0" customHeight="1">
      <x:c r="A149"/>
      <x:c r="B149"/>
      <x:c r="C149"/>
      <x:c r="D149"/>
      <x:c r="E149"/>
      <x:c r="F149"/>
      <x:c r="G149"/>
      <x:c r="H149"/>
    </x:row>
    <x:row r="150" ht="39.599998474121094" hidden="0" customHeight="1">
      <x:c r="A150"/>
      <x:c r="B150"/>
      <x:c r="C150"/>
      <x:c r="D150"/>
      <x:c r="E150"/>
      <x:c r="F150"/>
      <x:c r="G150"/>
      <x:c r="H150"/>
    </x:row>
    <x:row r="151" ht="39.599998474121094" hidden="0" customHeight="1">
      <x:c r="A151"/>
      <x:c r="B151"/>
      <x:c r="C151"/>
      <x:c r="D151"/>
      <x:c r="E151"/>
      <x:c r="F151"/>
      <x:c r="G151"/>
      <x:c r="H151"/>
    </x:row>
    <x:row r="152" ht="39.599998474121094" hidden="0" customHeight="1">
      <x:c r="A152"/>
      <x:c r="B152"/>
      <x:c r="C152"/>
      <x:c r="D152"/>
      <x:c r="E152"/>
      <x:c r="F152"/>
      <x:c r="G152"/>
      <x:c r="H152"/>
    </x:row>
    <x:row r="153" ht="39.599998474121094" hidden="0" customHeight="1">
      <x:c r="A153"/>
      <x:c r="B153"/>
      <x:c r="C153"/>
      <x:c r="D153"/>
      <x:c r="E153"/>
      <x:c r="F153"/>
      <x:c r="G153"/>
      <x:c r="H153"/>
    </x:row>
    <x:row r="154" ht="14.5" hidden="0" customHeight="1">
      <x:c r="A154"/>
      <x:c r="B154"/>
      <x:c r="C154"/>
      <x:c r="D154"/>
      <x:c r="E154"/>
      <x:c r="F154"/>
      <x:c r="G154"/>
      <x:c r="H154"/>
    </x:row>
    <x:row r="155" ht="14.5" hidden="0" customHeight="1">
      <x:c r="A155"/>
      <x:c r="B155"/>
      <x:c r="C155"/>
      <x:c r="D155"/>
      <x:c r="E155"/>
      <x:c r="F155"/>
      <x:c r="G155"/>
      <x:c r="H155"/>
    </x:row>
    <x:row r="156" ht="26.399999618530273" hidden="0" customHeight="1">
      <x:c r="A156"/>
      <x:c r="B156"/>
      <x:c r="C156"/>
      <x:c r="D156"/>
      <x:c r="E156"/>
      <x:c r="F156"/>
      <x:c r="G156"/>
      <x:c r="H156"/>
    </x:row>
    <x:row r="157" ht="14.5" hidden="0" customHeight="1">
      <x:c r="A157"/>
      <x:c r="B157"/>
      <x:c r="C157"/>
      <x:c r="D157"/>
      <x:c r="E157"/>
      <x:c r="F157"/>
      <x:c r="G157"/>
      <x:c r="H157"/>
    </x:row>
    <x:row r="158" ht="14.5" hidden="0" customHeight="1">
      <x:c r="A158"/>
      <x:c r="B158"/>
      <x:c r="C158"/>
      <x:c r="D158"/>
      <x:c r="E158"/>
      <x:c r="F158"/>
      <x:c r="G158"/>
      <x:c r="H158"/>
    </x:row>
    <x:row r="159" ht="14.5" hidden="0" customHeight="1">
      <x:c r="A159"/>
      <x:c r="B159"/>
      <x:c r="C159"/>
      <x:c r="D159"/>
      <x:c r="E159"/>
      <x:c r="F159"/>
      <x:c r="G159"/>
      <x:c r="H159"/>
    </x:row>
    <x:row r="160" ht="14.5" hidden="0" customHeight="1">
      <x:c r="A160"/>
      <x:c r="B160"/>
      <x:c r="C160"/>
      <x:c r="D160"/>
      <x:c r="E160"/>
      <x:c r="F160"/>
      <x:c r="G160"/>
      <x:c r="H160"/>
    </x:row>
    <x:row r="161" ht="14.5" hidden="0" customHeight="1">
      <x:c r="A161"/>
      <x:c r="B161"/>
      <x:c r="C161"/>
      <x:c r="D161"/>
      <x:c r="E161"/>
      <x:c r="F161"/>
      <x:c r="G161"/>
      <x:c r="H161"/>
    </x:row>
    <x:row r="162" ht="14.5" hidden="0" customHeight="1">
      <x:c r="A162"/>
      <x:c r="B162"/>
      <x:c r="C162"/>
      <x:c r="D162"/>
      <x:c r="E162"/>
      <x:c r="F162"/>
      <x:c r="G162"/>
      <x:c r="H162"/>
    </x:row>
    <x:row r="163" ht="14.5" hidden="0" customHeight="1">
      <x:c r="A163"/>
      <x:c r="B163"/>
      <x:c r="C163"/>
      <x:c r="D163"/>
      <x:c r="E163"/>
      <x:c r="F163"/>
      <x:c r="G163"/>
      <x:c r="H163"/>
    </x:row>
    <x:row r="164" ht="14.5" hidden="0" customHeight="1">
      <x:c r="A164"/>
      <x:c r="B164"/>
      <x:c r="C164"/>
      <x:c r="D164"/>
      <x:c r="E164"/>
      <x:c r="F164"/>
      <x:c r="G164"/>
      <x:c r="H164"/>
    </x:row>
    <x:row r="165" ht="14.5" hidden="0" customHeight="1">
      <x:c r="A165"/>
      <x:c r="B165"/>
      <x:c r="C165"/>
      <x:c r="D165"/>
      <x:c r="E165"/>
      <x:c r="F165"/>
      <x:c r="G165"/>
      <x:c r="H165"/>
    </x:row>
    <x:row r="166" ht="14.5" hidden="0" customHeight="1">
      <x:c r="A166"/>
      <x:c r="B166"/>
      <x:c r="C166"/>
      <x:c r="D166"/>
      <x:c r="E166"/>
      <x:c r="F166"/>
      <x:c r="G166"/>
      <x:c r="H166"/>
    </x:row>
    <x:row r="167" ht="14.5" hidden="0" customHeight="1">
      <x:c r="A167"/>
      <x:c r="B167"/>
      <x:c r="C167"/>
      <x:c r="D167"/>
      <x:c r="E167"/>
      <x:c r="F167"/>
      <x:c r="G167"/>
      <x:c r="H167"/>
    </x:row>
    <x:row r="168" ht="14.5" hidden="0" customHeight="1">
      <x:c r="A168"/>
      <x:c r="B168"/>
      <x:c r="C168"/>
      <x:c r="D168"/>
      <x:c r="E168"/>
      <x:c r="F168"/>
      <x:c r="G168"/>
      <x:c r="H168"/>
    </x:row>
    <x:row r="169" ht="14.5" hidden="0" customHeight="1">
      <x:c r="A169"/>
      <x:c r="B169"/>
      <x:c r="C169"/>
      <x:c r="D169"/>
      <x:c r="E169"/>
      <x:c r="F169"/>
      <x:c r="G169"/>
      <x:c r="H169"/>
    </x:row>
    <x:row r="170"/>
    <x:row r="171"/>
    <x:row r="172" ht="14.5" hidden="0" customHeight="1">
      <x:c r="A172"/>
    </x:row>
    <x:row r="173" ht="26.399999618530273" hidden="0" customHeight="1">
      <x:c r="A173"/>
      <x:c r="B173"/>
      <x:c r="C173"/>
      <x:c r="D173"/>
      <x:c r="E173"/>
      <x:c r="F173"/>
      <x:c r="G173"/>
    </x:row>
    <x:row r="174" ht="52.79999923706055" hidden="0" customHeight="1">
      <x:c r="A174"/>
      <x:c r="B174"/>
      <x:c r="C174"/>
      <x:c r="D174"/>
      <x:c r="E174"/>
      <x:c r="F174"/>
      <x:c r="G174"/>
    </x:row>
    <x:row r="175" ht="66" hidden="0" customHeight="1">
      <x:c r="A175"/>
      <x:c r="B175"/>
      <x:c r="C175"/>
      <x:c r="D175"/>
      <x:c r="E175"/>
      <x:c r="F175"/>
      <x:c r="G175"/>
    </x:row>
    <x:row r="176" ht="52.79999923706055" hidden="0" customHeight="1">
      <x:c r="A176"/>
      <x:c r="B176"/>
      <x:c r="C176"/>
      <x:c r="D176"/>
      <x:c r="E176"/>
      <x:c r="F176"/>
      <x:c r="G176"/>
    </x:row>
    <x:row r="177" ht="52.79999923706055" hidden="0" customHeight="1">
      <x:c r="A177"/>
      <x:c r="B177"/>
      <x:c r="C177"/>
      <x:c r="D177"/>
      <x:c r="E177"/>
      <x:c r="F177"/>
      <x:c r="G177"/>
    </x:row>
    <x:row r="178" ht="52.79999923706055" hidden="0" customHeight="1">
      <x:c r="A178"/>
      <x:c r="B178"/>
      <x:c r="C178"/>
      <x:c r="D178"/>
      <x:c r="E178"/>
      <x:c r="F178"/>
      <x:c r="G178"/>
    </x:row>
    <x:row r="179" ht="66" hidden="0" customHeight="1">
      <x:c r="A179"/>
      <x:c r="B179"/>
      <x:c r="C179"/>
      <x:c r="D179"/>
      <x:c r="E179"/>
      <x:c r="F179"/>
      <x:c r="G179"/>
    </x:row>
    <x:row r="180" ht="39.599998474121094" hidden="0" customHeight="1">
      <x:c r="A180"/>
      <x:c r="B180"/>
      <x:c r="C180"/>
      <x:c r="D180"/>
      <x:c r="E180"/>
      <x:c r="F180"/>
      <x:c r="G180"/>
    </x:row>
    <x:row r="181" ht="52.79999923706055" hidden="0" customHeight="1">
      <x:c r="A181"/>
      <x:c r="B181"/>
      <x:c r="C181"/>
      <x:c r="D181"/>
      <x:c r="E181"/>
      <x:c r="F181"/>
      <x:c r="G181"/>
    </x:row>
    <x:row r="182" ht="92.4000015258789" hidden="0" customHeight="1">
      <x:c r="A182"/>
      <x:c r="B182"/>
      <x:c r="C182"/>
      <x:c r="D182"/>
      <x:c r="E182"/>
      <x:c r="F182"/>
      <x:c r="G182"/>
    </x:row>
    <x:row r="183" ht="52.79999923706055" hidden="0" customHeight="1">
      <x:c r="A183"/>
      <x:c r="B183"/>
      <x:c r="C183"/>
      <x:c r="D183"/>
      <x:c r="E183"/>
      <x:c r="F183"/>
      <x:c r="G183"/>
    </x:row>
  </x:sheetData>
  <x:mergeCells>
    <x:mergeCell ref="A1:H1"/>
    <x:mergeCell ref="A2:H2"/>
    <x:mergeCell ref="A115:G115"/>
  </x:mergeCells>
  <x:conditionalFormatting sqref="G5:G92">
    <x:cfRule type="containsText" dxfId="0" priority="1" operator="containsText" text="Ready"/>
    <x:cfRule type="containsText" dxfId="1" priority="2" operator="containsText" text="Proxy"/>
    <x:cfRule type="containsText" dxfId="2" priority="3" operator="containsText" text="Needs Gold data"/>
  </x:conditionalFormatting>
  <x:conditionalFormatting sqref="F97:F106">
    <x:cfRule type="containsText" dxfId="3" priority="4" operator="containsText" text="Ready"/>
    <x:cfRule type="containsText" dxfId="4" priority="5" operator="containsText" text="Proxy"/>
    <x:cfRule type="containsText" dxfId="5" priority="6" operator="containsText" text="Needs Gold data"/>
  </x:conditionalFormatting>
  <x:conditionalFormatting sqref="G5:G169">
    <x:cfRule type="containsText" dxfId="9" priority="7" operator="containsText" text="Ready"/>
    <x:cfRule type="containsText" dxfId="10" priority="8" operator="containsText" text="Proxy"/>
    <x:cfRule type="containsText" dxfId="11" priority="9" operator="containsText" text="Needs Gold data"/>
  </x:conditionalFormatting>
  <x:conditionalFormatting sqref="F174:F183">
    <x:cfRule type="containsText" dxfId="12" priority="10" operator="containsText" text="Ready"/>
    <x:cfRule type="containsText" dxfId="13" priority="11" operator="containsText" text="Proxy"/>
    <x:cfRule type="containsText" dxfId="14" priority="12" operator="containsText" text="Needs Gold data"/>
  </x:conditionalFormatting>
  <x:conditionalFormatting sqref="G5:G112">
    <x:cfRule type="containsText" dxfId="27" priority="19" operator="containsText" text="Ready"/>
    <x:cfRule type="containsText" dxfId="28" priority="20" operator="containsText" text="Proxy"/>
    <x:cfRule type="containsText" dxfId="29" priority="21" operator="containsText" text="Needs Gold data"/>
  </x:conditionalFormatting>
  <x:conditionalFormatting sqref="F117:F126">
    <x:cfRule type="containsText" dxfId="30" priority="22" operator="containsText" text="Ready"/>
    <x:cfRule type="containsText" dxfId="31" priority="23" operator="containsText" text="Proxy"/>
    <x:cfRule type="containsText" dxfId="32" priority="24" operator="containsText" text="Needs Gold data"/>
  </x:conditionalFormatting>
  <x:pageMargins left="0.7" right="0.7" top="0.75" bottom="0.75" header="0.3" footer="0.3"/>
  <x:tableParts count="2">
    <x:tablePart xmlns:r="http://schemas.openxmlformats.org/officeDocument/2006/relationships" r:id="R127bfc275416499a"/>
    <x:tablePart xmlns:r="http://schemas.openxmlformats.org/officeDocument/2006/relationships" r:id="R8073f206ba004aa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34" hidden="0" customWidth="1"/>
    <x:col min="3" max="3" width="46" hidden="0" customWidth="1"/>
    <x:col min="4" max="4" width="54" hidden="0" customWidth="1"/>
    <x:col min="5" max="5" width="35" hidden="0" customWidth="1"/>
    <x:col min="6" max="6" width="45" hidden="0" customWidth="1"/>
    <x:col min="7" max="7" width="25" hidden="0" customWidth="1"/>
    <x:col min="8" max="8" width="64" hidden="0" customWidth="1"/>
    <x:col min="9" max="9" width="26" hidden="0" customWidth="1"/>
  </x:cols>
  <x:sheetData>
    <x:row r="1" ht="19.200000762939453" hidden="0" customHeight="1">
      <x:c r="A1" s="116" t="str">
        <x:v>Requirement source-file coverage and Gold promotion status</x:v>
      </x:c>
    </x:row>
    <x:row r="2" ht="34" hidden="0" customHeight="1">
      <x:c r="A2" s="139" t="str">
        <x:v>Published Power BI DAX may use only rows marked Yes. All other rows are source lineage or a Gold-promotion roadmap, not permitted KPI sources.</x:v>
      </x:c>
      <x:c r="B2" s="139"/>
      <x:c r="C2" s="139"/>
      <x:c r="D2" s="139"/>
      <x:c r="E2" s="139"/>
      <x:c r="F2" s="139"/>
      <x:c r="G2" s="139"/>
      <x:c r="H2" s="139"/>
      <x:c r="I2" s="139"/>
    </x:row>
    <x:row r="3"/>
    <x:row r="4" ht="15" hidden="0" customHeight="1">
      <x:c r="A4" s="126" t="str">
        <x:v>Requirement / capability</x:v>
      </x:c>
      <x:c r="B4" s="126" t="str">
        <x:v>Required source entity / extract</x:v>
      </x:c>
      <x:c r="C4" s="126" t="str">
        <x:v>Expected Bronze → Silver table</x:v>
      </x:c>
      <x:c r="D4" s="126" t="str">
        <x:v>Fields needed</x:v>
      </x:c>
      <x:c r="E4" s="126" t="str">
        <x:v>Source / Silver evidence</x:v>
      </x:c>
      <x:c r="F4" s="126" t="str">
        <x:v>Current Gold publication</x:v>
      </x:c>
      <x:c r="G4" s="126" t="str">
        <x:v>Gold coverage</x:v>
      </x:c>
      <x:c r="H4" s="126" t="str">
        <x:v>Action / conclusion</x:v>
      </x:c>
      <x:c r="I4" s="146" t="str">
        <x:v>KPI DAX eligibility</x:v>
      </x:c>
    </x:row>
    <x:row r="5" ht="26.399999618530273" hidden="0" customHeight="1">
      <x:c r="A5" s="38" t="str">
        <x:v>Referral core</x:v>
      </x:c>
      <x:c r="B5" s="39" t="str">
        <x:v>referral</x:v>
      </x:c>
      <x:c r="C5" s="39" t="str">
        <x:v>bronze.referral → silver.referral</x:v>
      </x:c>
      <x:c r="D5" s="39" t="str">
        <x:v>referral_id, referral_created_date, required_start_date, referral_status, referral_modified_date</x:v>
      </x:c>
      <x:c r="E5" s="39" t="str">
        <x:v>Contracted and used</x:v>
      </x:c>
      <x:c r="F5" s="39" t="str">
        <x:v>gold.fact_referral; gold.fact_referral_snapshot; dim_referral_status; dim_placement_type</x:v>
      </x:c>
      <x:c r="G5" s="39" t="str">
        <x:v>Published in Gold</x:v>
      </x:c>
      <x:c r="H5" s="40" t="str">
        <x:v>Core referral KPIs and snapshots are supported.</x:v>
      </x:c>
      <x:c r="I5" s="147" t="str">
        <x:v>Yes — Gold field</x:v>
      </x:c>
    </x:row>
    <x:row r="6" ht="26.399999618530273" hidden="0" customHeight="1">
      <x:c r="A6" s="41" t="str">
        <x:v>Referral-provider engagement</x:v>
      </x:c>
      <x:c r="B6" s="42" t="str">
        <x:v>referral_provider</x:v>
      </x:c>
      <x:c r="C6" s="42" t="str">
        <x:v>bronze.referral_provider → silver.referral_provider</x:v>
      </x:c>
      <x:c r="D6" s="42" t="str">
        <x:v>referral_provider_id, referral_id, provider_id, is_excluded, is_declined, is_cancelled, is_closed</x:v>
      </x:c>
      <x:c r="E6" s="42" t="str">
        <x:v>Contracted and used</x:v>
      </x:c>
      <x:c r="F6" s="42" t="str">
        <x:v>gold.fact_referral_provider</x:v>
      </x:c>
      <x:c r="G6" s="42" t="str">
        <x:v>Published in Gold</x:v>
      </x:c>
      <x:c r="H6" s="43" t="str">
        <x:v>Provider assignment and decline-rate measures are supported.</x:v>
      </x:c>
      <x:c r="I6" s="147" t="str">
        <x:v>Yes — Gold field</x:v>
      </x:c>
    </x:row>
    <x:row r="7" ht="26.399999618530273" hidden="0" customHeight="1">
      <x:c r="A7" s="41" t="str">
        <x:v>Provider offers</x:v>
      </x:c>
      <x:c r="B7" s="42" t="str">
        <x:v>offer</x:v>
      </x:c>
      <x:c r="C7" s="42" t="str">
        <x:v>bronze.offer → silver.offer</x:v>
      </x:c>
      <x:c r="D7" s="42" t="str">
        <x:v>offer_id, referral_provider_id, offer_status, offer_date, last_modified_date, fees, decline reasons</x:v>
      </x:c>
      <x:c r="E7" s="42" t="str">
        <x:v>Contracted and used</x:v>
      </x:c>
      <x:c r="F7" s="42" t="str">
        <x:v>gold.fact_offer</x:v>
      </x:c>
      <x:c r="G7" s="42" t="str">
        <x:v>Published in Gold</x:v>
      </x:c>
      <x:c r="H7" s="43" t="str">
        <x:v>Offer, decision, age, cost and rejection-reason measures are supported.</x:v>
      </x:c>
      <x:c r="I7" s="147" t="str">
        <x:v>Yes — Gold field</x:v>
      </x:c>
    </x:row>
    <x:row r="8" ht="26.399999618530273" hidden="0" customHeight="1">
      <x:c r="A8" s="41" t="str">
        <x:v>IPA core</x:v>
      </x:c>
      <x:c r="B8" s="42" t="str">
        <x:v>ipa</x:v>
      </x:c>
      <x:c r="C8" s="42" t="str">
        <x:v>bronze.ipa → silver.ipa</x:v>
      </x:c>
      <x:c r="D8" s="42" t="str">
        <x:v>ipa_id, referral_id, offer_id, created_datetime, placement_admission_date, costs_total_weekly_fee, status, closed</x:v>
      </x:c>
      <x:c r="E8" s="42" t="str">
        <x:v>Contracted and used</x:v>
      </x:c>
      <x:c r="F8" s="42" t="str">
        <x:v>gold.fct_ipa</x:v>
      </x:c>
      <x:c r="G8" s="42" t="str">
        <x:v>Published in Gold</x:v>
      </x:c>
      <x:c r="H8" s="43" t="str">
        <x:v>IPA volume, placement status and active weekly-cost measures are supported.</x:v>
      </x:c>
      <x:c r="I8" s="147" t="str">
        <x:v>Yes — Gold field</x:v>
      </x:c>
    </x:row>
    <x:row r="9" ht="26.399999618530273" hidden="0" customHeight="1">
      <x:c r="A9" s="41" t="str">
        <x:v>IPA signatures</x:v>
      </x:c>
      <x:c r="B9" s="42" t="str">
        <x:v>ipa</x:v>
      </x:c>
      <x:c r="C9" s="42" t="str">
        <x:v>bronze.ipa → silver.ipa</x:v>
      </x:c>
      <x:c r="D9" s="42" t="str">
        <x:v>signed_by_local_authority, signed_datetime_for_local_authority, signed_by_provider, signed_datetime_for_provider</x:v>
      </x:c>
      <x:c r="E9" s="42" t="str">
        <x:v>Contracted; not selected by the Gold IPA query</x:v>
      </x:c>
      <x:c r="F9" s="42" t="str">
        <x:v>fact_referral has ipa_2_signatures proxy only</x:v>
      </x:c>
      <x:c r="G9" s="42" t="str">
        <x:v>Silver available — not promoted</x:v>
      </x:c>
      <x:c r="H9" s="43" t="str">
        <x:v>No new source file is needed. Extend gold.fct_ipa with signature fields for true IPA-grain completion KPIs.</x:v>
      </x:c>
      <x:c r="I9" s="147" t="str">
        <x:v>No — promote IPA fields</x:v>
      </x:c>
    </x:row>
    <x:row r="10" ht="26.399999618530273" hidden="0" customHeight="1">
      <x:c r="A10" s="41" t="str">
        <x:v>IPA payment and invoice</x:v>
      </x:c>
      <x:c r="B10" s="42" t="str">
        <x:v>ipa</x:v>
      </x:c>
      <x:c r="C10" s="42" t="str">
        <x:v>bronze.ipa → silver.ipa</x:v>
      </x:c>
      <x:c r="D10" s="42" t="str">
        <x:v>payment_method, invoice fields, costs_total_weekly_fee</x:v>
      </x:c>
      <x:c r="E10" s="42" t="str">
        <x:v>Contracted; cost is selected, payment fields are not</x:v>
      </x:c>
      <x:c r="F10" s="42" t="str">
        <x:v>gold.fct_ipa[estimated_weekly_cost] only</x:v>
      </x:c>
      <x:c r="G10" s="42" t="str">
        <x:v>Partially promoted</x:v>
      </x:c>
      <x:c r="H10" s="43" t="str">
        <x:v>No new source file is needed. Add payment_method and approved finance fields only if payment reporting is in scope.</x:v>
      </x:c>
      <x:c r="I10" s="147" t="str">
        <x:v>No — promote payment fact</x:v>
      </x:c>
    </x:row>
    <x:row r="11" ht="26.399999618530273" hidden="0" customHeight="1">
      <x:c r="A11" s="41" t="str">
        <x:v>Child demographics</x:v>
      </x:c>
      <x:c r="B11" s="42" t="str">
        <x:v>referral_person</x:v>
      </x:c>
      <x:c r="C11" s="42" t="str">
        <x:v>bronze.referral_person → silver.referral_person</x:v>
      </x:c>
      <x:c r="D11" s="42" t="str">
        <x:v>person_id, referral_id, gender, ethnicity, age_value</x:v>
      </x:c>
      <x:c r="E11" s="42" t="str">
        <x:v>Contracted and used for child_id only</x:v>
      </x:c>
      <x:c r="F11" s="42" t="str">
        <x:v>gold.fact_referral[child_id] only</x:v>
      </x:c>
      <x:c r="G11" s="42" t="str">
        <x:v>Partially promoted</x:v>
      </x:c>
      <x:c r="H11" s="43" t="str">
        <x:v>No new source file is needed. Publish a child/referral-person fact or dimension with agreed safeguarding controls.</x:v>
      </x:c>
      <x:c r="I11" s="147" t="str">
        <x:v>No — promote child dimension</x:v>
      </x:c>
    </x:row>
    <x:row r="12" ht="26.399999618530273" hidden="0" customHeight="1">
      <x:c r="A12" s="41" t="str">
        <x:v>Child support needs</x:v>
      </x:c>
      <x:c r="B12" s="42" t="str">
        <x:v>referral_person_support_needs</x:v>
      </x:c>
      <x:c r="C12" s="42" t="str">
        <x:v>bronze.referral_person_support_needs → silver.referral_person_support_needs</x:v>
      </x:c>
      <x:c r="D12" s="42" t="str">
        <x:v>person_id, support_need</x:v>
      </x:c>
      <x:c r="E12" s="42" t="str">
        <x:v>Contracted; Silver formatter materialises it</x:v>
      </x:c>
      <x:c r="F12" s="42" t="str">
        <x:v>—</x:v>
      </x:c>
      <x:c r="G12" s="42" t="str">
        <x:v>Silver available — not promoted</x:v>
      </x:c>
      <x:c r="H12" s="43" t="str">
        <x:v>Build a Gold bridge at person/referral-support-need grain before adding support-needs KPIs.</x:v>
      </x:c>
      <x:c r="I12" s="147" t="str">
        <x:v>No — promote support-needs fact</x:v>
      </x:c>
    </x:row>
    <x:row r="13" ht="26.399999618530273" hidden="0" customHeight="1">
      <x:c r="A13" s="41" t="str">
        <x:v>Referral categories</x:v>
      </x:c>
      <x:c r="B13" s="42" t="str">
        <x:v>referral_category + framework_category</x:v>
      </x:c>
      <x:c r="C13" s="42" t="str">
        <x:v>bronze.referral_category → silver.referral_category; silver.framework_category</x:v>
      </x:c>
      <x:c r="D13" s="42" t="str">
        <x:v>referral_id, framework_category_id, category_name</x:v>
      </x:c>
      <x:c r="E13" s="42" t="str">
        <x:v>Contracted; framework category is already modelled</x:v>
      </x:c>
      <x:c r="F13" s="42" t="str">
        <x:v>gold.dim_framework_category only</x:v>
      </x:c>
      <x:c r="G13" s="42" t="str">
        <x:v>Partially promoted</x:v>
      </x:c>
      <x:c r="H13" s="43" t="str">
        <x:v>The referral-category assignment fact is not in Gold. Add a referral-category bridge/fact for category analysis and change history.</x:v>
      </x:c>
      <x:c r="I13" s="147" t="str">
        <x:v>No — promote referral category</x:v>
      </x:c>
    </x:row>
    <x:row r="14" ht="26.399999618530273" hidden="0" customHeight="1">
      <x:c r="A14" s="41" t="str">
        <x:v>Provider messages</x:v>
      </x:c>
      <x:c r="B14" s="42" t="str">
        <x:v>referral_provider_message</x:v>
      </x:c>
      <x:c r="C14" s="42" t="str">
        <x:v>bronze.referral_provider_message → silver.referral_provider_message</x:v>
      </x:c>
      <x:c r="D14" s="42" t="str">
        <x:v>message_id, referral_provider_id, created_timestamp, message_read_timestamp</x:v>
      </x:c>
      <x:c r="E14" s="42" t="str">
        <x:v>Contracted; conditionally used by Silver lifecycle roll-up</x:v>
      </x:c>
      <x:c r="F14" s="42" t="str">
        <x:v>gold.fact_referral_lifecycle_event (ProviderMessageSent event only)</x:v>
      </x:c>
      <x:c r="G14" s="42" t="str">
        <x:v>Partially promoted</x:v>
      </x:c>
      <x:c r="H14" s="43" t="str">
        <x:v>Message volume can be proxied by lifecycle events; response-time, unread and message-content analysis need a Gold message fact.</x:v>
      </x:c>
      <x:c r="I14" s="147" t="str">
        <x:v>Yes — Gold lifecycle proxy</x:v>
      </x:c>
    </x:row>
    <x:row r="15" ht="26.399999618530273" hidden="0" customHeight="1">
      <x:c r="A15" s="41" t="str">
        <x:v>Message read status</x:v>
      </x:c>
      <x:c r="B15" s="42" t="str">
        <x:v>referral_provider_message_status</x:v>
      </x:c>
      <x:c r="C15" s="42" t="str">
        <x:v>bronze.referral_provider_message_status → silver.referral_provider_message_status</x:v>
      </x:c>
      <x:c r="D15" s="42" t="str">
        <x:v>message_id, message_read_by, message_read_timestamp</x:v>
      </x:c>
      <x:c r="E15" s="42" t="str">
        <x:v>Source-capture mapping exists; validate contract/extract availability</x:v>
      </x:c>
      <x:c r="F15" s="42" t="str">
        <x:v>—</x:v>
      </x:c>
      <x:c r="G15" s="42" t="str">
        <x:v>Needs contract validation</x:v>
      </x:c>
      <x:c r="H15" s="43" t="str">
        <x:v>Needed for unread/priority-message KPIs. Add to schema contract and Gold only after extract evidence is confirmed.</x:v>
      </x:c>
      <x:c r="I15" s="147" t="str">
        <x:v>No — promote message-status fact</x:v>
      </x:c>
    </x:row>
    <x:row r="16" ht="26.399999618530273" hidden="0" customHeight="1">
      <x:c r="A16" s="41" t="str">
        <x:v>Decline reasons</x:v>
      </x:c>
      <x:c r="B16" s="42" t="str">
        <x:v>referral_provider_decline_reason</x:v>
      </x:c>
      <x:c r="C16" s="42" t="str">
        <x:v>bronze.referral_provider_decline_reason → silver.referral_provider_decline_reason</x:v>
      </x:c>
      <x:c r="D16" s="42" t="str">
        <x:v>decline_reason_id, referral_provider_id, decline_reason, created_date</x:v>
      </x:c>
      <x:c r="E16" s="42" t="str">
        <x:v>Contracted; source FK retained</x:v>
      </x:c>
      <x:c r="F16" s="42" t="str">
        <x:v>fact_offer[rejection_reason] is offer-level only</x:v>
      </x:c>
      <x:c r="G16" s="42" t="str">
        <x:v>Silver available — not promoted</x:v>
      </x:c>
      <x:c r="H16" s="43" t="str">
        <x:v>No new source file is needed. Build a Gold decline-reason fact joined through referral_provider for referral-level analysis.</x:v>
      </x:c>
      <x:c r="I16" s="147" t="str">
        <x:v>No — promote decline-reason field</x:v>
      </x:c>
    </x:row>
    <x:row r="17" ht="26.399999618530273" hidden="0" customHeight="1">
      <x:c r="A17" s="41" t="str">
        <x:v>Provider documents</x:v>
      </x:c>
      <x:c r="B17" s="42" t="str">
        <x:v>provider_submission_docs</x:v>
      </x:c>
      <x:c r="C17" s="42" t="str">
        <x:v>bronze.provider_submission_docs → silver.provider_submission_docs</x:v>
      </x:c>
      <x:c r="D17" s="42" t="str">
        <x:v>document_id, home_id, document_type, expiry_date, next_review_date</x:v>
      </x:c>
      <x:c r="E17" s="42" t="str">
        <x:v>Contracted and used</x:v>
      </x:c>
      <x:c r="F17" s="42" t="str">
        <x:v>gold.dim_provider_submission_document</x:v>
      </x:c>
      <x:c r="G17" s="42" t="str">
        <x:v>Published in Gold</x:v>
      </x:c>
      <x:c r="H17" s="43" t="str">
        <x:v>Expiry and expired-document measures are supported.</x:v>
      </x:c>
      <x:c r="I17" s="147" t="str">
        <x:v>Yes — Gold field</x:v>
      </x:c>
    </x:row>
    <x:row r="18" ht="26.399999618530273" hidden="0" customHeight="1">
      <x:c r="A18" s="41" t="str">
        <x:v>Document compliance / blocking</x:v>
      </x:c>
      <x:c r="B18" s="42" t="str">
        <x:v>Required-document policy and provider exclusion outcome</x:v>
      </x:c>
      <x:c r="C18" s="42" t="str">
        <x:v>No confirmed source entity in the active contract</x:v>
      </x:c>
      <x:c r="D18" s="42" t="str">
        <x:v>Expected document set, compliance result, blocked/excluded decision</x:v>
      </x:c>
      <x:c r="E18" s="42" t="str">
        <x:v>Not supplied</x:v>
      </x:c>
      <x:c r="F18" s="42" t="str">
        <x:v>—</x:v>
      </x:c>
      <x:c r="G18" s="42" t="str">
        <x:v>New source required</x:v>
      </x:c>
      <x:c r="H18" s="43" t="str">
        <x:v>Document dates alone cannot prove compliance or provider blocking; obtain the policy/decision data first.</x:v>
      </x:c>
      <x:c r="I18" s="147" t="str">
        <x:v>No — new policy/outcome source</x:v>
      </x:c>
    </x:row>
    <x:row r="19" ht="15" hidden="0" customHeight="1">
      <x:c r="A19" s="41" t="str">
        <x:v>Out-of-region</x:v>
      </x:c>
      <x:c r="B19" s="42" t="str">
        <x:v>Referral region or out-of-region flag</x:v>
      </x:c>
      <x:c r="C19" s="42" t="str">
        <x:v>No referral-level field in active schema_definition.csv</x:v>
      </x:c>
      <x:c r="D19" s="42" t="str">
        <x:v>referral region, placement region or approved out-of-region flag</x:v>
      </x:c>
      <x:c r="E19" s="42" t="str">
        <x:v>Not supplied</x:v>
      </x:c>
      <x:c r="F19" s="42" t="str">
        <x:v>—</x:v>
      </x:c>
      <x:c r="G19" s="42" t="str">
        <x:v>New source required</x:v>
      </x:c>
      <x:c r="H19" s="43" t="str">
        <x:v>Provider county/country must not be used as a proxy for referral geography.</x:v>
      </x:c>
      <x:c r="I19" s="147" t="str">
        <x:v>No — new referral geography source</x:v>
      </x:c>
    </x:row>
    <x:row r="20" ht="26.399999618530273" hidden="0" customHeight="1">
      <x:c r="A20" s="44" t="str">
        <x:v>Framework change history</x:v>
      </x:c>
      <x:c r="B20" s="45" t="str">
        <x:v>referral_category_aud (candidate)</x:v>
      </x:c>
      <x:c r="C20" s="45" t="str">
        <x:v>bronze.referral_category_aud → silver.referral_category_aud</x:v>
      </x:c>
      <x:c r="D20" s="45" t="str">
        <x:v>referral_id, framework_category_id, audit/change timestamp</x:v>
      </x:c>
      <x:c r="E20" s="45" t="str">
        <x:v>Capture mapping exists; validate current extract and contract</x:v>
      </x:c>
      <x:c r="F20" s="45" t="str">
        <x:v>—</x:v>
      </x:c>
      <x:c r="G20" s="45" t="str">
        <x:v>Needs contract validation</x:v>
      </x:c>
      <x:c r="H20" s="46" t="str">
        <x:v>Promote a category-history fact only after the audit table and change timestamp are confirmed.</x:v>
      </x:c>
      <x:c r="I20" s="147" t="str">
        <x:v>No — validate then promote audit fact</x:v>
      </x:c>
    </x:row>
    <x:row r="21"/>
    <x:row r="22"/>
    <x:row r="23" ht="15" hidden="0" customHeight="1">
      <x:c r="A23" s="128" t="str">
        <x:v>How to interpret Gold coverage</x:v>
      </x:c>
    </x:row>
    <x:row r="24" ht="26.399999618530273" hidden="0" customHeight="1">
      <x:c r="A24" s="130" t="str">
        <x:v>Published in Gold</x:v>
      </x:c>
      <x:c r="B24" s="29" t="str">
        <x:v>The source entity/fields are actively used in a current Gold fact, dimension or bridge.</x:v>
      </x:c>
      <x:c r="C24" s="30"/>
      <x:c r="D24" s="30"/>
      <x:c r="E24" s="30"/>
      <x:c r="F24" s="30"/>
      <x:c r="G24" s="30"/>
      <x:c r="H24" s="31"/>
    </x:row>
    <x:row r="25" ht="39.599998474121094" hidden="0" customHeight="1">
      <x:c r="A25" s="131" t="str">
        <x:v>Partially promoted</x:v>
      </x:c>
      <x:c r="B25" s="32" t="str">
        <x:v>Some relevant fields are in Gold, but the fields/grain required for the full requirement are not.</x:v>
      </x:c>
      <x:c r="C25" s="33"/>
      <x:c r="D25" s="33"/>
      <x:c r="E25" s="33"/>
      <x:c r="F25" s="33"/>
      <x:c r="G25" s="33"/>
      <x:c r="H25" s="34"/>
    </x:row>
    <x:row r="26" ht="39.599998474121094" hidden="0" customHeight="1">
      <x:c r="A26" s="131" t="str">
        <x:v>Silver available — not promoted</x:v>
      </x:c>
      <x:c r="B26" s="32" t="str">
        <x:v>The source is contracted and expected in Silver; the Gold table/fact still needs to be created or extended.</x:v>
      </x:c>
      <x:c r="C26" s="33"/>
      <x:c r="D26" s="33"/>
      <x:c r="E26" s="33"/>
      <x:c r="F26" s="33"/>
      <x:c r="G26" s="33"/>
      <x:c r="H26" s="34"/>
    </x:row>
    <x:row r="27" ht="39.599998474121094" hidden="0" customHeight="1">
      <x:c r="A27" s="131" t="str">
        <x:v>Needs contract validation</x:v>
      </x:c>
      <x:c r="B27" s="32" t="str">
        <x:v>A source capture mapping exists, but extract and contract evidence need validating before Gold is designed.</x:v>
      </x:c>
      <x:c r="C27" s="33"/>
      <x:c r="D27" s="33"/>
      <x:c r="E27" s="33"/>
      <x:c r="F27" s="33"/>
      <x:c r="G27" s="33"/>
      <x:c r="H27" s="34"/>
    </x:row>
    <x:row r="28" ht="39.599998474121094" hidden="0" customHeight="1">
      <x:c r="A28" s="132" t="str">
        <x:v>New source required</x:v>
      </x:c>
      <x:c r="B28" s="35" t="str">
        <x:v>No suitable field/entity exists in the active source contract; obtain or agree a new source first.</x:v>
      </x:c>
      <x:c r="C28" s="36"/>
      <x:c r="D28" s="36"/>
      <x:c r="E28" s="36"/>
      <x:c r="F28" s="36"/>
      <x:c r="G28" s="36"/>
      <x:c r="H28" s="37"/>
    </x:row>
  </x:sheetData>
  <x:mergeCells>
    <x:mergeCell ref="A1:H1"/>
    <x:mergeCell ref="A23:H23"/>
    <x:mergeCell ref="A2:I2"/>
  </x:mergeCells>
  <x:conditionalFormatting sqref="G5:G20">
    <x:cfRule type="containsText" dxfId="36" priority="1" operator="containsText" text="Published in Gold"/>
    <x:cfRule type="containsText" dxfId="37" priority="2" operator="containsText" text="Partially promoted"/>
    <x:cfRule type="containsText" dxfId="38" priority="3" operator="containsText" text="Silver available"/>
    <x:cfRule type="containsText" dxfId="39" priority="4" operator="containsText" text="Needs contract validation"/>
    <x:cfRule type="containsText" dxfId="40" priority="5" operator="containsText" text="New source required"/>
  </x:conditionalFormatting>
  <x:conditionalFormatting sqref="A24:A28">
    <x:cfRule type="containsText" dxfId="41" priority="6" operator="containsText" text="Published in Gold"/>
    <x:cfRule type="containsText" dxfId="42" priority="7" operator="containsText" text="Partially promoted"/>
    <x:cfRule type="containsText" dxfId="43" priority="8" operator="containsText" text="Silver available"/>
    <x:cfRule type="containsText" dxfId="44" priority="9" operator="containsText" text="Needs contract validation"/>
    <x:cfRule type="containsText" dxfId="45" priority="10" operator="containsText" text="New source required"/>
  </x:conditionalFormatting>
  <x:conditionalFormatting sqref="I5:I20">
    <x:cfRule type="beginsWith" dxfId="46" priority="11" operator="beginsWith" text="Yes"/>
    <x:cfRule type="beginsWith" dxfId="47" priority="12" operator="beginsWith" text="No"/>
  </x:conditionalFormatting>
  <x:pageMargins left="0.7" right="0.7" top="0.75" bottom="0.75" header="0.3" footer="0.3"/>
  <x:tableParts count="1">
    <x:tablePart xmlns:r="http://schemas.openxmlformats.org/officeDocument/2006/relationships" r:id="Rf2e9218317854eac"/>
  </x:tableParts>
</x:worksheet>
</file>