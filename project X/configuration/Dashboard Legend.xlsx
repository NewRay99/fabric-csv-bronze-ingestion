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a9fa5c031c4a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D" sheetId="1" r:id="R8ff6136f28d74a2f"/>
    <x:sheet xmlns:r="http://schemas.openxmlformats.org/officeDocument/2006/relationships" name="Table Definition" sheetId="2" r:id="R8d33c463ab454e0f"/>
    <x:sheet xmlns:r="http://schemas.openxmlformats.org/officeDocument/2006/relationships" name="KPI Definition" sheetId="4" r:id="R055c16c813d14fcb"/>
    <x:sheet xmlns:r="http://schemas.openxmlformats.org/officeDocument/2006/relationships" name="Gold Source Coverage" sheetId="5" r:id="R6abbe617105441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color theme="1"/>
      <x:name val="Aptos Narrow"/>
    </x:font>
    <x:font>
      <x:sz val="11"/>
      <x:color rgb="FF006100"/>
      <x:name val="Aptos Narrow"/>
    </x:font>
    <x:font>
      <x:sz val="11"/>
      <x:color rgb="FF9C0006"/>
      <x:name val="Aptos Narrow"/>
    </x:font>
    <x:font>
      <x:b/>
      <x:sz val="11"/>
      <x:color theme="1"/>
      <x:name val="Aptos Narrow"/>
    </x:font>
    <x:font>
      <x:b/>
      <x:sz val="16"/>
      <x:color rgb="FF1F2937"/>
      <x:name val="Aptos Narrow"/>
    </x:font>
    <x:font>
      <x:i/>
      <x:sz val="11"/>
      <x:color rgb="FF4B5563"/>
      <x:name val="Aptos Narrow"/>
    </x:font>
    <x:font>
      <x:b/>
      <x:sz val="11"/>
      <x:color rgb="FFFFFFFF"/>
      <x:name val="Aptos Narrow"/>
    </x:font>
    <x:font>
      <x:b/>
      <x:sz val="11"/>
      <x:color rgb="FF92400E"/>
      <x:name val="Aptos Narrow"/>
    </x:font>
    <x:font>
      <x:b/>
      <x:sz val="11"/>
      <x:color rgb="FF9A3412"/>
      <x:name val="Aptos Narrow"/>
    </x:font>
    <x:font>
      <x:i/>
      <x:sz val="11"/>
      <x:color rgb="FF374151"/>
      <x:name val="Aptos Narrow"/>
    </x:font>
  </x:fonts>
  <x:fills count="29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FF00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EF3C7"/>
      </x:patternFill>
    </x:fill>
    <x:fill>
      <x:patternFill patternType="solid">
        <x:fgColor rgb="FFFFEDD5"/>
      </x:patternFill>
    </x:fill>
    <x:fill>
      <x:patternFill patternType="solid">
        <x:fgColor rgb="FFF3F4F6"/>
      </x:patternFill>
    </x:fill>
    <x:fill>
      <x:patternFill patternType="solid">
        <x:fgColor rgb="FF1F4E78"/>
      </x:patternFill>
    </x:fill>
  </x:fills>
  <x:borders count="1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top style="thin">
        <x:color rgb="FFD1D5DB"/>
      </x:top>
    </x:border>
  </x:borders>
  <x:cellStyleXfs count="3">
    <x:xf numFmtId="0" fontId="0" fillId="0" borderId="0"/>
    <x:xf numFmtId="0" fontId="1" fillId="2" borderId="0" applyNumberFormat="0" applyBorder="0" applyAlignment="0" applyProtection="0"/>
    <x:xf numFmtId="0" fontId="2" fillId="3" borderId="0" applyNumberFormat="0" applyBorder="0" applyAlignment="0" applyProtection="0"/>
  </x:cellStyleXfs>
  <x:cellXfs count="156">
    <x:xf numFmtId="0" fontId="0" fillId="0" borderId="0" xfId="0"/>
    <x:xf numFmtId="1" fontId="0" fillId="0" borderId="0" xfId="0" applyNumberFormat="1"/>
    <x:xf numFmtId="0" fontId="3" fillId="0" borderId="0" xfId="0" applyFont="1"/>
    <x:xf numFmtId="0" fontId="1" fillId="2" borderId="0" xfId="1"/>
    <x:xf numFmtId="0" fontId="2" fillId="3" borderId="0" xfId="2"/>
    <x:xf numFmtId="0" fontId="3" fillId="4" borderId="0" xfId="0" applyFont="1" applyFill="1"/>
    <x:xf numFmtId="0" fontId="0" fillId="4" borderId="0" xfId="0" applyFill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horizont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6" fillId="8" borderId="1" xfId="0" applyNumberFormat="1" applyFont="1" applyFill="1" applyBorder="1" applyAlignment="1">
      <x:alignment horizontal="center" wrapText="1"/>
    </x:xf>
    <x:xf numFmtId="0" fontId="6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5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1" xfId="0" applyNumberFormat="1" applyFont="1" applyFill="1" applyBorder="1"/>
    <x:xf numFmtId="0" fontId="6" fillId="11" borderId="1" xfId="0" applyNumberFormat="1" applyFont="1" applyFill="1" applyBorder="1" applyAlignment="1">
      <x:alignment wrapText="1"/>
    </x:xf>
    <x:xf numFmtId="0" fontId="6" fillId="11" borderId="1" xfId="0" applyNumberFormat="1" applyFont="1" applyFill="1" applyBorder="1" applyAlignment="1">
      <x:alignment horizontal="center" wrapText="1"/>
    </x:xf>
    <x:xf numFmtId="0" fontId="6" fillId="11" borderId="1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6" fillId="12" borderId="0" xfId="0" applyNumberFormat="1" applyFont="1" applyFill="1" applyBorder="1"/>
    <x:xf numFmtId="0" fontId="6" fillId="12" borderId="1" xfId="0" applyNumberFormat="1" applyFont="1" applyFill="1" applyBorder="1"/>
    <x:xf numFmtId="0" fontId="6" fillId="12" borderId="1" xfId="0" applyNumberFormat="1" applyFont="1" applyFill="1" applyBorder="1" applyAlignment="1">
      <x:alignment wrapText="1"/>
    </x:xf>
    <x:xf numFmtId="0" fontId="6" fillId="12" borderId="1" xfId="0" applyNumberFormat="1" applyFont="1" applyFill="1" applyBorder="1" applyAlignment="1">
      <x:alignment horizontal="center" wrapText="1"/>
    </x:xf>
    <x:xf numFmtId="0" fontId="6" fillId="12" borderId="1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1" xfId="0" applyNumberFormat="1" applyFont="1" applyFill="1" applyBorder="1"/>
    <x:xf numFmtId="0" fontId="6" fillId="15" borderId="1" xfId="0" applyNumberFormat="1" applyFont="1" applyFill="1" applyBorder="1" applyAlignment="1">
      <x:alignment wrapText="1"/>
    </x:xf>
    <x:xf numFmtId="0" fontId="6" fillId="15" borderId="1" xfId="0" applyNumberFormat="1" applyFont="1" applyFill="1" applyBorder="1" applyAlignment="1">
      <x:alignment horizontal="center" wrapText="1"/>
    </x:xf>
    <x:xf numFmtId="0" fontId="6" fillId="15" borderId="1" xfId="0" applyNumberFormat="1" applyFont="1" applyFill="1" applyBorder="1" applyAlignment="1">
      <x:alignment horizontal="center" vertical="center" wrapText="1"/>
    </x:xf>
    <x:xf numFmtId="0" fontId="6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1" xfId="0" applyNumberFormat="1" applyFont="1" applyFill="1" applyBorder="1"/>
    <x:xf numFmtId="0" fontId="6" fillId="16" borderId="1" xfId="0" applyNumberFormat="1" applyFont="1" applyFill="1" applyBorder="1" applyAlignment="1">
      <x:alignment wrapText="1"/>
    </x:xf>
    <x:xf numFmtId="0" fontId="6" fillId="16" borderId="1" xfId="0" applyNumberFormat="1" applyFont="1" applyFill="1" applyBorder="1" applyAlignment="1">
      <x:alignment horizontal="center" wrapText="1"/>
    </x:xf>
    <x:xf numFmtId="0" fontId="6" fillId="16" borderId="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4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5" fillId="18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" xfId="0" applyNumberFormat="1" applyFont="1" applyFill="1" applyBorder="1"/>
    <x:xf numFmtId="0" fontId="6" fillId="19" borderId="1" xfId="0" applyNumberFormat="1" applyFont="1" applyFill="1" applyBorder="1" applyAlignment="1">
      <x:alignment wrapText="1"/>
    </x:xf>
    <x:xf numFmtId="0" fontId="6" fillId="19" borderId="1" xfId="0" applyNumberFormat="1" applyFont="1" applyFill="1" applyBorder="1" applyAlignment="1">
      <x:alignment horizontal="center" wrapText="1"/>
    </x:xf>
    <x:xf numFmtId="0" fontId="6" fillId="19" borderId="1" xfId="0" applyNumberFormat="1" applyFont="1" applyFill="1" applyBorder="1" applyAlignment="1">
      <x:alignment horizontal="center" vertical="center" wrapText="1"/>
    </x:xf>
    <x:xf numFmtId="0" fontId="6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6" fillId="20" borderId="0" xfId="0" applyNumberFormat="1" applyFont="1" applyFill="1" applyBorder="1"/>
    <x:xf numFmtId="0" fontId="6" fillId="20" borderId="1" xfId="0" applyNumberFormat="1" applyFont="1" applyFill="1" applyBorder="1"/>
    <x:xf numFmtId="0" fontId="6" fillId="20" borderId="1" xfId="0" applyNumberFormat="1" applyFont="1" applyFill="1" applyBorder="1" applyAlignment="1">
      <x:alignment wrapText="1"/>
    </x:xf>
    <x:xf numFmtId="0" fontId="6" fillId="20" borderId="1" xfId="0" applyNumberFormat="1" applyFont="1" applyFill="1" applyBorder="1" applyAlignment="1">
      <x:alignment horizontal="center" wrapText="1"/>
    </x:xf>
    <x:xf numFmtId="0" fontId="6" fillId="20" borderId="1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4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5" fillId="22" borderId="0" xfId="0" applyNumberFormat="1" applyFont="1" applyFill="1" applyBorder="1"/>
    <x:xf numFmtId="0" fontId="5" fillId="22" borderId="0" xfId="0" applyNumberFormat="1" applyFont="1" applyFill="1" applyBorder="1" applyAlignment="1">
      <x:alignment wrapText="1"/>
    </x:xf>
    <x:xf numFmtId="0" fontId="5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6" fillId="23" borderId="0" xfId="0" applyNumberFormat="1" applyFont="1" applyFill="1" applyBorder="1"/>
    <x:xf numFmtId="0" fontId="6" fillId="23" borderId="1" xfId="0" applyNumberFormat="1" applyFont="1" applyFill="1" applyBorder="1"/>
    <x:xf numFmtId="0" fontId="6" fillId="23" borderId="1" xfId="0" applyNumberFormat="1" applyFont="1" applyFill="1" applyBorder="1" applyAlignment="1">
      <x:alignment wrapText="1"/>
    </x:xf>
    <x:xf numFmtId="0" fontId="6" fillId="23" borderId="1" xfId="0" applyNumberFormat="1" applyFont="1" applyFill="1" applyBorder="1" applyAlignment="1">
      <x:alignment horizontal="center" wrapText="1"/>
    </x:xf>
    <x:xf numFmtId="0" fontId="6" fillId="23" borderId="1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6" fillId="24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12" xfId="0" applyNumberFormat="1" applyFont="1" applyFill="1" applyBorder="1"/>
    <x:xf numFmtId="0" fontId="0" fillId="25" borderId="0" xfId="0" applyNumberFormat="1" applyFont="1" applyFill="1" applyBorder="1"/>
    <x:xf numFmtId="0" fontId="7" fillId="25" borderId="0" xfId="0" applyNumberFormat="1" applyFont="1" applyFill="1" applyBorder="1"/>
    <x:xf numFmtId="0" fontId="0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top" wrapText="1"/>
    </x:xf>
    <x:xf numFmtId="0" fontId="5" fillId="27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9" fillId="27" borderId="0" xfId="0" applyNumberFormat="1" applyFont="1" applyFill="1" applyBorder="1" applyAlignment="1">
      <x:alignment vertical="center" wrapText="1"/>
    </x:xf>
    <x:xf numFmtId="0" fontId="9" fillId="27" borderId="0" xfId="0" applyNumberFormat="1" applyFont="1" applyFill="1" applyBorder="1"/>
    <x:xf numFmtId="0" fontId="9" fillId="2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 applyAlignment="1">
      <x:alignment wrapText="1"/>
    </x:xf>
    <x:xf numFmtId="0" fontId="6" fillId="28" borderId="0" xfId="0" applyNumberFormat="1" applyFont="1" applyFill="1" applyBorder="1" applyAlignment="1">
      <x:alignment wrapText="1"/>
    </x:xf>
    <x:xf numFmtId="0" fontId="6" fillId="28" borderId="0" xfId="0" applyNumberFormat="1" applyFont="1" applyFill="1" applyBorder="1" applyAlignment="1">
      <x:alignment horizontal="center" wrapText="1"/>
    </x:xf>
    <x:xf numFmtId="0" fontId="6" fillId="28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7" fillId="25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12" xfId="0" applyNumberFormat="1" applyFont="1" applyFill="1" applyBorder="1" applyAlignment="1">
      <x:alignment wrapText="1"/>
    </x:xf>
  </x:cellXfs>
  <x:cellStyles count="3">
    <x:cellStyle name="Bad" xfId="2"/>
    <x:cellStyle name="Good" xfId="1"/>
    <x:cellStyle name="Normal" xfId="0"/>
  </x:cellStyles>
  <x:dxfs count="48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F4D2E"/>
      </x:font>
      <x:fill>
        <x:patternFill>
          <x:bgColor rgb="FFE2F0D9"/>
        </x:patternFill>
      </x:fill>
    </x:dxf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f72650a08c459b" /><Relationship Type="http://schemas.openxmlformats.org/officeDocument/2006/relationships/theme" Target="/xl/theme/theme1.xml" Id="Rabc2f097ceb146ae" /><Relationship Type="http://schemas.openxmlformats.org/officeDocument/2006/relationships/sharedStrings" Target="/xl/sharedStrings.xml" Id="R285cb46206a841d3" /><Relationship Type="http://schemas.openxmlformats.org/officeDocument/2006/relationships/worksheet" Target="/xl/worksheets/sheet1.xml" Id="R8ff6136f28d74a2f" /><Relationship Type="http://schemas.openxmlformats.org/officeDocument/2006/relationships/worksheet" Target="/xl/worksheets/sheet2.xml" Id="R8d33c463ab454e0f" /><Relationship Type="http://schemas.openxmlformats.org/officeDocument/2006/relationships/worksheet" Target="/xl/worksheets/sheet3.xml" Id="R055c16c813d14fcb" /><Relationship Type="http://schemas.openxmlformats.org/officeDocument/2006/relationships/worksheet" Target="/xl/worksheets/sheet4.xml" Id="R6abbe61710544176" /></Relationships>
</file>

<file path=xl/tables/table1.xml><?xml version="1.0" encoding="utf-8"?>
<x:table xmlns:x="http://schemas.openxmlformats.org/spreadsheetml/2006/main" id="16" name="ActiveGoldObjects" displayName="ActiveGoldObjects" ref="A4:F62" headerRowCount="1" totalsRowCount="0" totalsRowShown="0">
  <x:tableColumns count="6">
    <x:tableColumn id="1" name="Model table"/>
    <x:tableColumn id="2" name="Object type"/>
    <x:tableColumn id="3" name="Grain / key"/>
    <x:tableColumn id="4" name="Source"/>
    <x:tableColumn id="5" name="Purpose / limitation"/>
    <x:tableColumn id="6" name="Definition fi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2" name="ActiveGoldKpiGaps" displayName="ActiveGoldKpiGaps" ref="A116:G126" headerRowCount="1" totalsRowCount="0" totalsRowShown="0">
  <x:tableColumns count="7">
    <x:tableColumn id="1" name="Gap ID"/>
    <x:tableColumn id="2" name="Business area"/>
    <x:tableColumn id="3" name="KPI / capability"/>
    <x:tableColumn id="4" name="Legacy KPI mapping"/>
    <x:tableColumn id="5" name="Requirement IDs"/>
    <x:tableColumn id="6" name="Status"/>
    <x:tableColumn id="7" name="Reason / next Gold-model chan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ActiveGoldKpis" displayName="ActiveGoldKpis" ref="A4:H113" headerRowCount="1" totalsRowCount="0" totalsRowShown="0">
  <x:tableColumns count="8">
    <x:tableColumn id="1" name="Gold KPI ID"/>
    <x:tableColumn id="2" name="Business area"/>
    <x:tableColumn id="3" name="DAX measure"/>
    <x:tableColumn id="4" name="Legacy KPI mapping"/>
    <x:tableColumn id="5" name="Requirement IDs"/>
    <x:tableColumn id="6" name="WIP source tables"/>
    <x:tableColumn id="7" name="Implementation status"/>
    <x:tableColumn id="8" name="Meaning / remaining 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5" name="WIPAdditionalKPIs" displayName="WIPAdditionalKPIs" ref="A130:H165" headerRowCount="1" totalsRowCount="0" totalsRowShown="0">
  <x:tableColumns count="8">
    <x:tableColumn id="1" name="Gold KPI ID"/>
    <x:tableColumn id="2" name="Business area"/>
    <x:tableColumn id="3" name="DAX measure"/>
    <x:tableColumn id="4" name="Catalogue change"/>
    <x:tableColumn id="5" name="Requirement IDs"/>
    <x:tableColumn id="6" name="WIP source tables"/>
    <x:tableColumn id="7" name="Implementation status"/>
    <x:tableColumn id="8" name="Business value / limi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3" name="GoldSourceCoverage" displayName="GoldSourceCoverage" ref="A4:H20" headerRowCount="1" totalsRowCount="0" totalsRowShown="0">
  <x:tableColumns count="8">
    <x:tableColumn id="1" name="Requirement / capability"/>
    <x:tableColumn id="2" name="Required source entity / extract"/>
    <x:tableColumn id="3" name="Expected Bronze → Silver table"/>
    <x:tableColumn id="4" name="Fields needed"/>
    <x:tableColumn id="5" name="Source / Silver evidence"/>
    <x:tableColumn id="6" name="Current Gold publication"/>
    <x:tableColumn id="7" name="Gold coverage"/>
    <x:tableColumn id="8" name="Action / conclu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4002d2d0f447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52d0675c4c34ce0" /><Relationship Type="http://schemas.openxmlformats.org/officeDocument/2006/relationships/table" Target="/xl/tables/table3.xml" Id="R64b96a0a2ab64e11" /><Relationship Type="http://schemas.openxmlformats.org/officeDocument/2006/relationships/table" Target="/xl/tables/table4.xml" Id="Rc44ea6f8c44d469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4567fb145c1d45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53125" style="1" customWidth="1"/>
    <x:col min="2" max="2" width="10.7265625" customWidth="1"/>
    <x:col min="3" max="3" width="65.54296875" customWidth="1"/>
    <x:col min="4" max="4" width="17.7265625" customWidth="1"/>
    <x:col min="5" max="5" width="16.54296875" customWidth="1"/>
    <x:col min="6" max="6" width="20.1796875" customWidth="1"/>
    <x:col min="7" max="7" width="29" hidden="0" customWidth="1"/>
    <x:col min="8" max="8" width="64" hidden="0" customWidth="1"/>
    <x:col min="9" max="9" width="64" hidden="0" customWidth="1"/>
    <x:col min="11" max="11" width="29" hidden="0" customWidth="1"/>
    <x:col min="12" max="12" width="29" hidden="0" customWidth="1"/>
    <x:col min="13" max="13" width="68" hidden="0" customWidth="1"/>
    <x:col min="14" max="14" width="68" hidden="0" customWidth="1"/>
    <x:col min="10" max="10" width="29" hidden="0" customWidth="1"/>
  </x:cols>
  <x:sheetData>
    <x:row r="1" ht="15" hidden="0" customHeight="1">
      <x:c r="A1" s="1" t="str">
        <x:v>Original ID</x:v>
      </x:c>
      <x:c r="B1" t="str">
        <x:v>Req ID</x:v>
      </x:c>
      <x:c r="C1" t="str">
        <x:v>Requirement</x:v>
      </x:c>
      <x:c r="D1" t="str">
        <x:v>Stakeholder</x:v>
      </x:c>
      <x:c r="E1" t="str">
        <x:v>Priority</x:v>
      </x:c>
      <x:c r="F1" t="str">
        <x:v>Legacy KPI references</x:v>
      </x:c>
      <x:c r="G1" s="142" t="str">
        <x:v>Current status</x:v>
      </x:c>
      <x:c r="H1" s="142" t="str">
        <x:v>Current gap / limit</x:v>
      </x:c>
      <x:c r="I1" s="142" t="str">
        <x:v>Next action</x:v>
      </x:c>
      <x:c r="J1" s="142" t="str">
        <x:v>Previous assessment</x:v>
      </x:c>
      <x:c r="K1" s="142" t="str">
        <x:v>Notes 30072026</x:v>
      </x:c>
      <x:c r="L1" s="19" t="str">
        <x:v>Reporting coverage</x:v>
      </x:c>
      <x:c r="M1" s="19" t="str">
        <x:v>Current WIP assets</x:v>
      </x:c>
      <x:c r="N1" s="19" t="str">
        <x:v>Evidence / assessment date</x:v>
      </x:c>
    </x:row>
    <x:row r="2" ht="26.399999618530273" hidden="0" customHeight="1">
      <x:c r="A2" s="1" t="n">
        <x:f t="shared" ref="A2:A65" si="0">VALUE(TRIM(SUBSTITUTE(B2,"R","",1)))</x:f>
        <x:v>1</x:v>
      </x:c>
      <x:c r="B2" t="str">
        <x:v>R1</x:v>
      </x:c>
      <x:c r="C2" t="str">
        <x:v>Place children with complex care needs</x:v>
      </x:c>
      <x:c r="D2" t="str">
        <x:v>Placement Officer</x:v>
      </x:c>
      <x:c r="E2" t="str">
        <x:v>High</x:v>
      </x:c>
      <x:c r="F2" t="str">
        <x:v>KPI-01, KPI-08</x:v>
      </x:c>
      <x:c r="G2" s="142" t="str">
        <x:v>Partial reporting</x:v>
      </x:c>
      <x:c r="H2" s="142" t="str">
        <x:v>The report exposes demand and assignments; it does not publish referrals or place children. Support-needs analysis is not in the WIP model.</x:v>
      </x:c>
      <x:c r="I2" s="142" t="str">
        <x:v>Validate explorer results and obtain portal-workflow evidence.</x:v>
      </x:c>
      <x:c r="J2" s="142" t="str">
        <x:v>✅ Implemented</x:v>
      </x:c>
      <x:c r="K2" s="142"/>
      <x:c r="L2" s="38" t="str">
        <x:v>Partial reporting</x:v>
      </x:c>
      <x:c r="M2" s="39" t="str">
        <x:v>Referral Explorer; Referral Detail; Matching referrals</x:v>
      </x:c>
      <x:c r="N2" s="39" t="str">
        <x:v>30 Sep 2026 WIP file review. The report exposes demand and assignments; it does not publish referrals or place children. Support-needs analysis is not in the WIP model.</x:v>
      </x:c>
    </x:row>
    <x:row r="3" ht="26.399999618530273" hidden="0" customHeight="1">
      <x:c r="A3" s="1" t="n">
        <x:f t="shared" si="0"/>
        <x:v>2</x:v>
      </x:c>
      <x:c r="B3" t="str">
        <x:v>R2</x:v>
      </x:c>
      <x:c r="C3" t="str">
        <x:v>Consider current incumbent solution</x:v>
      </x:c>
      <x:c r="D3" t="str">
        <x:v>All</x:v>
      </x:c>
      <x:c r="E3" t="str">
        <x:v>Low</x:v>
      </x:c>
      <x:c r="F3" t="str">
        <x:v>—</x:v>
      </x:c>
      <x:c r="G3" s="142" t="str">
        <x:v>Outside report assessment</x:v>
      </x:c>
      <x:c r="H3" s="142" t="str">
        <x:v>Architecture, procurement, API or data-entry requirement; a KPI cannot establish compliance.</x:v>
      </x:c>
      <x:c r="I3" s="142" t="str">
        <x:v>Retain source-system or project acceptance evidence.</x:v>
      </x:c>
      <x:c r="J3" s="142" t="str">
        <x:v>ℹ️ Non-functional</x:v>
      </x:c>
      <x:c r="K3" s="142"/>
      <x:c r="L3" s="41" t="str">
        <x:v>Not a report feature</x:v>
      </x:c>
      <x:c r="M3" s="42" t="str">
        <x:v>Functional Specification; HLD; Statement of Work</x:v>
      </x:c>
      <x:c r="N3" s="42" t="str">
        <x:v>30 Sep 2026 WIP file review. Architecture, procurement, API or data-entry requirement; a KPI cannot establish compliance.</x:v>
      </x:c>
    </x:row>
    <x:row r="4" ht="26.399999618530273" hidden="0" customHeight="1">
      <x:c r="A4" s="1" t="n">
        <x:f t="shared" si="0"/>
        <x:v>3</x:v>
      </x:c>
      <x:c r="B4" t="str">
        <x:v>R3</x:v>
      </x:c>
      <x:c r="C4" t="str">
        <x:v>Single regional platform (cross-boundary)</x:v>
      </x:c>
      <x:c r="D4" t="str">
        <x:v>All</x:v>
      </x:c>
      <x:c r="E4" t="str">
        <x:v>High</x:v>
      </x:c>
      <x:c r="F4" t="str">
        <x:v>—</x:v>
      </x:c>
      <x:c r="G4" s="142" t="str">
        <x:v>Outside report assessment</x:v>
      </x:c>
      <x:c r="H4" s="142" t="str">
        <x:v>Architecture, procurement, API or data-entry requirement; a KPI cannot establish compliance.</x:v>
      </x:c>
      <x:c r="I4" s="142" t="str">
        <x:v>Retain source-system or project acceptance evidence.</x:v>
      </x:c>
      <x:c r="J4" s="142" t="str">
        <x:v>ℹ️ Non-functional</x:v>
      </x:c>
      <x:c r="K4" s="142"/>
      <x:c r="L4" s="41" t="str">
        <x:v>Not a report feature</x:v>
      </x:c>
      <x:c r="M4" s="42" t="str">
        <x:v>Functional Specification; HLD; Statement of Work</x:v>
      </x:c>
      <x:c r="N4" s="42" t="str">
        <x:v>30 Sep 2026 WIP file review. Architecture, procurement, API or data-entry requirement; a KPI cannot establish compliance.</x:v>
      </x:c>
    </x:row>
    <x:row r="5" ht="26.399999618530273" hidden="0" customHeight="1">
      <x:c r="A5" s="1" t="n">
        <x:f t="shared" si="0"/>
        <x:v>4</x:v>
      </x:c>
      <x:c r="B5" t="str">
        <x:v>R4</x:v>
      </x:c>
      <x:c r="C5" t="str">
        <x:v>Open source suitability</x:v>
      </x:c>
      <x:c r="D5" t="str">
        <x:v>All</x:v>
      </x:c>
      <x:c r="E5" t="str">
        <x:v>Low</x:v>
      </x:c>
      <x:c r="F5" t="str">
        <x:v>—</x:v>
      </x:c>
      <x:c r="G5" s="142" t="str">
        <x:v>Outside report assessment</x:v>
      </x:c>
      <x:c r="H5" s="142" t="str">
        <x:v>Architecture, procurement, API or data-entry requirement; a KPI cannot establish compliance.</x:v>
      </x:c>
      <x:c r="I5" s="142" t="str">
        <x:v>Retain source-system or project acceptance evidence.</x:v>
      </x:c>
      <x:c r="J5" s="142" t="str">
        <x:v>ℹ️ Non-functional</x:v>
      </x:c>
      <x:c r="K5" s="142"/>
      <x:c r="L5" s="41" t="str">
        <x:v>Not a report feature</x:v>
      </x:c>
      <x:c r="M5" s="42" t="str">
        <x:v>Functional Specification; HLD; Statement of Work</x:v>
      </x:c>
      <x:c r="N5" s="42" t="str">
        <x:v>30 Sep 2026 WIP file review. Architecture, procurement, API or data-entry requirement; a KPI cannot establish compliance.</x:v>
      </x:c>
    </x:row>
    <x:row r="6" ht="26.399999618530273" hidden="0" customHeight="1">
      <x:c r="A6" s="1" t="n">
        <x:f t="shared" si="0"/>
        <x:v>5</x:v>
      </x:c>
      <x:c r="B6" t="str">
        <x:v>R5</x:v>
      </x:c>
      <x:c r="C6" t="str">
        <x:v>Agile / MVP / backlog</x:v>
      </x:c>
      <x:c r="D6" t="str">
        <x:v>All</x:v>
      </x:c>
      <x:c r="E6" t="str">
        <x:v>Low</x:v>
      </x:c>
      <x:c r="F6" t="str">
        <x:v>—</x:v>
      </x:c>
      <x:c r="G6" s="142" t="str">
        <x:v>Outside report assessment</x:v>
      </x:c>
      <x:c r="H6" s="142" t="str">
        <x:v>Architecture, procurement, API or data-entry requirement; a KPI cannot establish compliance.</x:v>
      </x:c>
      <x:c r="I6" s="142" t="str">
        <x:v>Retain source-system or project acceptance evidence.</x:v>
      </x:c>
      <x:c r="J6" s="142" t="str">
        <x:v>ℹ️ Non-functional</x:v>
      </x:c>
      <x:c r="K6" s="142"/>
      <x:c r="L6" s="41" t="str">
        <x:v>Not a report feature</x:v>
      </x:c>
      <x:c r="M6" s="42" t="str">
        <x:v>Functional Specification; HLD; Statement of Work</x:v>
      </x:c>
      <x:c r="N6" s="42" t="str">
        <x:v>30 Sep 2026 WIP file review. Architecture, procurement, API or data-entry requirement; a KPI cannot establish compliance.</x:v>
      </x:c>
    </x:row>
    <x:row r="7" ht="26.399999618530273" hidden="0" customHeight="1">
      <x:c r="A7" s="1" t="n">
        <x:f t="shared" si="0"/>
        <x:v>6</x:v>
      </x:c>
      <x:c r="B7" t="str">
        <x:v>R6</x:v>
      </x:c>
      <x:c r="C7" t="str">
        <x:v>COTS preferred over bespoke</x:v>
      </x:c>
      <x:c r="D7" t="str">
        <x:v>All</x:v>
      </x:c>
      <x:c r="E7" t="str">
        <x:v>Low</x:v>
      </x:c>
      <x:c r="F7" t="str">
        <x:v>—</x:v>
      </x:c>
      <x:c r="G7" s="142" t="str">
        <x:v>Outside report assessment</x:v>
      </x:c>
      <x:c r="H7" s="142" t="str">
        <x:v>Architecture, procurement, API or data-entry requirement; a KPI cannot establish compliance.</x:v>
      </x:c>
      <x:c r="I7" s="142" t="str">
        <x:v>Retain source-system or project acceptance evidence.</x:v>
      </x:c>
      <x:c r="J7" s="142" t="str">
        <x:v>ℹ️ Non-functional</x:v>
      </x:c>
      <x:c r="K7" s="142"/>
      <x:c r="L7" s="41" t="str">
        <x:v>Not a report feature</x:v>
      </x:c>
      <x:c r="M7" s="42" t="str">
        <x:v>Functional Specification; HLD; Statement of Work</x:v>
      </x:c>
      <x:c r="N7" s="42" t="str">
        <x:v>30 Sep 2026 WIP file review. Architecture, procurement, API or data-entry requirement; a KPI cannot establish compliance.</x:v>
      </x:c>
    </x:row>
    <x:row r="8" ht="26.399999618530273" hidden="0" customHeight="1">
      <x:c r="A8" s="1" t="n">
        <x:f t="shared" si="0"/>
        <x:v>7</x:v>
      </x:c>
      <x:c r="B8" t="str">
        <x:v>R7</x:v>
      </x:c>
      <x:c r="C8" t="str">
        <x:v>APIs across WM IT ecosystem</x:v>
      </x:c>
      <x:c r="D8" t="str">
        <x:v>All</x:v>
      </x:c>
      <x:c r="E8" t="str">
        <x:v>High</x:v>
      </x:c>
      <x:c r="F8" t="str">
        <x:v>—</x:v>
      </x:c>
      <x:c r="G8" s="142" t="str">
        <x:v>Outside report assessment</x:v>
      </x:c>
      <x:c r="H8" s="142" t="str">
        <x:v>Architecture, procurement, API or data-entry requirement; a KPI cannot establish compliance.</x:v>
      </x:c>
      <x:c r="I8" s="142" t="str">
        <x:v>Retain source-system or project acceptance evidence.</x:v>
      </x:c>
      <x:c r="J8" s="142" t="str">
        <x:v>ℹ️ Non-functional</x:v>
      </x:c>
      <x:c r="K8" s="142"/>
      <x:c r="L8" s="41" t="str">
        <x:v>Not a report feature</x:v>
      </x:c>
      <x:c r="M8" s="42" t="str">
        <x:v>Functional Specification; HLD; Statement of Work</x:v>
      </x:c>
      <x:c r="N8" s="42" t="str">
        <x:v>30 Sep 2026 WIP file review. Architecture, procurement, API or data-entry requirement; a KPI cannot establish compliance.</x:v>
      </x:c>
    </x:row>
    <x:row r="9" ht="26.399999618530273" hidden="0" customHeight="1">
      <x:c r="A9" s="1" t="n">
        <x:f t="shared" si="0"/>
        <x:v>8</x:v>
      </x:c>
      <x:c r="B9" t="str">
        <x:v>R8</x:v>
      </x:c>
      <x:c r="C9" t="str">
        <x:v>Open-source API compliance</x:v>
      </x:c>
      <x:c r="D9" t="str">
        <x:v>All</x:v>
      </x:c>
      <x:c r="E9" t="str">
        <x:v>Low</x:v>
      </x:c>
      <x:c r="F9" t="str">
        <x:v>—</x:v>
      </x:c>
      <x:c r="G9" s="142" t="str">
        <x:v>Outside report assessment</x:v>
      </x:c>
      <x:c r="H9" s="142" t="str">
        <x:v>Architecture, procurement, API or data-entry requirement; a KPI cannot establish compliance.</x:v>
      </x:c>
      <x:c r="I9" s="142" t="str">
        <x:v>Retain source-system or project acceptance evidence.</x:v>
      </x:c>
      <x:c r="J9" s="142" t="str">
        <x:v>ℹ️ Non-functional</x:v>
      </x:c>
      <x:c r="K9" s="142"/>
      <x:c r="L9" s="41" t="str">
        <x:v>Not a report feature</x:v>
      </x:c>
      <x:c r="M9" s="42" t="str">
        <x:v>Functional Specification; HLD; Statement of Work</x:v>
      </x:c>
      <x:c r="N9" s="42" t="str">
        <x:v>30 Sep 2026 WIP file review. Architecture, procurement, API or data-entry requirement; a KPI cannot establish compliance.</x:v>
      </x:c>
    </x:row>
    <x:row r="10" ht="26.399999618530273" hidden="0" customHeight="1">
      <x:c r="A10" s="1" t="n">
        <x:f t="shared" si="0"/>
        <x:v>9</x:v>
      </x:c>
      <x:c r="B10" t="str">
        <x:v>R9</x:v>
      </x:c>
      <x:c r="C10" t="str">
        <x:v>Form pre-population (referral, OFSTED, auth)</x:v>
      </x:c>
      <x:c r="D10" t="str">
        <x:v>Placement Officer</x:v>
      </x:c>
      <x:c r="E10" t="str">
        <x:v>Medium</x:v>
      </x:c>
      <x:c r="F10" t="str">
        <x:v>—</x:v>
      </x:c>
      <x:c r="G10" s="142" t="str">
        <x:v>Outside report assessment</x:v>
      </x:c>
      <x:c r="H10" s="142" t="str">
        <x:v>Architecture, procurement, API or data-entry requirement; a KPI cannot establish compliance.</x:v>
      </x:c>
      <x:c r="I10" s="142" t="str">
        <x:v>Retain source-system or project acceptance evidence.</x:v>
      </x:c>
      <x:c r="J10" s="142" t="str">
        <x:v>ℹ️ Feature</x:v>
      </x:c>
      <x:c r="K10" s="142"/>
      <x:c r="L10" s="41" t="str">
        <x:v>Not a report feature</x:v>
      </x:c>
      <x:c r="M10" s="42" t="str">
        <x:v>Functional Specification; HLD; Statement of Work</x:v>
      </x:c>
      <x:c r="N10" s="42" t="str">
        <x:v>30 Sep 2026 WIP file review. Architecture, procurement, API or data-entry requirement; a KPI cannot establish compliance.</x:v>
      </x:c>
    </x:row>
    <x:row r="11" ht="26.399999618530273" hidden="0" customHeight="1">
      <x:c r="A11" s="1" t="n">
        <x:f t="shared" si="0"/>
        <x:v>11</x:v>
      </x:c>
      <x:c r="B11" t="str">
        <x:v>R11</x:v>
      </x:c>
      <x:c r="C11" t="str">
        <x:v>Publish placement requirements to providers</x:v>
      </x:c>
      <x:c r="D11" t="str">
        <x:v>Placement Officer</x:v>
      </x:c>
      <x:c r="E11" t="str">
        <x:v>High</x:v>
      </x:c>
      <x:c r="F11" t="str">
        <x:v>KPI-01, KPI-08</x:v>
      </x:c>
      <x:c r="G11" s="142" t="str">
        <x:v>Partial reporting</x:v>
      </x:c>
      <x:c r="H11" s="142" t="str">
        <x:v>The report exposes demand and assignments; it does not publish referrals or place children. Support-needs analysis is not in the WIP model.</x:v>
      </x:c>
      <x:c r="I11" s="142" t="str">
        <x:v>Validate explorer results and obtain portal-workflow evidence.</x:v>
      </x:c>
      <x:c r="J11" s="142" t="str">
        <x:v>✅ Implemented</x:v>
      </x:c>
      <x:c r="K11" s="142"/>
      <x:c r="L11" s="41" t="str">
        <x:v>Partial reporting</x:v>
      </x:c>
      <x:c r="M11" s="42" t="str">
        <x:v>Referral Explorer; Referral Detail; Matching referrals</x:v>
      </x:c>
      <x:c r="N11" s="42" t="str">
        <x:v>30 Sep 2026 WIP file review. The report exposes demand and assignments; it does not publish referrals or place children. Support-needs analysis is not in the WIP model.</x:v>
      </x:c>
    </x:row>
    <x:row r="12" ht="26.399999618530273" hidden="0" customHeight="1">
      <x:c r="A12" s="1" t="n">
        <x:f t="shared" si="0"/>
        <x:v>12</x:v>
      </x:c>
      <x:c r="B12" t="str">
        <x:v>R12</x:v>
      </x:c>
      <x:c r="C12" t="str">
        <x:v>GDPR / DPA 2018 compliance for vulnerable-child data</x:v>
      </x:c>
      <x:c r="D12" t="str">
        <x:v>All</x:v>
      </x:c>
      <x:c r="E12" t="str">
        <x:v>High</x:v>
      </x:c>
      <x:c r="F12" t="str">
        <x:v>—</x:v>
      </x:c>
      <x:c r="G12" s="142" t="str">
        <x:v>Security acceptance pending</x:v>
      </x:c>
      <x:c r="H12" s="142" t="str">
        <x:v>Role definitions exist, but authorised identity tests, access provisioning, small-cell disclosure and break-glass controls are not signed off.</x:v>
      </x:c>
      <x:c r="I12" s="142" t="str">
        <x:v>Approve mappings and disclosure policy; execute role and Service-access tests.</x:v>
      </x:c>
      <x:c r="J12" s="142" t="str">
        <x:v>ℹ️ Security</x:v>
      </x:c>
      <x:c r="K12" s="142"/>
      <x:c r="L12" s="41" t="str">
        <x:v>Built security design</x:v>
      </x:c>
      <x:c r="M12" s="42" t="str">
        <x:v>WMPP Dynamic Detail RLS; security mappings; global summary</x:v>
      </x:c>
      <x:c r="N12" s="42" t="str">
        <x:v>30 Sep 2026 WIP file review. Role definitions exist, but authorised identity tests, access provisioning, small-cell disclosure and break-glass controls are not signed off.</x:v>
      </x:c>
    </x:row>
    <x:row r="13" ht="26.399999618530273" hidden="0" customHeight="1">
      <x:c r="A13" s="1" t="n">
        <x:f t="shared" si="0"/>
        <x:v>13</x:v>
      </x:c>
      <x:c r="B13" t="str">
        <x:v>R13</x:v>
      </x:c>
      <x:c r="C13" t="str">
        <x:v>Filter by specialisms, placement type, placement status</x:v>
      </x:c>
      <x:c r="D13" t="str">
        <x:v>Placement Officer</x:v>
      </x:c>
      <x:c r="E13" t="str">
        <x:v>Medium</x:v>
      </x:c>
      <x:c r="F13" t="str">
        <x:v>KPI-26, KPI-34</x:v>
      </x:c>
      <x:c r="G13" s="142" t="str">
        <x:v>Built; UAT pending</x:v>
      </x:c>
      <x:c r="H13" s="142" t="str">
        <x:v>Priority and placement urgency band both remain. Category counts are not additive.</x:v>
      </x:c>
      <x:c r="I13" s="142" t="str">
        <x:v>Confirm retained priority field and test combined slicers.</x:v>
      </x:c>
      <x:c r="J13" s="142" t="str">
        <x:v>✅ Implemented</x:v>
      </x:c>
      <x:c r="K13" s="142"/>
      <x:c r="L13" s="41" t="str">
        <x:v>Reporting built</x:v>
      </x:c>
      <x:c r="M13" s="42" t="str">
        <x:v>Referral Explorer; priority; placement urgency; category and status slicers</x:v>
      </x:c>
      <x:c r="N13" s="42" t="str">
        <x:v>30 Sep 2026 WIP file review. Priority and placement urgency band both remain. Category counts are not additive.</x:v>
      </x:c>
    </x:row>
    <x:row r="14" ht="26.399999618530273" hidden="0" customHeight="1">
      <x:c r="A14" s="1" t="n">
        <x:f t="shared" si="0"/>
        <x:v>14</x:v>
      </x:c>
      <x:c r="B14" t="str">
        <x:v>R14</x:v>
      </x:c>
      <x:c r="C14" t="str">
        <x:v>In-system messaging (auditable, prioritised, urgent)</x:v>
      </x:c>
      <x:c r="D14" t="str">
        <x:v>Placement Officer</x:v>
      </x:c>
      <x:c r="E14" s="2" t="str">
        <x:v>Medium-&gt;Low</x:v>
      </x:c>
      <x:c r="F14" t="str">
        <x:v>KPI-110, KPI-111, KPI-112</x:v>
      </x:c>
      <x:c r="G14" s="142" t="str">
        <x:v>Partial reporting</x:v>
      </x:c>
      <x:c r="H14" s="148" t="str">
        <x:v>Message text and read timestamps are available. Provider authorship, paired response time and unread-priority semantics remain unapproved.</x:v>
      </x:c>
      <x:c r="I14" s="142" t="str">
        <x:v>Approve author and unread rules before message SLA KPIs.</x:v>
      </x:c>
      <x:c r="J14" s="142" t="str">
        <x:v>❌ Missing</x:v>
      </x:c>
      <x:c r="K14" s="142" t="str">
        <x:v>data is available.</x:v>
      </x:c>
      <x:c r="L14" s="41" t="str">
        <x:v>Partial reporting</x:v>
      </x:c>
      <x:c r="M14" s="42" t="str">
        <x:v>dim_referral_provider_message; lifecycle activity; detail message tables</x:v>
      </x:c>
      <x:c r="N14" s="42" t="str">
        <x:v>30 Sep 2026 WIP file review. Message text and read timestamps are available. Provider authorship, paired response time and unread-priority semantics remain unapproved.</x:v>
      </x:c>
    </x:row>
    <x:row r="15" ht="26.399999618530273" hidden="0" customHeight="1">
      <x:c r="A15" s="1" t="n">
        <x:f t="shared" si="0"/>
        <x:v>15</x:v>
      </x:c>
      <x:c r="B15" t="str">
        <x:v>R15</x:v>
      </x:c>
      <x:c r="C15" t="str">
        <x:v>Digital info &amp; signatures for IPA</x:v>
      </x:c>
      <x:c r="D15" t="str">
        <x:v>Placement Officer</x:v>
      </x:c>
      <x:c r="E15" t="str">
        <x:v>High</x:v>
      </x:c>
      <x:c r="F15" t="str">
        <x:v>KPI-73, KPI-76, KPI-77</x:v>
      </x:c>
      <x:c r="G15" s="142" t="str">
        <x:v>Partial reporting</x:v>
      </x:c>
      <x:c r="H15" s="142" t="str">
        <x:v>IPA-grain signing is implemented; the report does not perform signing, approval or certify a full audit trail.</x:v>
      </x:c>
      <x:c r="I15" s="142" t="str">
        <x:v>Reconcile both signatures on the same IPA, closed unsigned IPAs and multiple IPAs per offer.</x:v>
      </x:c>
      <x:c r="J15" s="142" t="str">
        <x:v>✅ Implemented</x:v>
      </x:c>
      <x:c r="K15" s="142"/>
      <x:c r="L15" s="41" t="str">
        <x:v>Partial reporting</x:v>
      </x:c>
      <x:c r="M15" s="42" t="str">
        <x:v>fact_ipa; IPA Completed; IPAs Pending Completion; signature flags</x:v>
      </x:c>
      <x:c r="N15" s="42" t="str">
        <x:v>30 Sep 2026 WIP file review. IPA-grain signing is implemented; the report does not perform signing, approval or certify a full audit trail.</x:v>
      </x:c>
    </x:row>
    <x:row r="16" ht="26.399999618530273" hidden="0" customHeight="1">
      <x:c r="A16" s="1" t="n">
        <x:f t="shared" si="0"/>
        <x:v>16</x:v>
      </x:c>
      <x:c r="B16" t="str">
        <x:v>R16</x:v>
      </x:c>
      <x:c r="C16" t="str">
        <x:v>Priority information flagged in placement requests</x:v>
      </x:c>
      <x:c r="D16" t="str">
        <x:v>Placement Officer</x:v>
      </x:c>
      <x:c r="E16" t="str">
        <x:v>Medium</x:v>
      </x:c>
      <x:c r="F16" t="str">
        <x:v>—</x:v>
      </x:c>
      <x:c r="G16" s="142" t="str">
        <x:v>Built; UAT pending</x:v>
      </x:c>
      <x:c r="H16" s="142" t="str">
        <x:v>Priority and placement urgency band both remain. Category counts are not additive.</x:v>
      </x:c>
      <x:c r="I16" s="142" t="str">
        <x:v>Confirm retained priority field and test combined slicers.</x:v>
      </x:c>
      <x:c r="J16" s="142" t="str">
        <x:v>ℹ️ Feature</x:v>
      </x:c>
      <x:c r="K16" s="142"/>
      <x:c r="L16" s="41" t="str">
        <x:v>Reporting built</x:v>
      </x:c>
      <x:c r="M16" s="42" t="str">
        <x:v>Referral Explorer; priority; placement urgency; category and status slicers</x:v>
      </x:c>
      <x:c r="N16" s="42" t="str">
        <x:v>30 Sep 2026 WIP file review. Priority and placement urgency band both remain. Category counts are not additive.</x:v>
      </x:c>
    </x:row>
    <x:row r="17" ht="26.399999618530273" hidden="0" customHeight="1">
      <x:c r="A17" s="1" t="n">
        <x:f t="shared" si="0"/>
        <x:v>17</x:v>
      </x:c>
      <x:c r="B17" t="str">
        <x:v>R17</x:v>
      </x:c>
      <x:c r="C17" t="str">
        <x:v>Placement info immediately available on accept</x:v>
      </x:c>
      <x:c r="D17" t="str">
        <x:v>Placement Officer</x:v>
      </x:c>
      <x:c r="E17" t="str">
        <x:v>High</x:v>
      </x:c>
      <x:c r="F17" t="str">
        <x:v>KPI-75</x:v>
      </x:c>
      <x:c r="G17" s="142" t="str">
        <x:v>Partial reporting</x:v>
      </x:c>
      <x:c r="H17" s="142" t="str">
        <x:v>Read-only detail and journey evidence exist. Immediate portal availability or write workflows are not proven.</x:v>
      </x:c>
      <x:c r="I17" s="142" t="str">
        <x:v>Test referral drillthrough with known records and confirm portal workflow.</x:v>
      </x:c>
      <x:c r="J17" s="142" t="str">
        <x:v>✅ Implemented</x:v>
      </x:c>
      <x:c r="K17" s="142"/>
      <x:c r="L17" s="41" t="str">
        <x:v>Partial reporting</x:v>
      </x:c>
      <x:c r="M17" s="42" t="str">
        <x:v>Referral Explorer; Referral Detail (Drillthrough)</x:v>
      </x:c>
      <x:c r="N17" s="42" t="str">
        <x:v>30 Sep 2026 WIP file review. Read-only detail and journey evidence exist. Immediate portal availability or write workflows are not proven.</x:v>
      </x:c>
    </x:row>
    <x:row r="18" ht="39.599998474121094" hidden="0" customHeight="1">
      <x:c r="A18" s="1" t="n">
        <x:f t="shared" si="0"/>
        <x:v>18</x:v>
      </x:c>
      <x:c r="B18" t="str">
        <x:v>R18</x:v>
      </x:c>
      <x:c r="C18" t="str">
        <x:v>Emergency placements: same-day, distinct ID, separate reporting &amp; finance</x:v>
      </x:c>
      <x:c r="D18" t="str">
        <x:v>Placement Officer</x:v>
      </x:c>
      <x:c r="E18" t="str">
        <x:v>High</x:v>
      </x:c>
      <x:c r="F18" t="str">
        <x:v>KPI-91, KPI-92, KPI-94</x:v>
      </x:c>
      <x:c r="G18" s="142" t="str">
        <x:v>Partial reporting</x:v>
      </x:c>
      <x:c r="H18" s="148" t="str">
        <x:v>Emergency uses the Gold same-day-date rule on OPEN/UNDER_OFFER referrals, not a statutory emergency source classification or spot status.</x:v>
      </x:c>
      <x:c r="I18" s="142" t="str">
        <x:v>Approve emergency definition and finance categorisation; test missing and reversed dates.</x:v>
      </x:c>
      <x:c r="J18" s="142" t="str">
        <x:v>❌ Missing</x:v>
      </x:c>
      <x:c r="K18" s="142"/>
      <x:c r="L18" s="41" t="str">
        <x:v>Partial reporting</x:v>
      </x:c>
      <x:c r="M18" s="42" t="str">
        <x:v>Emergency Referrals; Planned Referrals; Emergency Placement Rate</x:v>
      </x:c>
      <x:c r="N18" s="42" t="str">
        <x:v>30 Sep 2026 WIP file review. Emergency uses the Gold same-day-date rule on OPEN/UNDER_OFFER referrals, not a statutory emergency source classification or spot status.</x:v>
      </x:c>
    </x:row>
    <x:row r="19" ht="26.399999618530273" hidden="0" customHeight="1">
      <x:c r="A19" s="1" t="n">
        <x:f t="shared" si="0"/>
        <x:v>19</x:v>
      </x:c>
      <x:c r="B19" t="str">
        <x:v>R19</x:v>
      </x:c>
      <x:c r="C19" t="str">
        <x:v>Update referrals; auto-notify providers</x:v>
      </x:c>
      <x:c r="D19" t="str">
        <x:v>Placement Officer</x:v>
      </x:c>
      <x:c r="E19" s="3" t="str">
        <x:v>Low</x:v>
      </x:c>
      <x:c r="F19" t="str">
        <x:v>KPI-115</x:v>
      </x:c>
      <x:c r="G19" s="142" t="str">
        <x:v>Partial reporting</x:v>
      </x:c>
      <x:c r="H19" s="142" t="str">
        <x:v>Derived lifecycle events do not provide durable full audit history, exact signature events or notification delivery.</x:v>
      </x:c>
      <x:c r="I19" s="142" t="str">
        <x:v>Confirm event coverage; source durable changes and notification outcomes.</x:v>
      </x:c>
      <x:c r="J19" s="142" t="str">
        <x:v>❌ Missing</x:v>
      </x:c>
      <x:c r="K19" s="142"/>
      <x:c r="L19" s="41" t="str">
        <x:v>Partial reporting</x:v>
      </x:c>
      <x:c r="M19" s="42" t="str">
        <x:v>fact_referral_lifecycle_event; Referral Lifecycle Events; Referral Detail journey</x:v>
      </x:c>
      <x:c r="N19" s="42" t="str">
        <x:v>30 Sep 2026 WIP file review. Derived lifecycle events do not provide durable full audit history, exact signature events or notification delivery.</x:v>
      </x:c>
    </x:row>
    <x:row r="20" ht="26.399999618530273" hidden="0" customHeight="1">
      <x:c r="A20" s="1" t="n">
        <x:f t="shared" si="0"/>
        <x:v>20</x:v>
      </x:c>
      <x:c r="B20" t="str">
        <x:v>R20</x:v>
      </x:c>
      <x:c r="C20" t="str">
        <x:v>Full audit tracking (placements, IPA, signatures, approvals, negotiations)</x:v>
      </x:c>
      <x:c r="D20" t="str">
        <x:v>Commissioner</x:v>
      </x:c>
      <x:c r="E20" t="str">
        <x:v>Medium</x:v>
      </x:c>
      <x:c r="F20" t="str">
        <x:v>KPI-113, KPI-114</x:v>
      </x:c>
      <x:c r="G20" s="142" t="str">
        <x:v>Partial reporting</x:v>
      </x:c>
      <x:c r="H20" s="142" t="str">
        <x:v>Derived lifecycle events do not provide durable full audit history, exact signature events or notification delivery.</x:v>
      </x:c>
      <x:c r="I20" s="142" t="str">
        <x:v>Confirm event coverage; source durable changes and notification outcomes.</x:v>
      </x:c>
      <x:c r="J20" s="142" t="str">
        <x:v>❌ Missing</x:v>
      </x:c>
      <x:c r="K20" s="148" t="str">
        <x:v>NEC responsiblility to provide this Feature</x:v>
      </x:c>
      <x:c r="L20" s="41" t="str">
        <x:v>Partial reporting</x:v>
      </x:c>
      <x:c r="M20" s="42" t="str">
        <x:v>fact_referral_lifecycle_event; Referral Lifecycle Events; Referral Detail journey</x:v>
      </x:c>
      <x:c r="N20" s="42" t="str">
        <x:v>30 Sep 2026 WIP file review. Derived lifecycle events do not provide durable full audit history, exact signature events or notification delivery.</x:v>
      </x:c>
    </x:row>
    <x:row r="21" ht="26.399999618530273" hidden="0" customHeight="1">
      <x:c r="A21" s="1" t="n">
        <x:f t="shared" si="0"/>
        <x:v>21</x:v>
      </x:c>
      <x:c r="B21" t="str">
        <x:v>R21</x:v>
      </x:c>
      <x:c r="C21" t="str">
        <x:v>Auto-notify unsuccessful providers; optional rejection feedback</x:v>
      </x:c>
      <x:c r="D21" t="str">
        <x:v>Placement Officer</x:v>
      </x:c>
      <x:c r="E21" t="str">
        <x:v>Medium</x:v>
      </x:c>
      <x:c r="F21" t="str">
        <x:v>—</x:v>
      </x:c>
      <x:c r="G21" s="142" t="str">
        <x:v>Outside report assessment</x:v>
      </x:c>
      <x:c r="H21" s="142" t="str">
        <x:v>Read-only reporting cannot implement notifications, matching, upload, record editing or operational visibility rules.</x:v>
      </x:c>
      <x:c r="I21" s="142" t="str">
        <x:v>Obtain source-system workflow acceptance separately.</x:v>
      </x:c>
      <x:c r="J21" s="142" t="str">
        <x:v>ℹ️ Feature</x:v>
      </x:c>
      <x:c r="K21" s="142"/>
      <x:c r="L21" s="41" t="str">
        <x:v>Not a report feature</x:v>
      </x:c>
      <x:c r="M21" s="42" t="str">
        <x:v>Functional Specification; source portal workflow</x:v>
      </x:c>
      <x:c r="N21" s="42" t="str">
        <x:v>30 Sep 2026 WIP file review. Read-only reporting cannot implement notifications, matching, upload, record editing or operational visibility rules.</x:v>
      </x:c>
    </x:row>
    <x:row r="22" ht="39.599998474121094" hidden="0" customHeight="1">
      <x:c r="A22" s="1" t="n">
        <x:f t="shared" si="0"/>
        <x:v>22</x:v>
      </x:c>
      <x:c r="B22" t="str">
        <x:v>R22</x:v>
      </x:c>
      <x:c r="C22" t="str">
        <x:v>Out-of-region placements tagged; finance informed</x:v>
      </x:c>
      <x:c r="D22" t="str">
        <x:v>Placement Officer</x:v>
      </x:c>
      <x:c r="E22" s="2" t="str">
        <x:v>High-&gt;Medium</x:v>
      </x:c>
      <x:c r="F22" t="str">
        <x:v>KPI-90 (partial), KPI-95, KPI-96</x:v>
      </x:c>
      <x:c r="G22" s="142" t="str">
        <x:v>Open data gap</x:v>
      </x:c>
      <x:c r="H22" s="142" t="str">
        <x:v>Provider/home postcode and preferred-city distance are not referral-origin or placement-region evidence. Multiple provider assignments is not out-of-region placement.</x:v>
      </x:c>
      <x:c r="I22" s="142" t="str">
        <x:v>Obtain governed origin/destination region and an approved out-of-region rule.</x:v>
      </x:c>
      <x:c r="J22" s="142" t="str">
        <x:v>❌ Missing</x:v>
      </x:c>
      <x:c r="K22" s="148" t="str">
        <x:v>the overlap referral is not related to this requirment</x:v>
      </x:c>
      <x:c r="L22" s="41" t="str">
        <x:v>Not supported</x:v>
      </x:c>
      <x:c r="M22" s="42" t="str">
        <x:v>Referral map; Offer Locations</x:v>
      </x:c>
      <x:c r="N22" s="42" t="str">
        <x:v>30 Sep 2026 WIP file review. Provider/home postcode and preferred-city distance are not referral-origin or placement-region evidence. Multiple provider assignments is not out-of-region placement.</x:v>
      </x:c>
    </x:row>
    <x:row r="23" ht="39.599998474121094" hidden="0" customHeight="1">
      <x:c r="A23" s="1" t="n">
        <x:f t="shared" si="0"/>
        <x:v>24</x:v>
      </x:c>
      <x:c r="B23" t="str">
        <x:v>R24</x:v>
      </x:c>
      <x:c r="C23" t="str">
        <x:v>Dashboard: status overview, provider updates, task mgmt, quick updates</x:v>
      </x:c>
      <x:c r="D23" t="str">
        <x:v>Placement Officer</x:v>
      </x:c>
      <x:c r="E23" t="str">
        <x:v>High</x:v>
      </x:c>
      <x:c r="F23" t="str">
        <x:v>KPI-01–KPI-89 (85 measures)</x:v>
      </x:c>
      <x:c r="G23" s="142" t="str">
        <x:v>Partial reporting</x:v>
      </x:c>
      <x:c r="H23" s="142" t="str">
        <x:v>Status, engagement and journey reporting are built. Task management and quick updates are portal functions; newest journey rendering/clicks remain unverified.</x:v>
      </x:c>
      <x:c r="I23" s="142" t="str">
        <x:v>Refresh WIP; test stage selectors, filters and drillthrough; review portal tasks separately.</x:v>
      </x:c>
      <x:c r="J23" s="142" t="str">
        <x:v>✅ Implemented</x:v>
      </x:c>
      <x:c r="K23" s="142"/>
      <x:c r="L23" s="41" t="str">
        <x:v>Partial reporting</x:v>
      </x:c>
      <x:c r="M23" s="42" t="str">
        <x:v>Referrals; Referral Explorer; stage filters; Referral Detail</x:v>
      </x:c>
      <x:c r="N23" s="42" t="str">
        <x:v>30 Sep 2026 WIP file review. Status, engagement and journey reporting are built. Task management and quick updates are portal functions; newest journey rendering/clicks remain unverified.</x:v>
      </x:c>
    </x:row>
    <x:row r="24" ht="26.399999618530273" hidden="0" customHeight="1">
      <x:c r="A24" s="1" t="n">
        <x:f t="shared" si="0"/>
        <x:v>25</x:v>
      </x:c>
      <x:c r="B24" t="str">
        <x:v>R25</x:v>
      </x:c>
      <x:c r="C24" t="str">
        <x:v>Quickly review detailed placement requests</x:v>
      </x:c>
      <x:c r="D24" t="str">
        <x:v>Provider</x:v>
      </x:c>
      <x:c r="E24" t="str">
        <x:v>High</x:v>
      </x:c>
      <x:c r="F24" t="str">
        <x:v>KPI-11, KPI-12</x:v>
      </x:c>
      <x:c r="G24" s="142" t="str">
        <x:v>Partial reporting</x:v>
      </x:c>
      <x:c r="H24" s="142" t="str">
        <x:v>Read-only detail and journey evidence exist. Immediate portal availability or write workflows are not proven.</x:v>
      </x:c>
      <x:c r="I24" s="142" t="str">
        <x:v>Test referral drillthrough with known records and confirm portal workflow.</x:v>
      </x:c>
      <x:c r="J24" s="142" t="str">
        <x:v>✅ Implemented</x:v>
      </x:c>
      <x:c r="K24" s="142"/>
      <x:c r="L24" s="41" t="str">
        <x:v>Partial reporting</x:v>
      </x:c>
      <x:c r="M24" s="42" t="str">
        <x:v>Referral Explorer; Referral Detail (Drillthrough)</x:v>
      </x:c>
      <x:c r="N24" s="42" t="str">
        <x:v>30 Sep 2026 WIP file review. Read-only detail and journey evidence exist. Immediate portal availability or write workflows are not proven.</x:v>
      </x:c>
    </x:row>
    <x:row r="25" ht="26.399999618530273" hidden="0" customHeight="1">
      <x:c r="A25" s="1" t="n">
        <x:f t="shared" si="0"/>
        <x:v>26</x:v>
      </x:c>
      <x:c r="B25" t="str">
        <x:v>R26</x:v>
      </x:c>
      <x:c r="C25" t="str">
        <x:v>Prioritise by match suitability, SOP, existing placements</x:v>
      </x:c>
      <x:c r="D25" t="str">
        <x:v>Provider</x:v>
      </x:c>
      <x:c r="E25" t="str">
        <x:v>High</x:v>
      </x:c>
      <x:c r="F25" t="str">
        <x:v>KPI-19, KPI-20, KPI-37</x:v>
      </x:c>
      <x:c r="G25" s="142" t="str">
        <x:v>Partial reporting</x:v>
      </x:c>
      <x:c r="H25" s="142" t="str">
        <x:v>Provider and offer analysis exists; no approved suitability score or automatic matching algorithm is implemented.</x:v>
      </x:c>
      <x:c r="I25" s="142" t="str">
        <x:v>Validate provider cohort attribution and agree any scoring policy.</x:v>
      </x:c>
      <x:c r="J25" s="142" t="str">
        <x:v>✅ Implemented</x:v>
      </x:c>
      <x:c r="K25" s="142"/>
      <x:c r="L25" s="41" t="str">
        <x:v>Partial reporting</x:v>
      </x:c>
      <x:c r="M25" s="42" t="str">
        <x:v>Provider Explorer; provider journey; home/category bridge</x:v>
      </x:c>
      <x:c r="N25" s="42" t="str">
        <x:v>30 Sep 2026 WIP file review. Provider and offer analysis exists; no approved suitability score or automatic matching algorithm is implemented.</x:v>
      </x:c>
    </x:row>
    <x:row r="26" ht="26.399999618530273" hidden="0" customHeight="1">
      <x:c r="A26" s="1" t="n">
        <x:f t="shared" si="0"/>
        <x:v>27</x:v>
      </x:c>
      <x:c r="B26" t="str">
        <x:v>R27</x:v>
      </x:c>
      <x:c r="C26" t="str">
        <x:v>Request additional info, raise queries, see responses</x:v>
      </x:c>
      <x:c r="D26" t="str">
        <x:v>Provider</x:v>
      </x:c>
      <x:c r="E26" t="str">
        <x:v>Medium</x:v>
      </x:c>
      <x:c r="F26" t="str">
        <x:v>—</x:v>
      </x:c>
      <x:c r="G26" s="142" t="str">
        <x:v>Partial reporting</x:v>
      </x:c>
      <x:c r="H26" s="142" t="str">
        <x:v>Message text and read timestamps are available. Provider authorship, paired response time and unread-priority semantics remain unapproved.</x:v>
      </x:c>
      <x:c r="I26" s="142" t="str">
        <x:v>Approve author and unread rules before message SLA KPIs.</x:v>
      </x:c>
      <x:c r="J26" s="142" t="str">
        <x:v>ℹ️ Feature</x:v>
      </x:c>
      <x:c r="K26" s="142"/>
      <x:c r="L26" s="41" t="str">
        <x:v>Partial reporting</x:v>
      </x:c>
      <x:c r="M26" s="42" t="str">
        <x:v>dim_referral_provider_message; lifecycle activity; detail message tables</x:v>
      </x:c>
      <x:c r="N26" s="42" t="str">
        <x:v>30 Sep 2026 WIP file review. Message text and read timestamps are available. Provider authorship, paired response time and unread-priority semantics remain unapproved.</x:v>
      </x:c>
    </x:row>
    <x:row r="27" ht="26.399999618530273" hidden="0" customHeight="1">
      <x:c r="A27" s="1" t="n">
        <x:f t="shared" si="0"/>
        <x:v>28</x:v>
      </x:c>
      <x:c r="B27" t="str">
        <x:v>R28</x:v>
      </x:c>
      <x:c r="C27" t="str">
        <x:v>Accept / reject / request further info</x:v>
      </x:c>
      <x:c r="D27" t="str">
        <x:v>Provider</x:v>
      </x:c>
      <x:c r="E27" t="str">
        <x:v>High</x:v>
      </x:c>
      <x:c r="F27" t="str">
        <x:v>KPI-15, KPI-16, KPI-75</x:v>
      </x:c>
      <x:c r="G27" s="142" t="str">
        <x:v>Partial reporting</x:v>
      </x:c>
      <x:c r="H27" s="142" t="str">
        <x:v>Offer decisions are reportable. Accept/reject/request-information actions are not performed by Power BI.</x:v>
      </x:c>
      <x:c r="I27" s="142" t="str">
        <x:v>Reconcile offer statuses and test the source workflow.</x:v>
      </x:c>
      <x:c r="J27" s="142" t="str">
        <x:v>✅ Implemented</x:v>
      </x:c>
      <x:c r="K27" s="142"/>
      <x:c r="L27" s="41" t="str">
        <x:v>Partial reporting</x:v>
      </x:c>
      <x:c r="M27" s="42" t="str">
        <x:v>Offers Overview; Accepted Offers; Provider Detail</x:v>
      </x:c>
      <x:c r="N27" s="42" t="str">
        <x:v>30 Sep 2026 WIP file review. Offer decisions are reportable. Accept/reject/request-information actions are not performed by Power BI.</x:v>
      </x:c>
    </x:row>
    <x:row r="28" ht="26.399999618530273" hidden="0" customHeight="1">
      <x:c r="A28" s="1" t="n">
        <x:f t="shared" si="0"/>
        <x:v>29</x:v>
      </x:c>
      <x:c r="B28" t="str">
        <x:v>R29</x:v>
      </x:c>
      <x:c r="C28" t="str">
        <x:v>Streamlined offer process</x:v>
      </x:c>
      <x:c r="D28" t="str">
        <x:v>Provider</x:v>
      </x:c>
      <x:c r="E28" t="str">
        <x:v>Medium</x:v>
      </x:c>
      <x:c r="F28" t="str">
        <x:v>—</x:v>
      </x:c>
      <x:c r="G28" s="142" t="str">
        <x:v>Outside report assessment</x:v>
      </x:c>
      <x:c r="H28" s="142" t="str">
        <x:v>Read-only reporting cannot implement notifications, matching, upload, record editing or operational visibility rules.</x:v>
      </x:c>
      <x:c r="I28" s="142" t="str">
        <x:v>Obtain source-system workflow acceptance separately.</x:v>
      </x:c>
      <x:c r="J28" s="142" t="str">
        <x:v>ℹ️ Feature</x:v>
      </x:c>
      <x:c r="K28" s="142"/>
      <x:c r="L28" s="41" t="str">
        <x:v>Not a report feature</x:v>
      </x:c>
      <x:c r="M28" s="42" t="str">
        <x:v>Functional Specification; source portal workflow</x:v>
      </x:c>
      <x:c r="N28" s="42" t="str">
        <x:v>30 Sep 2026 WIP file review. Read-only reporting cannot implement notifications, matching, upload, record editing or operational visibility rules.</x:v>
      </x:c>
    </x:row>
    <x:row r="29" ht="26.399999618530273" hidden="0" customHeight="1">
      <x:c r="A29" s="1" t="n">
        <x:f t="shared" si="0"/>
        <x:v>31</x:v>
      </x:c>
      <x:c r="B29" t="str">
        <x:v>R31</x:v>
      </x:c>
      <x:c r="C29" t="str">
        <x:v>Resolved requests auto-removed from provider views</x:v>
      </x:c>
      <x:c r="D29" t="str">
        <x:v>Provider</x:v>
      </x:c>
      <x:c r="E29" s="2" t="str">
        <x:v>Medium-&gt;Low</x:v>
      </x:c>
      <x:c r="F29" t="str">
        <x:v>—</x:v>
      </x:c>
      <x:c r="G29" s="142" t="str">
        <x:v>Outside report assessment</x:v>
      </x:c>
      <x:c r="H29" s="142" t="str">
        <x:v>Read-only reporting cannot implement notifications, matching, upload, record editing or operational visibility rules.</x:v>
      </x:c>
      <x:c r="I29" s="142" t="str">
        <x:v>Obtain source-system workflow acceptance separately.</x:v>
      </x:c>
      <x:c r="J29" s="142" t="str">
        <x:v>❌ Missing</x:v>
      </x:c>
      <x:c r="K29" s="149" t="str">
        <x:v>email notify feature… not considered pfor phase 2</x:v>
      </x:c>
      <x:c r="L29" s="41" t="str">
        <x:v>Not a report feature</x:v>
      </x:c>
      <x:c r="M29" s="42" t="str">
        <x:v>Functional Specification; source portal workflow</x:v>
      </x:c>
      <x:c r="N29" s="42" t="str">
        <x:v>30 Sep 2026 WIP file review. Read-only reporting cannot implement notifications, matching, upload, record editing or operational visibility rules.</x:v>
      </x:c>
    </x:row>
    <x:row r="30" ht="26.399999618530273" hidden="0" customHeight="1">
      <x:c r="A30" s="1" t="n">
        <x:f t="shared" si="0"/>
        <x:v>32</x:v>
      </x:c>
      <x:c r="B30" t="str">
        <x:v>R32</x:v>
      </x:c>
      <x:c r="C30" t="str">
        <x:v>Matching by SOP and care specialisms</x:v>
      </x:c>
      <x:c r="D30" t="str">
        <x:v>Provider</x:v>
      </x:c>
      <x:c r="E30" t="str">
        <x:v>Medium</x:v>
      </x:c>
      <x:c r="F30" t="str">
        <x:v>—</x:v>
      </x:c>
      <x:c r="G30" s="142" t="str">
        <x:v>Outside report assessment</x:v>
      </x:c>
      <x:c r="H30" s="142" t="str">
        <x:v>Read-only reporting cannot implement notifications, matching, upload, record editing or operational visibility rules.</x:v>
      </x:c>
      <x:c r="I30" s="142" t="str">
        <x:v>Obtain source-system workflow acceptance separately.</x:v>
      </x:c>
      <x:c r="J30" s="142" t="str">
        <x:v>ℹ️ Feature</x:v>
      </x:c>
      <x:c r="K30" s="142"/>
      <x:c r="L30" s="41" t="str">
        <x:v>Not a report feature</x:v>
      </x:c>
      <x:c r="M30" s="42" t="str">
        <x:v>Functional Specification; source portal workflow</x:v>
      </x:c>
      <x:c r="N30" s="42" t="str">
        <x:v>30 Sep 2026 WIP file review. Read-only reporting cannot implement notifications, matching, upload, record editing or operational visibility rules.</x:v>
      </x:c>
    </x:row>
    <x:row r="31" ht="26.399999618530273" hidden="0" customHeight="1">
      <x:c r="A31" s="1" t="n">
        <x:f t="shared" si="0"/>
        <x:v>33</x:v>
      </x:c>
      <x:c r="B31" t="str">
        <x:v>R33</x:v>
      </x:c>
      <x:c r="C31" t="str">
        <x:v>Upload and manage placement documentation</x:v>
      </x:c>
      <x:c r="D31" t="str">
        <x:v>Provider</x:v>
      </x:c>
      <x:c r="E31" t="str">
        <x:v>Medium</x:v>
      </x:c>
      <x:c r="F31" t="str">
        <x:v>—</x:v>
      </x:c>
      <x:c r="G31" s="142" t="str">
        <x:v>Outside report assessment</x:v>
      </x:c>
      <x:c r="H31" s="142" t="str">
        <x:v>Read-only reporting cannot implement notifications, matching, upload, record editing or operational visibility rules.</x:v>
      </x:c>
      <x:c r="I31" s="142" t="str">
        <x:v>Obtain source-system workflow acceptance separately.</x:v>
      </x:c>
      <x:c r="J31" s="142" t="str">
        <x:v>ℹ️ Feature</x:v>
      </x:c>
      <x:c r="K31" s="142"/>
      <x:c r="L31" s="41" t="str">
        <x:v>Not a report feature</x:v>
      </x:c>
      <x:c r="M31" s="42" t="str">
        <x:v>Functional Specification; source portal workflow</x:v>
      </x:c>
      <x:c r="N31" s="42" t="str">
        <x:v>30 Sep 2026 WIP file review. Read-only reporting cannot implement notifications, matching, upload, record editing or operational visibility rules.</x:v>
      </x:c>
    </x:row>
    <x:row r="32" ht="39.599998474121094" hidden="0" customHeight="1">
      <x:c r="A32" s="1" t="n">
        <x:f t="shared" si="0"/>
        <x:v>34</x:v>
      </x:c>
      <x:c r="B32" t="str">
        <x:v>R34</x:v>
      </x:c>
      <x:c r="C32" t="str">
        <x:v>Emergency referrals identifiable and prioritised</x:v>
      </x:c>
      <x:c r="D32" t="str">
        <x:v>Provider</x:v>
      </x:c>
      <x:c r="E32" t="str">
        <x:v>High</x:v>
      </x:c>
      <x:c r="F32" t="str">
        <x:v>KPI-91, KPI-94</x:v>
      </x:c>
      <x:c r="G32" s="142" t="str">
        <x:v>Partial reporting</x:v>
      </x:c>
      <x:c r="H32" s="142" t="str">
        <x:v>Emergency uses the Gold same-day-date rule on OPEN/UNDER_OFFER referrals, not a statutory emergency source classification or spot status.</x:v>
      </x:c>
      <x:c r="I32" s="142" t="str">
        <x:v>Approve emergency definition and finance categorisation; test missing and reversed dates.</x:v>
      </x:c>
      <x:c r="J32" s="142" t="str">
        <x:v>❌ Missing</x:v>
      </x:c>
      <x:c r="K32" s="148" t="str">
        <x:v>might be a status field (planned or emergency)</x:v>
      </x:c>
      <x:c r="L32" s="41" t="str">
        <x:v>Partial reporting</x:v>
      </x:c>
      <x:c r="M32" s="42" t="str">
        <x:v>Emergency Referrals; Planned Referrals; Emergency Placement Rate</x:v>
      </x:c>
      <x:c r="N32" s="42" t="str">
        <x:v>30 Sep 2026 WIP file review. Emergency uses the Gold same-day-date rule on OPEN/UNDER_OFFER referrals, not a statutory emergency source classification or spot status.</x:v>
      </x:c>
    </x:row>
    <x:row r="33" ht="26.399999618530273" hidden="0" customHeight="1">
      <x:c r="A33" s="1" t="n">
        <x:f t="shared" si="0"/>
        <x:v>35</x:v>
      </x:c>
      <x:c r="B33" t="str">
        <x:v>R35</x:v>
      </x:c>
      <x:c r="C33" t="str">
        <x:v>Digitised IPA (review, approvals, signing, audit)</x:v>
      </x:c>
      <x:c r="D33" t="str">
        <x:v>Provider</x:v>
      </x:c>
      <x:c r="E33" t="str">
        <x:v>High</x:v>
      </x:c>
      <x:c r="F33" t="str">
        <x:v>KPI-73–KPI-86</x:v>
      </x:c>
      <x:c r="G33" s="142" t="str">
        <x:v>Partial reporting</x:v>
      </x:c>
      <x:c r="H33" s="142" t="str">
        <x:v>IPA-grain signing is implemented; the report does not perform signing, approval or certify a full audit trail.</x:v>
      </x:c>
      <x:c r="I33" s="142" t="str">
        <x:v>Reconcile both signatures on the same IPA, closed unsigned IPAs and multiple IPAs per offer.</x:v>
      </x:c>
      <x:c r="J33" s="142" t="str">
        <x:v>✅ Implemented</x:v>
      </x:c>
      <x:c r="K33" s="142"/>
      <x:c r="L33" s="41" t="str">
        <x:v>Partial reporting</x:v>
      </x:c>
      <x:c r="M33" s="42" t="str">
        <x:v>fact_ipa; IPA Completed; IPAs Pending Completion; signature flags</x:v>
      </x:c>
      <x:c r="N33" s="42" t="str">
        <x:v>30 Sep 2026 WIP file review. IPA-grain signing is implemented; the report does not perform signing, approval or certify a full audit trail.</x:v>
      </x:c>
    </x:row>
    <x:row r="34" ht="26.399999618530273" hidden="0" customHeight="1">
      <x:c r="A34" s="1" t="n">
        <x:f t="shared" si="0"/>
        <x:v>36</x:v>
      </x:c>
      <x:c r="B34" t="str">
        <x:v>R36</x:v>
      </x:c>
      <x:c r="C34" t="str">
        <x:v>Dedicated view: referrals with outstanding offers / open offers</x:v>
      </x:c>
      <x:c r="D34" t="str">
        <x:v>Provider</x:v>
      </x:c>
      <x:c r="E34" t="str">
        <x:v>High</x:v>
      </x:c>
      <x:c r="F34" t="str">
        <x:v>KPI-10, KPI-29</x:v>
      </x:c>
      <x:c r="G34" s="142" t="str">
        <x:v>Built; UAT pending</x:v>
      </x:c>
      <x:c r="H34" s="142" t="str">
        <x:v>Pending/open offer views and provider filters are built; runtime reconciliation remains outstanding.</x:v>
      </x:c>
      <x:c r="I34" s="142" t="str">
        <x:v>Check provider, home and status filters against known offers.</x:v>
      </x:c>
      <x:c r="J34" s="142" t="str">
        <x:v>✅ Implemented</x:v>
      </x:c>
      <x:c r="K34" s="142"/>
      <x:c r="L34" s="41" t="str">
        <x:v>Reporting built</x:v>
      </x:c>
      <x:c r="M34" s="42" t="str">
        <x:v>Provider Explorer; offer/status tables; Pending Offers</x:v>
      </x:c>
      <x:c r="N34" s="42" t="str">
        <x:v>30 Sep 2026 WIP file review. Pending/open offer views and provider filters are built; runtime reconciliation remains outstanding.</x:v>
      </x:c>
    </x:row>
    <x:row r="35" ht="26.399999618530273" hidden="0" customHeight="1">
      <x:c r="A35" s="1" t="n">
        <x:f t="shared" si="0"/>
        <x:v>38</x:v>
      </x:c>
      <x:c r="B35" t="str">
        <x:v>R38</x:v>
      </x:c>
      <x:c r="C35" t="str">
        <x:v>Record QA assessment outcomes against providers</x:v>
      </x:c>
      <x:c r="D35" t="str">
        <x:v>QA Officer</x:v>
      </x:c>
      <x:c r="E35" t="str">
        <x:v>Medium</x:v>
      </x:c>
      <x:c r="F35" t="str">
        <x:v>—</x:v>
      </x:c>
      <x:c r="G35" s="142" t="str">
        <x:v>Outside report assessment</x:v>
      </x:c>
      <x:c r="H35" s="142" t="str">
        <x:v>Read-only reporting cannot implement notifications, matching, upload, record editing or operational visibility rules.</x:v>
      </x:c>
      <x:c r="I35" s="142" t="str">
        <x:v>Obtain source-system workflow acceptance separately.</x:v>
      </x:c>
      <x:c r="J35" s="142" t="str">
        <x:v>ℹ️ Data entry</x:v>
      </x:c>
      <x:c r="K35" s="142"/>
      <x:c r="L35" s="41" t="str">
        <x:v>Not a report feature</x:v>
      </x:c>
      <x:c r="M35" s="42" t="str">
        <x:v>Functional Specification; source portal workflow</x:v>
      </x:c>
      <x:c r="N35" s="42" t="str">
        <x:v>30 Sep 2026 WIP file review. Read-only reporting cannot implement notifications, matching, upload, record editing or operational visibility rules.</x:v>
      </x:c>
    </x:row>
    <x:row r="36" ht="26.399999618530273" hidden="0" customHeight="1">
      <x:c r="A36" s="1" t="n">
        <x:f t="shared" si="0"/>
        <x:v>39</x:v>
      </x:c>
      <x:c r="B36" t="str">
        <x:v>R39</x:v>
      </x:c>
      <x:c r="C36" t="str">
        <x:v>Desk-based research; identify missing documentation</x:v>
      </x:c>
      <x:c r="D36" t="str">
        <x:v>QA Officer</x:v>
      </x:c>
      <x:c r="E36" t="str">
        <x:v>Medium</x:v>
      </x:c>
      <x:c r="F36" t="str">
        <x:v>—</x:v>
      </x:c>
      <x:c r="G36" s="142" t="str">
        <x:v>Outside report assessment</x:v>
      </x:c>
      <x:c r="H36" s="142" t="str">
        <x:v>Read-only reporting cannot implement notifications, matching, upload, record editing or operational visibility rules.</x:v>
      </x:c>
      <x:c r="I36" s="142" t="str">
        <x:v>Obtain source-system workflow acceptance separately.</x:v>
      </x:c>
      <x:c r="J36" s="142" t="str">
        <x:v>ℹ️ Feature</x:v>
      </x:c>
      <x:c r="K36" s="142"/>
      <x:c r="L36" s="41" t="str">
        <x:v>Not a report feature</x:v>
      </x:c>
      <x:c r="M36" s="42" t="str">
        <x:v>Functional Specification; source portal workflow</x:v>
      </x:c>
      <x:c r="N36" s="42" t="str">
        <x:v>30 Sep 2026 WIP file review. Read-only reporting cannot implement notifications, matching, upload, record editing or operational visibility rules.</x:v>
      </x:c>
    </x:row>
    <x:row r="37" ht="26.399999618530273" hidden="0" customHeight="1">
      <x:c r="A37" s="1" t="n">
        <x:f t="shared" si="0"/>
        <x:v>41</x:v>
      </x:c>
      <x:c r="B37" t="str">
        <x:v>R41</x:v>
      </x:c>
      <x:c r="C37" t="str">
        <x:v>Apply advisory notices and flags (information notices, safeguarding)</x:v>
      </x:c>
      <x:c r="D37" t="str">
        <x:v>QA Officer</x:v>
      </x:c>
      <x:c r="E37" s="3" t="str">
        <x:v>High-&gt;Medium</x:v>
      </x:c>
      <x:c r="F37" t="str">
        <x:v>KPI-97, KPI-98, KPI-99</x:v>
      </x:c>
      <x:c r="G37" s="142" t="str">
        <x:v>Partial reporting</x:v>
      </x:c>
      <x:c r="H37" s="142" t="str">
        <x:v>Current flags are reportable. Historical flag types and application/removal workflow are not proven.</x:v>
      </x:c>
      <x:c r="I37" s="142" t="str">
        <x:v>Confirm flag scope and obtain historical classification and portal evidence.</x:v>
      </x:c>
      <x:c r="J37" s="142" t="str">
        <x:v>❌ Missing</x:v>
      </x:c>
      <x:c r="K37" s="148" t="str">
        <x:v>Flags against homes not Provider… should be in a text label</x:v>
      </x:c>
      <x:c r="L37" s="41" t="str">
        <x:v>Partial reporting</x:v>
      </x:c>
      <x:c r="M37" s="42" t="str">
        <x:v>Providers With QA Flags; QA Flagged Homes; provider detail</x:v>
      </x:c>
      <x:c r="N37" s="42" t="str">
        <x:v>30 Sep 2026 WIP file review. Current flags are reportable. Historical flag types and application/removal workflow are not proven.</x:v>
      </x:c>
    </x:row>
    <x:row r="38" ht="26.399999618530273" hidden="0" customHeight="1">
      <x:c r="A38" s="1" t="n">
        <x:f t="shared" si="0"/>
        <x:v>45</x:v>
      </x:c>
      <x:c r="B38" t="str">
        <x:v>R45</x:v>
      </x:c>
      <x:c r="C38" t="str">
        <x:v>SPOT providers upload registration documentation</x:v>
      </x:c>
      <x:c r="D38" t="str">
        <x:v>QA Officer</x:v>
      </x:c>
      <x:c r="E38" t="str">
        <x:v>Medium</x:v>
      </x:c>
      <x:c r="F38" t="str">
        <x:v>—</x:v>
      </x:c>
      <x:c r="G38" s="142" t="str">
        <x:v>Outside report assessment</x:v>
      </x:c>
      <x:c r="H38" s="142" t="str">
        <x:v>Read-only reporting cannot implement notifications, matching, upload, record editing or operational visibility rules.</x:v>
      </x:c>
      <x:c r="I38" s="142" t="str">
        <x:v>Obtain source-system workflow acceptance separately.</x:v>
      </x:c>
      <x:c r="J38" s="142" t="str">
        <x:v>ℹ️ Feature</x:v>
      </x:c>
      <x:c r="K38" s="142"/>
      <x:c r="L38" s="41" t="str">
        <x:v>Not a report feature</x:v>
      </x:c>
      <x:c r="M38" s="42" t="str">
        <x:v>Functional Specification; source portal workflow</x:v>
      </x:c>
      <x:c r="N38" s="42" t="str">
        <x:v>30 Sep 2026 WIP file review. Read-only reporting cannot implement notifications, matching, upload, record editing or operational visibility rules.</x:v>
      </x:c>
    </x:row>
    <x:row r="39" ht="26.399999618530273" hidden="0" customHeight="1">
      <x:c r="A39" s="1" t="n">
        <x:f t="shared" si="0"/>
        <x:v>46</x:v>
      </x:c>
      <x:c r="B39" t="str">
        <x:v>R46</x:v>
      </x:c>
      <x:c r="C39" t="str">
        <x:v>QA intelligence for non-framework providers shared appropriately</x:v>
      </x:c>
      <x:c r="D39" t="str">
        <x:v>QA Officer</x:v>
      </x:c>
      <x:c r="E39" t="str">
        <x:v>Medium</x:v>
      </x:c>
      <x:c r="F39" t="str">
        <x:v>KPI-46, KPI-47</x:v>
      </x:c>
      <x:c r="G39" s="142" t="str">
        <x:v>Partial reporting</x:v>
      </x:c>
      <x:c r="H39" s="142" t="str">
        <x:v>Non-framework visibility exists; cross-organisation QA sharing requires role and disclosure acceptance.</x:v>
      </x:c>
      <x:c r="I39" s="142" t="str">
        <x:v>Test provider scope and authorised sharing.</x:v>
      </x:c>
      <x:c r="J39" s="142" t="str">
        <x:v>✅ Implemented</x:v>
      </x:c>
      <x:c r="K39" s="142"/>
      <x:c r="L39" s="41" t="str">
        <x:v>Partial reporting</x:v>
      </x:c>
      <x:c r="M39" s="42" t="str">
        <x:v>Non-Framework Providers; Provider Explorer; provider detail</x:v>
      </x:c>
      <x:c r="N39" s="42" t="str">
        <x:v>30 Sep 2026 WIP file review. Non-framework visibility exists; cross-organisation QA sharing requires role and disclosure acceptance.</x:v>
      </x:c>
    </x:row>
    <x:row r="40" ht="26.399999618530273" hidden="0" customHeight="1">
      <x:c r="A40" s="1" t="n">
        <x:f t="shared" si="0"/>
        <x:v>47</x:v>
      </x:c>
      <x:c r="B40" t="str">
        <x:v>R47</x:v>
      </x:c>
      <x:c r="C40" t="str">
        <x:v>Monitor documentation expiry; send reminders; highlight missing</x:v>
      </x:c>
      <x:c r="D40" t="str">
        <x:v>QA Officer</x:v>
      </x:c>
      <x:c r="E40" s="2" t="str">
        <x:v>High</x:v>
      </x:c>
      <x:c r="F40" t="str">
        <x:v>KPI-100, KPI-101</x:v>
      </x:c>
      <x:c r="G40" s="142" t="str">
        <x:v>Partial reporting</x:v>
      </x:c>
      <x:c r="H40" s="142" t="str">
        <x:v>Document dates support monitoring, not reminder delivery or missing-required-document detection.</x:v>
      </x:c>
      <x:c r="I40" s="142" t="str">
        <x:v>Validate document dates and obtain reminder and expected-document rules.</x:v>
      </x:c>
      <x:c r="J40" s="142" t="str">
        <x:v>❌ Missing</x:v>
      </x:c>
      <x:c r="K40" s="148" t="str">
        <x:v>documentation will be useful</x:v>
      </x:c>
      <x:c r="L40" s="41" t="str">
        <x:v>Partial reporting</x:v>
      </x:c>
      <x:c r="M40" s="42" t="str">
        <x:v>Documents Expiring Next 30 Days; Documents Expired</x:v>
      </x:c>
      <x:c r="N40" s="42" t="str">
        <x:v>30 Sep 2026 WIP file review. Document dates support monitoring, not reminder delivery or missing-required-document detection.</x:v>
      </x:c>
    </x:row>
    <x:row r="41" ht="26.399999618530273" hidden="0" customHeight="1">
      <x:c r="A41" s="1" t="n">
        <x:f t="shared" si="0"/>
        <x:v>48</x:v>
      </x:c>
      <x:c r="B41" t="str">
        <x:v>R48</x:v>
      </x:c>
      <x:c r="C41" t="str">
        <x:v>Providers with incomplete docs excluded from referrals</x:v>
      </x:c>
      <x:c r="D41" t="str">
        <x:v>QA Officer</x:v>
      </x:c>
      <x:c r="E41" t="str">
        <x:v>High</x:v>
      </x:c>
      <x:c r="F41" t="str">
        <x:v>KPI-102, KPI-103</x:v>
      </x:c>
      <x:c r="G41" s="142" t="str">
        <x:v>Open data gap</x:v>
      </x:c>
      <x:c r="H41" s="142" t="str">
        <x:v>No governed expected-document denominator or blocked-provider decision exists. Expiry alone cannot prove compliance.</x:v>
      </x:c>
      <x:c r="I41" s="142" t="str">
        <x:v>Supply policy and decision outcomes.</x:v>
      </x:c>
      <x:c r="J41" s="142" t="str">
        <x:v>❌ Missing</x:v>
      </x:c>
      <x:c r="K41" s="148" t="str">
        <x:v>documentation will be useful</x:v>
      </x:c>
      <x:c r="L41" s="41" t="str">
        <x:v>Not supported</x:v>
      </x:c>
      <x:c r="M41" s="42" t="str">
        <x:v>dim_provider_submission_document</x:v>
      </x:c>
      <x:c r="N41" s="42" t="str">
        <x:v>30 Sep 2026 WIP file review. No governed expected-document denominator or blocked-provider decision exists. Expiry alone cannot prove compliance.</x:v>
      </x:c>
    </x:row>
    <x:row r="42" ht="26.399999618530273" hidden="0" customHeight="1">
      <x:c r="A42" s="1" t="n">
        <x:f t="shared" si="0"/>
        <x:v>49</x:v>
      </x:c>
      <x:c r="B42" t="str">
        <x:v>R49</x:v>
      </x:c>
      <x:c r="C42" t="str">
        <x:v>Easily identify provider due diligence status</x:v>
      </x:c>
      <x:c r="D42" t="str">
        <x:v>QA Officer</x:v>
      </x:c>
      <x:c r="E42" t="str">
        <x:v>Medium</x:v>
      </x:c>
      <x:c r="F42" t="str">
        <x:v>KPI-104</x:v>
      </x:c>
      <x:c r="G42" s="142" t="str">
        <x:v>Partial reporting</x:v>
      </x:c>
      <x:c r="H42" s="142" t="str">
        <x:v>Current provider approval state is reportable; it does not certify due diligence, bulk-job success or registration workflow.</x:v>
      </x:c>
      <x:c r="I42" s="142" t="str">
        <x:v>Approve proxy label and obtain workflow/compliance evidence.</x:v>
      </x:c>
      <x:c r="J42" s="142" t="str">
        <x:v>❌ Missing</x:v>
      </x:c>
      <x:c r="K42" s="142"/>
      <x:c r="L42" s="41" t="str">
        <x:v>Partial reporting</x:v>
      </x:c>
      <x:c r="M42" s="42" t="str">
        <x:v>Providers Pending Onboarding; Providers Approved; Provider Onboarding Success Rate</x:v>
      </x:c>
      <x:c r="N42" s="42" t="str">
        <x:v>30 Sep 2026 WIP file review. Current provider approval state is reportable; it does not certify due diligence, bulk-job success or registration workflow.</x:v>
      </x:c>
    </x:row>
    <x:row r="43" ht="26.399999618530273" hidden="0" customHeight="1">
      <x:c r="A43" s="1" t="n">
        <x:f t="shared" si="0"/>
        <x:v>51</x:v>
      </x:c>
      <x:c r="B43" t="str">
        <x:v>R51</x:v>
      </x:c>
      <x:c r="C43" t="str">
        <x:v>Robust data model: placement records, market intelligence, value analysis</x:v>
      </x:c>
      <x:c r="D43" t="str">
        <x:v>Commissioner</x:v>
      </x:c>
      <x:c r="E43" t="str">
        <x:v>High</x:v>
      </x:c>
      <x:c r="F43" t="str">
        <x:v>KPI-01–KPI-10, KPI-13, KPI-14, KPI-20</x:v>
      </x:c>
      <x:c r="G43" s="142" t="str">
        <x:v>Built; UAT pending</x:v>
      </x:c>
      <x:c r="H43" s="142" t="str">
        <x:v>Saved-file definitions exist. Full refreshed DAX reconciliation, data completeness and business acceptance remain open.</x:v>
      </x:c>
      <x:c r="I43" s="142" t="str">
        <x:v>Run refresh, data-quality, cohort, snapshot and role reconciliation before release.</x:v>
      </x:c>
      <x:c r="J43" s="142" t="str">
        <x:v>✅ Implemented</x:v>
      </x:c>
      <x:c r="K43" s="142"/>
      <x:c r="L43" s="41" t="str">
        <x:v>Reporting built</x:v>
      </x:c>
      <x:c r="M43" s="42" t="str">
        <x:v>58-table WIP model; 366 measures; Overall Performance; explorers; snapshots</x:v>
      </x:c>
      <x:c r="N43" s="42" t="str">
        <x:v>30 Sep 2026 WIP file review. Saved-file definitions exist. Full refreshed DAX reconciliation, data completeness and business acceptance remain open.</x:v>
      </x:c>
    </x:row>
    <x:row r="44" ht="26.399999618530273" hidden="0" customHeight="1">
      <x:c r="A44" s="1" t="n">
        <x:f t="shared" si="0"/>
        <x:v>52</x:v>
      </x:c>
      <x:c r="B44" t="str">
        <x:v>R52</x:v>
      </x:c>
      <x:c r="C44" t="str">
        <x:v>Accurate and customisable reporting</x:v>
      </x:c>
      <x:c r="D44" t="str">
        <x:v>Commissioner</x:v>
      </x:c>
      <x:c r="E44" t="str">
        <x:v>High</x:v>
      </x:c>
      <x:c r="F44" t="str">
        <x:v>KPI-23, KPI-24</x:v>
      </x:c>
      <x:c r="G44" s="142" t="str">
        <x:v>Built; UAT pending</x:v>
      </x:c>
      <x:c r="H44" s="142" t="str">
        <x:v>Saved-file definitions exist. Full refreshed DAX reconciliation, data completeness and business acceptance remain open.</x:v>
      </x:c>
      <x:c r="I44" s="142" t="str">
        <x:v>Run refresh, data-quality, cohort, snapshot and role reconciliation before release.</x:v>
      </x:c>
      <x:c r="J44" s="142" t="str">
        <x:v>✅ Implemented</x:v>
      </x:c>
      <x:c r="K44" s="142"/>
      <x:c r="L44" s="41" t="str">
        <x:v>Reporting built</x:v>
      </x:c>
      <x:c r="M44" s="42" t="str">
        <x:v>58-table WIP model; 366 measures; Overall Performance; explorers; snapshots</x:v>
      </x:c>
      <x:c r="N44" s="42" t="str">
        <x:v>30 Sep 2026 WIP file review. Saved-file definitions exist. Full refreshed DAX reconciliation, data completeness and business acceptance remain open.</x:v>
      </x:c>
    </x:row>
    <x:row r="45" ht="26.399999618530273" hidden="0" customHeight="1">
      <x:c r="A45" s="1" t="n">
        <x:f t="shared" si="0"/>
        <x:v>53</x:v>
      </x:c>
      <x:c r="B45" t="str">
        <x:v>R53</x:v>
      </x:c>
      <x:c r="C45" t="str">
        <x:v>Data consistent, exportable, supports bespoke analysis</x:v>
      </x:c>
      <x:c r="D45" t="str">
        <x:v>Commissioner</x:v>
      </x:c>
      <x:c r="E45" t="str">
        <x:v>Medium</x:v>
      </x:c>
      <x:c r="F45" t="str">
        <x:v>KPI-88</x:v>
      </x:c>
      <x:c r="G45" s="142" t="str">
        <x:v>Built; UAT pending</x:v>
      </x:c>
      <x:c r="H45" s="142" t="str">
        <x:v>Saved-file definitions exist. Full refreshed DAX reconciliation, data completeness and business acceptance remain open.</x:v>
      </x:c>
      <x:c r="I45" s="142" t="str">
        <x:v>Run refresh, data-quality, cohort, snapshot and role reconciliation before release.</x:v>
      </x:c>
      <x:c r="J45" s="142" t="str">
        <x:v>✅ Implemented</x:v>
      </x:c>
      <x:c r="K45" s="142"/>
      <x:c r="L45" s="41" t="str">
        <x:v>Reporting built</x:v>
      </x:c>
      <x:c r="M45" s="42" t="str">
        <x:v>58-table WIP model; 366 measures; Overall Performance; explorers; snapshots</x:v>
      </x:c>
      <x:c r="N45" s="42" t="str">
        <x:v>30 Sep 2026 WIP file review. Saved-file definitions exist. Full refreshed DAX reconciliation, data completeness and business acceptance remain open.</x:v>
      </x:c>
    </x:row>
    <x:row r="46" ht="26.399999618530273" hidden="0" customHeight="1">
      <x:c r="A46" s="1" t="n">
        <x:f t="shared" si="0"/>
        <x:v>54</x:v>
      </x:c>
      <x:c r="B46" t="str">
        <x:v>R54</x:v>
      </x:c>
      <x:c r="C46" t="str">
        <x:v>Capture reasons for declined placements</x:v>
      </x:c>
      <x:c r="D46" t="str">
        <x:v>Commissioner</x:v>
      </x:c>
      <x:c r="E46" t="str">
        <x:v>High</x:v>
      </x:c>
      <x:c r="F46" t="str">
        <x:v>KPI-34 (partial), KPI-105</x:v>
      </x:c>
      <x:c r="G46" s="142" t="str">
        <x:v>Partial reporting</x:v>
      </x:c>
      <x:c r="H46" s="142" t="str">
        <x:v>Current assignment-level decline/cancellation reasons are present. Complete immutable reason history and business attribution are not established.</x:v>
      </x:c>
      <x:c r="I46" s="142" t="str">
        <x:v>Validate reason completeness, joins and historical coverage; agree classifications.</x:v>
      </x:c>
      <x:c r="J46" s="142" t="str">
        <x:v>⚠️ Partial</x:v>
      </x:c>
      <x:c r="K46" s="142"/>
      <x:c r="L46" s="41" t="str">
        <x:v>Partial reporting</x:v>
      </x:c>
      <x:c r="M46" s="42" t="str">
        <x:v>dim_referral_provider_reject_reason; fact_offer[rejection_reason]; Provider Declines</x:v>
      </x:c>
      <x:c r="N46" s="42" t="str">
        <x:v>30 Sep 2026 WIP file review. Current assignment-level decline/cancellation reasons are present. Complete immutable reason history and business attribution are not established.</x:v>
      </x:c>
    </x:row>
    <x:row r="47" ht="26.399999618530273" hidden="0" customHeight="1">
      <x:c r="A47" s="1" t="n">
        <x:f t="shared" si="0"/>
        <x:v>55</x:v>
      </x:c>
      <x:c r="B47" t="str">
        <x:v>R55</x:v>
      </x:c>
      <x:c r="C47" t="str">
        <x:v>RBAC: commissioners access regional data, market-wide trends</x:v>
      </x:c>
      <x:c r="D47" t="str">
        <x:v>Commissioner</x:v>
      </x:c>
      <x:c r="E47" t="str">
        <x:v>Medium</x:v>
      </x:c>
      <x:c r="F47" t="str">
        <x:v>—</x:v>
      </x:c>
      <x:c r="G47" s="142" t="str">
        <x:v>Security acceptance pending</x:v>
      </x:c>
      <x:c r="H47" s="142" t="str">
        <x:v>Role definitions exist, but authorised identity tests, access provisioning, small-cell disclosure and break-glass controls are not signed off.</x:v>
      </x:c>
      <x:c r="I47" s="142" t="str">
        <x:v>Approve mappings and disclosure policy; execute role and Service-access tests.</x:v>
      </x:c>
      <x:c r="J47" s="142" t="str">
        <x:v>ℹ️ Security</x:v>
      </x:c>
      <x:c r="K47" s="142"/>
      <x:c r="L47" s="41" t="str">
        <x:v>Built security design</x:v>
      </x:c>
      <x:c r="M47" s="42" t="str">
        <x:v>WMPP Dynamic Detail RLS; security mappings; global summary</x:v>
      </x:c>
      <x:c r="N47" s="42" t="str">
        <x:v>30 Sep 2026 WIP file review. Role definitions exist, but authorised identity tests, access provisioning, small-cell disclosure and break-glass controls are not signed off.</x:v>
      </x:c>
    </x:row>
    <x:row r="48" ht="39.599998474121094" hidden="0" customHeight="1">
      <x:c r="A48" s="1" t="n">
        <x:f t="shared" si="0"/>
        <x:v>57</x:v>
      </x:c>
      <x:c r="B48" t="str">
        <x:v>R57</x:v>
      </x:c>
      <x:c r="C48" t="str">
        <x:v>Emergency and planned placements separately reportable</x:v>
      </x:c>
      <x:c r="D48" t="str">
        <x:v>Commissioner</x:v>
      </x:c>
      <x:c r="E48" t="str">
        <x:v>High</x:v>
      </x:c>
      <x:c r="F48" t="str">
        <x:v>KPI-91, KPI-93, KPI-94</x:v>
      </x:c>
      <x:c r="G48" s="142" t="str">
        <x:v>Partial reporting</x:v>
      </x:c>
      <x:c r="H48" s="142" t="str">
        <x:v>Emergency uses the Gold same-day-date rule on OPEN/UNDER_OFFER referrals, not a statutory emergency source classification or spot status.</x:v>
      </x:c>
      <x:c r="I48" s="142" t="str">
        <x:v>Approve emergency definition and finance categorisation; test missing and reversed dates.</x:v>
      </x:c>
      <x:c r="J48" s="142" t="str">
        <x:v>❌ Missing</x:v>
      </x:c>
      <x:c r="K48" s="148" t="str">
        <x:v>Similar to R18</x:v>
      </x:c>
      <x:c r="L48" s="41" t="str">
        <x:v>Partial reporting</x:v>
      </x:c>
      <x:c r="M48" s="42" t="str">
        <x:v>Emergency Referrals; Planned Referrals; Emergency Placement Rate</x:v>
      </x:c>
      <x:c r="N48" s="42" t="str">
        <x:v>30 Sep 2026 WIP file review. Emergency uses the Gold same-day-date rule on OPEN/UNDER_OFFER referrals, not a statutory emergency source classification or spot status.</x:v>
      </x:c>
    </x:row>
    <x:row r="49" ht="26.399999618530273" hidden="0" customHeight="1">
      <x:c r="A49" s="1" t="n">
        <x:f t="shared" si="0"/>
        <x:v>58</x:v>
      </x:c>
      <x:c r="B49" t="str">
        <x:v>R58</x:v>
      </x:c>
      <x:c r="C49" t="str">
        <x:v>Alert when framework changes during active referrals</x:v>
      </x:c>
      <x:c r="D49" t="str">
        <x:v>Commissioner</x:v>
      </x:c>
      <x:c r="E49" t="str">
        <x:v>High</x:v>
      </x:c>
      <x:c r="F49" t="str">
        <x:v>KPI-106</x:v>
      </x:c>
      <x:c r="G49" s="142" t="str">
        <x:v>Open data gap</x:v>
      </x:c>
      <x:c r="H49" s="142" t="str">
        <x:v>Current category membership does not record framework changes during active referrals or alert delivery.</x:v>
      </x:c>
      <x:c r="I49" s="142" t="str">
        <x:v>Obtain effective-dated change events and notification evidence.</x:v>
      </x:c>
      <x:c r="J49" s="142" t="str">
        <x:v>❌ Missing</x:v>
      </x:c>
      <x:c r="K49" s="148" t="str">
        <x:v>***spot proivder are those that arent on the framework…</x:v>
      </x:c>
      <x:c r="L49" s="41" t="str">
        <x:v>Not supported</x:v>
      </x:c>
      <x:c r="M49" s="42" t="str">
        <x:v>Current category bridges only</x:v>
      </x:c>
      <x:c r="N49" s="42" t="str">
        <x:v>30 Sep 2026 WIP file review. Current category membership does not record framework changes during active referrals or alert delivery.</x:v>
      </x:c>
    </x:row>
    <x:row r="50" ht="26.399999618530273" hidden="0" customHeight="1">
      <x:c r="A50" s="1" t="n">
        <x:f t="shared" si="0"/>
        <x:v>59</x:v>
      </x:c>
      <x:c r="B50" t="str">
        <x:v>R59</x:v>
      </x:c>
      <x:c r="C50" t="str">
        <x:v>Bulk provider onboarding supported</x:v>
      </x:c>
      <x:c r="D50" t="str">
        <x:v>Commissioner</x:v>
      </x:c>
      <x:c r="E50" t="str">
        <x:v>Low</x:v>
      </x:c>
      <x:c r="F50" t="str">
        <x:v>KPI-116, KPI-117</x:v>
      </x:c>
      <x:c r="G50" s="142" t="str">
        <x:v>Partial reporting</x:v>
      </x:c>
      <x:c r="H50" s="142" t="str">
        <x:v>Current provider approval state is reportable; it does not certify due diligence, bulk-job success or registration workflow.</x:v>
      </x:c>
      <x:c r="I50" s="142" t="str">
        <x:v>Approve proxy label and obtain workflow/compliance evidence.</x:v>
      </x:c>
      <x:c r="J50" s="142" t="str">
        <x:v>❌ Missing</x:v>
      </x:c>
      <x:c r="K50" s="142"/>
      <x:c r="L50" s="41" t="str">
        <x:v>Partial reporting</x:v>
      </x:c>
      <x:c r="M50" s="42" t="str">
        <x:v>Providers Pending Onboarding; Providers Approved; Provider Onboarding Success Rate</x:v>
      </x:c>
      <x:c r="N50" s="42" t="str">
        <x:v>30 Sep 2026 WIP file review. Current provider approval state is reportable; it does not certify due diligence, bulk-job success or registration workflow.</x:v>
      </x:c>
    </x:row>
    <x:row r="51" ht="39.599998474121094" hidden="0" customHeight="1">
      <x:c r="A51" s="1" t="n">
        <x:f t="shared" si="0"/>
        <x:v>62</x:v>
      </x:c>
      <x:c r="B51" t="str">
        <x:v>R62</x:v>
      </x:c>
      <x:c r="C51" t="str">
        <x:v>View completed placements, access IPAs, extract payment info</x:v>
      </x:c>
      <x:c r="D51" t="str">
        <x:v>Finance Officer</x:v>
      </x:c>
      <x:c r="E51" t="str">
        <x:v>High</x:v>
      </x:c>
      <x:c r="F51" s="4" t="str">
        <x:v>KPI-107, KPI-108, KPI-109</x:v>
      </x:c>
      <x:c r="G51" s="142" t="str">
        <x:v>Partial reporting</x:v>
      </x:c>
      <x:c r="H51" s="142" t="str">
        <x:v>Weekly and lifetime costs are estimates. Payment method, invoice/payment status and actual spend are absent; lifetime-cost formula needs boundary/filter review.</x:v>
      </x:c>
      <x:c r="I51" s="142" t="str">
        <x:v>Approve finance definitions and provide payment facts; do not label estimates as spend.</x:v>
      </x:c>
      <x:c r="J51" s="142" t="str">
        <x:v>❌ Missing</x:v>
      </x:c>
      <x:c r="K51" s="148" t="str">
        <x:v>Only completed IPA where both signatures… or completed IPA with 1 signature… IPA with no signatures</x:v>
      </x:c>
      <x:c r="L51" s="41" t="str">
        <x:v>Partial reporting</x:v>
      </x:c>
      <x:c r="M51" s="42" t="str">
        <x:v>fact_ipa; Estimated Active Weekly Cost; IPA Overview</x:v>
      </x:c>
      <x:c r="N51" s="42" t="str">
        <x:v>30 Sep 2026 WIP file review. Weekly and lifetime costs are estimates. Payment method, invoice/payment status and actual spend are absent; lifetime-cost formula needs boundary/filter review.</x:v>
      </x:c>
    </x:row>
    <x:row r="52" ht="26.399999618530273" hidden="0" customHeight="1">
      <x:c r="A52" s="1" t="n">
        <x:f t="shared" si="0"/>
        <x:v>67</x:v>
      </x:c>
      <x:c r="B52" t="str">
        <x:v>R67</x:v>
      </x:c>
      <x:c r="C52" t="str">
        <x:v>Support adding new frameworks</x:v>
      </x:c>
      <x:c r="D52" t="str">
        <x:v>All</x:v>
      </x:c>
      <x:c r="E52" t="str">
        <x:v>Medium</x:v>
      </x:c>
      <x:c r="F52" t="str">
        <x:v>KPI-25, KPI-38</x:v>
      </x:c>
      <x:c r="G52" s="142" t="str">
        <x:v>Partial reporting</x:v>
      </x:c>
      <x:c r="H52" s="142" t="str">
        <x:v>Current reference/category reporting exists; framework configuration workflows and specific release contents need business verification.</x:v>
      </x:c>
      <x:c r="I52" s="142" t="str">
        <x:v>Reconcile framework versions and all categories, then confirm portal configuration.</x:v>
      </x:c>
      <x:c r="J52" s="142" t="str">
        <x:v>✅ Implemented</x:v>
      </x:c>
      <x:c r="K52" s="142"/>
      <x:c r="L52" s="41" t="str">
        <x:v>Partial reporting</x:v>
      </x:c>
      <x:c r="M52" s="42" t="str">
        <x:v>dim_framework; dim_framework_category; category bridges; service-type views</x:v>
      </x:c>
      <x:c r="N52" s="42" t="str">
        <x:v>30 Sep 2026 WIP file review. Current reference/category reporting exists; framework configuration workflows and specific release contents need business verification.</x:v>
      </x:c>
    </x:row>
    <x:row r="53" ht="26.399999618530273" hidden="0" customHeight="1">
      <x:c r="A53" s="1" t="n">
        <x:f t="shared" si="0"/>
        <x:v>68</x:v>
      </x:c>
      <x:c r="B53" t="str">
        <x:v>R68</x:v>
      </x:c>
      <x:c r="C53" t="str">
        <x:v>Frameworks configurable: display, hide, isolate by region</x:v>
      </x:c>
      <x:c r="D53" t="str">
        <x:v>All</x:v>
      </x:c>
      <x:c r="E53" t="str">
        <x:v>Medium</x:v>
      </x:c>
      <x:c r="F53" t="str">
        <x:v>KPI-25, KPI-38</x:v>
      </x:c>
      <x:c r="G53" s="142" t="str">
        <x:v>Partial reporting</x:v>
      </x:c>
      <x:c r="H53" s="142" t="str">
        <x:v>Current reference/category reporting exists; framework configuration workflows and specific release contents need business verification.</x:v>
      </x:c>
      <x:c r="I53" s="142" t="str">
        <x:v>Reconcile framework versions and all categories, then confirm portal configuration.</x:v>
      </x:c>
      <x:c r="J53" s="142" t="str">
        <x:v>✅ Implemented</x:v>
      </x:c>
      <x:c r="K53" s="142"/>
      <x:c r="L53" s="41" t="str">
        <x:v>Partial reporting</x:v>
      </x:c>
      <x:c r="M53" s="42" t="str">
        <x:v>dim_framework; dim_framework_category; category bridges; service-type views</x:v>
      </x:c>
      <x:c r="N53" s="42" t="str">
        <x:v>30 Sep 2026 WIP file review. Current reference/category reporting exists; framework configuration workflows and specific release contents need business verification.</x:v>
      </x:c>
    </x:row>
    <x:row r="54" ht="26.399999618530273" hidden="0" customHeight="1">
      <x:c r="A54" s="1" t="n">
        <x:f t="shared" si="0"/>
        <x:v>69</x:v>
      </x:c>
      <x:c r="B54" t="str">
        <x:v>R69</x:v>
      </x:c>
      <x:c r="C54" t="str">
        <x:v>Robust analytical data model</x:v>
      </x:c>
      <x:c r="D54" t="str">
        <x:v>All</x:v>
      </x:c>
      <x:c r="E54" t="str">
        <x:v>High</x:v>
      </x:c>
      <x:c r="F54" t="str">
        <x:v>—</x:v>
      </x:c>
      <x:c r="G54" s="142" t="str">
        <x:v>Built; UAT pending</x:v>
      </x:c>
      <x:c r="H54" s="142" t="str">
        <x:v>Saved-file definitions exist. Full refreshed DAX reconciliation, data completeness and business acceptance remain open.</x:v>
      </x:c>
      <x:c r="I54" s="142" t="str">
        <x:v>Run refresh, data-quality, cohort, snapshot and role reconciliation before release.</x:v>
      </x:c>
      <x:c r="J54" s="142" t="str">
        <x:v>ℹ️ Non-functional</x:v>
      </x:c>
      <x:c r="K54" s="142"/>
      <x:c r="L54" s="41" t="str">
        <x:v>Reporting built</x:v>
      </x:c>
      <x:c r="M54" s="42" t="str">
        <x:v>58-table WIP model; 366 measures; Overall Performance; explorers; snapshots</x:v>
      </x:c>
      <x:c r="N54" s="42" t="str">
        <x:v>30 Sep 2026 WIP file review. Saved-file definitions exist. Full refreshed DAX reconciliation, data completeness and business acceptance remain open.</x:v>
      </x:c>
    </x:row>
    <x:row r="55" ht="26.399999618530273" hidden="0" customHeight="1">
      <x:c r="A55" s="1" t="n">
        <x:f t="shared" si="0"/>
        <x:v>70</x:v>
      </x:c>
      <x:c r="B55" t="str">
        <x:v>R70</x:v>
      </x:c>
      <x:c r="C55" t="str">
        <x:v>Auto-save across workflows</x:v>
      </x:c>
      <x:c r="D55" t="str">
        <x:v>All</x:v>
      </x:c>
      <x:c r="E55" t="str">
        <x:v>Low</x:v>
      </x:c>
      <x:c r="F55" t="str">
        <x:v>—</x:v>
      </x:c>
      <x:c r="G55" s="142" t="str">
        <x:v>Outside report assessment</x:v>
      </x:c>
      <x:c r="H55" s="142" t="str">
        <x:v>Read-only reporting cannot implement notifications, matching, upload, record editing or operational visibility rules.</x:v>
      </x:c>
      <x:c r="I55" s="142" t="str">
        <x:v>Obtain source-system workflow acceptance separately.</x:v>
      </x:c>
      <x:c r="J55" s="142" t="str">
        <x:v>ℹ️ Feature</x:v>
      </x:c>
      <x:c r="K55" s="142"/>
      <x:c r="L55" s="41" t="str">
        <x:v>Not a report feature</x:v>
      </x:c>
      <x:c r="M55" s="42" t="str">
        <x:v>Functional Specification; source portal workflow</x:v>
      </x:c>
      <x:c r="N55" s="42" t="str">
        <x:v>30 Sep 2026 WIP file review. Read-only reporting cannot implement notifications, matching, upload, record editing or operational visibility rules.</x:v>
      </x:c>
    </x:row>
    <x:row r="56" ht="26.399999618530273" hidden="0" customHeight="1">
      <x:c r="A56" s="1" t="n">
        <x:f t="shared" si="0"/>
        <x:v>71</x:v>
      </x:c>
      <x:c r="B56" t="str">
        <x:v>R71</x:v>
      </x:c>
      <x:c r="C56" t="str">
        <x:v>Digitised IPA: review, approvals, signing, full audit</x:v>
      </x:c>
      <x:c r="D56" t="str">
        <x:v>Provider</x:v>
      </x:c>
      <x:c r="E56" t="str">
        <x:v>High</x:v>
      </x:c>
      <x:c r="F56" t="str">
        <x:v>KPI-73–KPI-86</x:v>
      </x:c>
      <x:c r="G56" s="142" t="str">
        <x:v>Partial reporting</x:v>
      </x:c>
      <x:c r="H56" s="142" t="str">
        <x:v>IPA-grain signing is implemented; the report does not perform signing, approval or certify a full audit trail.</x:v>
      </x:c>
      <x:c r="I56" s="142" t="str">
        <x:v>Reconcile both signatures on the same IPA, closed unsigned IPAs and multiple IPAs per offer.</x:v>
      </x:c>
      <x:c r="J56" s="142" t="str">
        <x:v>✅ Implemented</x:v>
      </x:c>
      <x:c r="K56" s="142"/>
      <x:c r="L56" s="41" t="str">
        <x:v>Partial reporting</x:v>
      </x:c>
      <x:c r="M56" s="42" t="str">
        <x:v>fact_ipa; IPA Completed; IPAs Pending Completion; signature flags</x:v>
      </x:c>
      <x:c r="N56" s="42" t="str">
        <x:v>30 Sep 2026 WIP file review. IPA-grain signing is implemented; the report does not perform signing, approval or certify a full audit trail.</x:v>
      </x:c>
    </x:row>
    <x:row r="57" ht="26.399999618530273" hidden="0" customHeight="1">
      <x:c r="A57" s="1" t="n">
        <x:f t="shared" si="0"/>
        <x:v>72</x:v>
      </x:c>
      <x:c r="B57" t="str">
        <x:v>R72</x:v>
      </x:c>
      <x:c r="C57" t="str">
        <x:v>Digitise paper processes: workflow, auditable, trackable, lifecycle</x:v>
      </x:c>
      <x:c r="D57" t="str">
        <x:v>All</x:v>
      </x:c>
      <x:c r="E57" t="str">
        <x:v>Medium</x:v>
      </x:c>
      <x:c r="F57" t="str">
        <x:v>—</x:v>
      </x:c>
      <x:c r="G57" s="142" t="str">
        <x:v>Outside report assessment</x:v>
      </x:c>
      <x:c r="H57" s="142" t="str">
        <x:v>Read-only reporting cannot implement notifications, matching, upload, record editing or operational visibility rules.</x:v>
      </x:c>
      <x:c r="I57" s="142" t="str">
        <x:v>Obtain source-system workflow acceptance separately.</x:v>
      </x:c>
      <x:c r="J57" s="142" t="str">
        <x:v>ℹ️ Feature</x:v>
      </x:c>
      <x:c r="K57" s="142"/>
      <x:c r="L57" s="41" t="str">
        <x:v>Not a report feature</x:v>
      </x:c>
      <x:c r="M57" s="42" t="str">
        <x:v>Functional Specification; source portal workflow</x:v>
      </x:c>
      <x:c r="N57" s="42" t="str">
        <x:v>30 Sep 2026 WIP file review. Read-only reporting cannot implement notifications, matching, upload, record editing or operational visibility rules.</x:v>
      </x:c>
    </x:row>
    <x:row r="58" ht="26.399999618530273" hidden="0" customHeight="1">
      <x:c r="A58" s="1" t="n">
        <x:f t="shared" si="0"/>
        <x:v>73</x:v>
      </x:c>
      <x:c r="B58" t="str">
        <x:v>R73</x:v>
      </x:c>
      <x:c r="C58" t="str">
        <x:v>Support future enhancements and Agile delivery</x:v>
      </x:c>
      <x:c r="D58" t="str">
        <x:v>All</x:v>
      </x:c>
      <x:c r="E58" t="str">
        <x:v>Low</x:v>
      </x:c>
      <x:c r="F58" t="str">
        <x:v>—</x:v>
      </x:c>
      <x:c r="G58" s="142" t="str">
        <x:v>Outside report assessment</x:v>
      </x:c>
      <x:c r="H58" s="142" t="str">
        <x:v>Design and roadmap evidence is separate from KPI coverage or production acceptance.</x:v>
      </x:c>
      <x:c r="I58" s="142" t="str">
        <x:v>Confirm architecture/procurement and hosting decisions.</x:v>
      </x:c>
      <x:c r="J58" s="142" t="str">
        <x:v>ℹ️ Non-functional</x:v>
      </x:c>
      <x:c r="K58" s="142"/>
      <x:c r="L58" s="41" t="str">
        <x:v>Not a report feature</x:v>
      </x:c>
      <x:c r="M58" s="42" t="str">
        <x:v>HLD; TFD; Statement of Work</x:v>
      </x:c>
      <x:c r="N58" s="42" t="str">
        <x:v>30 Sep 2026 WIP file review. Design and roadmap evidence is separate from KPI coverage or production acceptance.</x:v>
      </x:c>
    </x:row>
    <x:row r="59" ht="26.399999618530273" hidden="0" customHeight="1">
      <x:c r="A59" s="1" t="n">
        <x:f t="shared" si="0"/>
        <x:v>74</x:v>
      </x:c>
      <x:c r="B59" t="str">
        <x:v>R74</x:v>
      </x:c>
      <x:c r="C59" t="str">
        <x:v>COTS preferred</x:v>
      </x:c>
      <x:c r="D59" t="str">
        <x:v>All</x:v>
      </x:c>
      <x:c r="E59" t="str">
        <x:v>Low</x:v>
      </x:c>
      <x:c r="F59" t="str">
        <x:v>—</x:v>
      </x:c>
      <x:c r="G59" s="142" t="str">
        <x:v>Outside report assessment</x:v>
      </x:c>
      <x:c r="H59" s="142" t="str">
        <x:v>Design and roadmap evidence is separate from KPI coverage or production acceptance.</x:v>
      </x:c>
      <x:c r="I59" s="142" t="str">
        <x:v>Confirm architecture/procurement and hosting decisions.</x:v>
      </x:c>
      <x:c r="J59" s="142" t="str">
        <x:v>ℹ️ Non-functional</x:v>
      </x:c>
      <x:c r="K59" s="142"/>
      <x:c r="L59" s="41" t="str">
        <x:v>Not a report feature</x:v>
      </x:c>
      <x:c r="M59" s="42" t="str">
        <x:v>HLD; TFD; Statement of Work</x:v>
      </x:c>
      <x:c r="N59" s="42" t="str">
        <x:v>30 Sep 2026 WIP file review. Design and roadmap evidence is separate from KPI coverage or production acceptance.</x:v>
      </x:c>
    </x:row>
    <x:row r="60" ht="26.399999618530273" hidden="0" customHeight="1">
      <x:c r="A60" s="1" t="n">
        <x:f t="shared" si="0"/>
        <x:v>75</x:v>
      </x:c>
      <x:c r="B60" t="str">
        <x:v>R75</x:v>
      </x:c>
      <x:c r="C60" t="str">
        <x:v>High availability, scalability, fault tolerance, DR</x:v>
      </x:c>
      <x:c r="D60" t="str">
        <x:v>All</x:v>
      </x:c>
      <x:c r="E60" t="str">
        <x:v>High</x:v>
      </x:c>
      <x:c r="F60" t="str">
        <x:v>—</x:v>
      </x:c>
      <x:c r="G60" s="142" t="str">
        <x:v>Delivery acceptance pending</x:v>
      </x:c>
      <x:c r="H60" s="142" t="str">
        <x:v>Report/model files do not establish availability, accessibility, SLA, device compatibility, migration completeness, retention or formal sign-off.</x:v>
      </x:c>
      <x:c r="I60" s="142" t="str">
        <x:v>Complete the requirement-specific acceptance evidence; freshness is not an SLA measurement.</x:v>
      </x:c>
      <x:c r="J60" s="142" t="str">
        <x:v>ℹ️ Non-functional</x:v>
      </x:c>
      <x:c r="K60" s="142"/>
      <x:c r="L60" s="41" t="str">
        <x:v>Separate acceptance required</x:v>
      </x:c>
      <x:c r="M60" s="42" t="str">
        <x:v>Runbooks; validation checklist; current documentation</x:v>
      </x:c>
      <x:c r="N60" s="42" t="str">
        <x:v>30 Sep 2026 WIP file review. Report/model files do not establish availability, accessibility, SLA, device compatibility, migration completeness, retention or formal sign-off.</x:v>
      </x:c>
    </x:row>
    <x:row r="61" ht="26.399999618530273" hidden="0" customHeight="1">
      <x:c r="A61" s="1" t="n">
        <x:f t="shared" si="0"/>
        <x:v>76</x:v>
      </x:c>
      <x:c r="B61" t="str">
        <x:v>R76</x:v>
      </x:c>
      <x:c r="C61" t="str">
        <x:v>Access restricted to authorised users</x:v>
      </x:c>
      <x:c r="D61" t="str">
        <x:v>All</x:v>
      </x:c>
      <x:c r="E61" t="str">
        <x:v>High</x:v>
      </x:c>
      <x:c r="F61" t="str">
        <x:v>—</x:v>
      </x:c>
      <x:c r="G61" s="142" t="str">
        <x:v>Security acceptance pending</x:v>
      </x:c>
      <x:c r="H61" s="142" t="str">
        <x:v>Role definitions exist, but authorised identity tests, access provisioning, small-cell disclosure and break-glass controls are not signed off.</x:v>
      </x:c>
      <x:c r="I61" s="142" t="str">
        <x:v>Approve mappings and disclosure policy; execute role and Service-access tests.</x:v>
      </x:c>
      <x:c r="J61" s="142" t="str">
        <x:v>ℹ️ Security</x:v>
      </x:c>
      <x:c r="K61" s="142"/>
      <x:c r="L61" s="41" t="str">
        <x:v>Built security design</x:v>
      </x:c>
      <x:c r="M61" s="42" t="str">
        <x:v>WMPP Dynamic Detail RLS; security mappings; global summary</x:v>
      </x:c>
      <x:c r="N61" s="42" t="str">
        <x:v>30 Sep 2026 WIP file review. Role definitions exist, but authorised identity tests, access provisioning, small-cell disclosure and break-glass controls are not signed off.</x:v>
      </x:c>
    </x:row>
    <x:row r="62" ht="26.399999618530273" hidden="0" customHeight="1">
      <x:c r="A62" s="1" t="n">
        <x:f t="shared" si="0"/>
        <x:v>77</x:v>
      </x:c>
      <x:c r="B62" t="str">
        <x:v>R77</x:v>
      </x:c>
      <x:c r="C62" t="str">
        <x:v>Admin: user management, org onboarding, ownership transfer</x:v>
      </x:c>
      <x:c r="D62" t="str">
        <x:v>All</x:v>
      </x:c>
      <x:c r="E62" t="str">
        <x:v>Medium</x:v>
      </x:c>
      <x:c r="F62" t="str">
        <x:v>—</x:v>
      </x:c>
      <x:c r="G62" s="142" t="str">
        <x:v>Outside report assessment</x:v>
      </x:c>
      <x:c r="H62" s="142" t="str">
        <x:v>Read-only reporting cannot implement notifications, matching, upload, record editing or operational visibility rules.</x:v>
      </x:c>
      <x:c r="I62" s="142" t="str">
        <x:v>Obtain source-system workflow acceptance separately.</x:v>
      </x:c>
      <x:c r="J62" s="142" t="str">
        <x:v>ℹ️ Feature</x:v>
      </x:c>
      <x:c r="K62" s="142"/>
      <x:c r="L62" s="41" t="str">
        <x:v>Not a report feature</x:v>
      </x:c>
      <x:c r="M62" s="42" t="str">
        <x:v>Functional Specification; source portal workflow</x:v>
      </x:c>
      <x:c r="N62" s="42" t="str">
        <x:v>30 Sep 2026 WIP file review. Read-only reporting cannot implement notifications, matching, upload, record editing or operational visibility rules.</x:v>
      </x:c>
    </x:row>
    <x:row r="63" ht="26.399999618530273" hidden="0" customHeight="1">
      <x:c r="A63" s="1" t="n">
        <x:f t="shared" si="0"/>
        <x:v>78</x:v>
      </x:c>
      <x:c r="B63" t="str">
        <x:v>R78</x:v>
      </x:c>
      <x:c r="C63" t="str">
        <x:v>RBAC and full auditing mandatory</x:v>
      </x:c>
      <x:c r="D63" t="str">
        <x:v>All</x:v>
      </x:c>
      <x:c r="E63" t="str">
        <x:v>High</x:v>
      </x:c>
      <x:c r="F63" t="str">
        <x:v>—</x:v>
      </x:c>
      <x:c r="G63" s="142" t="str">
        <x:v>Security acceptance pending</x:v>
      </x:c>
      <x:c r="H63" s="142" t="str">
        <x:v>Role definitions exist, but authorised identity tests, access provisioning, small-cell disclosure and break-glass controls are not signed off.</x:v>
      </x:c>
      <x:c r="I63" s="142" t="str">
        <x:v>Approve mappings and disclosure policy; execute role and Service-access tests.</x:v>
      </x:c>
      <x:c r="J63" s="142" t="str">
        <x:v>ℹ️ Security</x:v>
      </x:c>
      <x:c r="K63" s="142"/>
      <x:c r="L63" s="41" t="str">
        <x:v>Built security design</x:v>
      </x:c>
      <x:c r="M63" s="42" t="str">
        <x:v>WMPP Dynamic Detail RLS; security mappings; global summary</x:v>
      </x:c>
      <x:c r="N63" s="42" t="str">
        <x:v>30 Sep 2026 WIP file review. Role definitions exist, but authorised identity tests, access provisioning, small-cell disclosure and break-glass controls are not signed off.</x:v>
      </x:c>
    </x:row>
    <x:row r="64" ht="26.399999618530273" hidden="0" customHeight="1">
      <x:c r="A64" s="1" t="n">
        <x:f t="shared" si="0"/>
        <x:v>79</x:v>
      </x:c>
      <x:c r="B64" t="str">
        <x:v>R79</x:v>
      </x:c>
      <x:c r="C64" t="str">
        <x:v>Break-glass access: controlled, auditable, emergency</x:v>
      </x:c>
      <x:c r="D64" t="str">
        <x:v>All</x:v>
      </x:c>
      <x:c r="E64" t="str">
        <x:v>Medium</x:v>
      </x:c>
      <x:c r="F64" t="str">
        <x:v>—</x:v>
      </x:c>
      <x:c r="G64" s="142" t="str">
        <x:v>Security acceptance pending</x:v>
      </x:c>
      <x:c r="H64" s="142" t="str">
        <x:v>Role definitions exist, but authorised identity tests, access provisioning, small-cell disclosure and break-glass controls are not signed off.</x:v>
      </x:c>
      <x:c r="I64" s="142" t="str">
        <x:v>Approve mappings and disclosure policy; execute role and Service-access tests.</x:v>
      </x:c>
      <x:c r="J64" s="142" t="str">
        <x:v>ℹ️ Security</x:v>
      </x:c>
      <x:c r="K64" s="142"/>
      <x:c r="L64" s="41" t="str">
        <x:v>Built security design</x:v>
      </x:c>
      <x:c r="M64" s="42" t="str">
        <x:v>WMPP Dynamic Detail RLS; security mappings; global summary</x:v>
      </x:c>
      <x:c r="N64" s="42" t="str">
        <x:v>30 Sep 2026 WIP file review. Role definitions exist, but authorised identity tests, access provisioning, small-cell disclosure and break-glass controls are not signed off.</x:v>
      </x:c>
    </x:row>
    <x:row r="65" ht="26.399999618530273" hidden="0" customHeight="1">
      <x:c r="A65" s="1" t="n">
        <x:f t="shared" si="0"/>
        <x:v>80</x:v>
      </x:c>
      <x:c r="B65" t="str">
        <x:v>R80</x:v>
      </x:c>
      <x:c r="C65" t="str">
        <x:v>Fast document upload/retrieval, RBAC-protected access</x:v>
      </x:c>
      <x:c r="D65" t="str">
        <x:v>All</x:v>
      </x:c>
      <x:c r="E65" t="str">
        <x:v>Medium</x:v>
      </x:c>
      <x:c r="F65" t="str">
        <x:v>—</x:v>
      </x:c>
      <x:c r="G65" s="142" t="str">
        <x:v>Outside report assessment</x:v>
      </x:c>
      <x:c r="H65" s="142" t="str">
        <x:v>Read-only reporting cannot implement notifications, matching, upload, record editing or operational visibility rules.</x:v>
      </x:c>
      <x:c r="I65" s="142" t="str">
        <x:v>Obtain source-system workflow acceptance separately.</x:v>
      </x:c>
      <x:c r="J65" s="142" t="str">
        <x:v>ℹ️ Feature</x:v>
      </x:c>
      <x:c r="K65" s="142"/>
      <x:c r="L65" s="41" t="str">
        <x:v>Not a report feature</x:v>
      </x:c>
      <x:c r="M65" s="42" t="str">
        <x:v>Functional Specification; source portal workflow</x:v>
      </x:c>
      <x:c r="N65" s="42" t="str">
        <x:v>30 Sep 2026 WIP file review. Read-only reporting cannot implement notifications, matching, upload, record editing or operational visibility rules.</x:v>
      </x:c>
    </x:row>
    <x:row r="66" ht="26.399999618530273" hidden="0" customHeight="1">
      <x:c r="A66" s="1" t="n">
        <x:f t="shared" ref="A66:A81" si="1">VALUE(TRIM(SUBSTITUTE(B66,"R","",1)))</x:f>
        <x:v>81</x:v>
      </x:c>
      <x:c r="B66" t="str">
        <x:v>R81</x:v>
      </x:c>
      <x:c r="C66" t="str">
        <x:v>WCAG 2.0/2.1/2.2 compliance</x:v>
      </x:c>
      <x:c r="D66" t="str">
        <x:v>All</x:v>
      </x:c>
      <x:c r="E66" t="str">
        <x:v>Medium</x:v>
      </x:c>
      <x:c r="F66" t="str">
        <x:v>—</x:v>
      </x:c>
      <x:c r="G66" s="142" t="str">
        <x:v>Delivery acceptance pending</x:v>
      </x:c>
      <x:c r="H66" s="142" t="str">
        <x:v>Report/model files do not establish availability, accessibility, SLA, device compatibility, migration completeness, retention or formal sign-off.</x:v>
      </x:c>
      <x:c r="I66" s="142" t="str">
        <x:v>Complete the requirement-specific acceptance evidence; freshness is not an SLA measurement.</x:v>
      </x:c>
      <x:c r="J66" s="142" t="str">
        <x:v>ℹ️ Non-functional</x:v>
      </x:c>
      <x:c r="K66" s="142"/>
      <x:c r="L66" s="41" t="str">
        <x:v>Separate acceptance required</x:v>
      </x:c>
      <x:c r="M66" s="42" t="str">
        <x:v>Runbooks; validation checklist; current documentation</x:v>
      </x:c>
      <x:c r="N66" s="42" t="str">
        <x:v>30 Sep 2026 WIP file review. Report/model files do not establish availability, accessibility, SLA, device compatibility, migration completeness, retention or formal sign-off.</x:v>
      </x:c>
    </x:row>
    <x:row r="67" ht="26.399999618530273" hidden="0" customHeight="1">
      <x:c r="A67" s="1" t="n">
        <x:f t="shared" si="1"/>
        <x:v>82</x:v>
      </x:c>
      <x:c r="B67" t="str">
        <x:v>R82</x:v>
      </x:c>
      <x:c r="C67" t="str">
        <x:v>Fast response times, scalability, performance reporting</x:v>
      </x:c>
      <x:c r="D67" t="str">
        <x:v>All</x:v>
      </x:c>
      <x:c r="E67" t="str">
        <x:v>Medium</x:v>
      </x:c>
      <x:c r="F67" t="str">
        <x:v>KPI-87</x:v>
      </x:c>
      <x:c r="G67" s="142" t="str">
        <x:v>Delivery acceptance pending</x:v>
      </x:c>
      <x:c r="H67" s="142" t="str">
        <x:v>Report/model files do not establish availability, accessibility, SLA, device compatibility, migration completeness, retention or formal sign-off.</x:v>
      </x:c>
      <x:c r="I67" s="142" t="str">
        <x:v>Complete the requirement-specific acceptance evidence; freshness is not an SLA measurement.</x:v>
      </x:c>
      <x:c r="J67" s="142" t="str">
        <x:v>✅ Implemented</x:v>
      </x:c>
      <x:c r="K67" s="142"/>
      <x:c r="L67" s="41" t="str">
        <x:v>Separate acceptance required</x:v>
      </x:c>
      <x:c r="M67" s="42" t="str">
        <x:v>Runbooks; validation checklist; current documentation</x:v>
      </x:c>
      <x:c r="N67" s="42" t="str">
        <x:v>30 Sep 2026 WIP file review. Report/model files do not establish availability, accessibility, SLA, device compatibility, migration completeness, retention or formal sign-off.</x:v>
      </x:c>
    </x:row>
    <x:row r="68" ht="26.399999618530273" hidden="0" customHeight="1">
      <x:c r="A68" s="1" t="n">
        <x:f t="shared" si="1"/>
        <x:v>83</x:v>
      </x:c>
      <x:c r="B68" t="str">
        <x:v>R83</x:v>
      </x:c>
      <x:c r="C68" t="str">
        <x:v>Migrate placements, purchases, providers, OFSTED, frameworks, active placements</x:v>
      </x:c>
      <x:c r="D68" t="str">
        <x:v>All</x:v>
      </x:c>
      <x:c r="E68" t="str">
        <x:v>High</x:v>
      </x:c>
      <x:c r="F68" t="str">
        <x:v>—</x:v>
      </x:c>
      <x:c r="G68" s="142" t="str">
        <x:v>Delivery acceptance pending</x:v>
      </x:c>
      <x:c r="H68" s="142" t="str">
        <x:v>Report/model files do not establish availability, accessibility, SLA, device compatibility, migration completeness, retention or formal sign-off.</x:v>
      </x:c>
      <x:c r="I68" s="142" t="str">
        <x:v>Complete the requirement-specific acceptance evidence; freshness is not an SLA measurement.</x:v>
      </x:c>
      <x:c r="J68" s="142" t="str">
        <x:v>ℹ️ Non-functional</x:v>
      </x:c>
      <x:c r="K68" s="142"/>
      <x:c r="L68" s="41" t="str">
        <x:v>Separate acceptance required</x:v>
      </x:c>
      <x:c r="M68" s="42" t="str">
        <x:v>Runbooks; validation checklist; current documentation</x:v>
      </x:c>
      <x:c r="N68" s="42" t="str">
        <x:v>30 Sep 2026 WIP file review. Report/model files do not establish availability, accessibility, SLA, device compatibility, migration completeness, retention or formal sign-off.</x:v>
      </x:c>
    </x:row>
    <x:row r="69" ht="26.399999618530273" hidden="0" customHeight="1">
      <x:c r="A69" s="1" t="n">
        <x:f t="shared" si="1"/>
        <x:v>84</x:v>
      </x:c>
      <x:c r="B69" t="str">
        <x:v>R84</x:v>
      </x:c>
      <x:c r="C69" t="str">
        <x:v>Data integrity, retention, export, configurable policies</x:v>
      </x:c>
      <x:c r="D69" t="str">
        <x:v>All</x:v>
      </x:c>
      <x:c r="E69" t="str">
        <x:v>High</x:v>
      </x:c>
      <x:c r="F69" t="str">
        <x:v>—</x:v>
      </x:c>
      <x:c r="G69" s="142" t="str">
        <x:v>Delivery acceptance pending</x:v>
      </x:c>
      <x:c r="H69" s="142" t="str">
        <x:v>Report/model files do not establish availability, accessibility, SLA, device compatibility, migration completeness, retention or formal sign-off.</x:v>
      </x:c>
      <x:c r="I69" s="142" t="str">
        <x:v>Complete the requirement-specific acceptance evidence; freshness is not an SLA measurement.</x:v>
      </x:c>
      <x:c r="J69" s="142" t="str">
        <x:v>ℹ️ Non-functional</x:v>
      </x:c>
      <x:c r="K69" s="142"/>
      <x:c r="L69" s="41" t="str">
        <x:v>Separate acceptance required</x:v>
      </x:c>
      <x:c r="M69" s="42" t="str">
        <x:v>Runbooks; validation checklist; current documentation</x:v>
      </x:c>
      <x:c r="N69" s="42" t="str">
        <x:v>30 Sep 2026 WIP file review. Report/model files do not establish availability, accessibility, SLA, device compatibility, migration completeness, retention or formal sign-off.</x:v>
      </x:c>
    </x:row>
    <x:row r="70" ht="26.399999618530273" hidden="0" customHeight="1">
      <x:c r="A70" s="1" t="n">
        <x:f t="shared" si="1"/>
        <x:v>85</x:v>
      </x:c>
      <x:c r="B70" t="str">
        <x:v>R85</x:v>
      </x:c>
      <x:c r="C70" t="str">
        <x:v>Deployment: FAQs, user guides, demos, support materials</x:v>
      </x:c>
      <x:c r="D70" t="str">
        <x:v>All</x:v>
      </x:c>
      <x:c r="E70" t="str">
        <x:v>Low</x:v>
      </x:c>
      <x:c r="F70" t="str">
        <x:v>—</x:v>
      </x:c>
      <x:c r="G70" s="142" t="str">
        <x:v>Delivery acceptance pending</x:v>
      </x:c>
      <x:c r="H70" s="142" t="str">
        <x:v>Report/model files do not establish availability, accessibility, SLA, device compatibility, migration completeness, retention or formal sign-off.</x:v>
      </x:c>
      <x:c r="I70" s="142" t="str">
        <x:v>Complete the requirement-specific acceptance evidence; freshness is not an SLA measurement.</x:v>
      </x:c>
      <x:c r="J70" s="142" t="str">
        <x:v>ℹ️ Non-functional</x:v>
      </x:c>
      <x:c r="K70" s="142"/>
      <x:c r="L70" s="41" t="str">
        <x:v>Separate acceptance required</x:v>
      </x:c>
      <x:c r="M70" s="42" t="str">
        <x:v>Runbooks; validation checklist; current documentation</x:v>
      </x:c>
      <x:c r="N70" s="42" t="str">
        <x:v>30 Sep 2026 WIP file review. Report/model files do not establish availability, accessibility, SLA, device compatibility, migration completeness, retention or formal sign-off.</x:v>
      </x:c>
    </x:row>
    <x:row r="71" ht="26.399999618530273" hidden="0" customHeight="1">
      <x:c r="A71" s="1" t="n">
        <x:f t="shared" si="1"/>
        <x:v>86</x:v>
      </x:c>
      <x:c r="B71" t="str">
        <x:v>R86</x:v>
      </x:c>
      <x:c r="C71" t="str">
        <x:v>Device agnostic, browser compatible, mobile friendly</x:v>
      </x:c>
      <x:c r="D71" t="str">
        <x:v>All</x:v>
      </x:c>
      <x:c r="E71" t="str">
        <x:v>Medium</x:v>
      </x:c>
      <x:c r="F71" t="str">
        <x:v>—</x:v>
      </x:c>
      <x:c r="G71" s="142" t="str">
        <x:v>Delivery acceptance pending</x:v>
      </x:c>
      <x:c r="H71" s="142" t="str">
        <x:v>Report/model files do not establish availability, accessibility, SLA, device compatibility, migration completeness, retention or formal sign-off.</x:v>
      </x:c>
      <x:c r="I71" s="142" t="str">
        <x:v>Complete the requirement-specific acceptance evidence; freshness is not an SLA measurement.</x:v>
      </x:c>
      <x:c r="J71" s="142" t="str">
        <x:v>ℹ️ Non-functional</x:v>
      </x:c>
      <x:c r="K71" s="142"/>
      <x:c r="L71" s="41" t="str">
        <x:v>Separate acceptance required</x:v>
      </x:c>
      <x:c r="M71" s="42" t="str">
        <x:v>Runbooks; validation checklist; current documentation</x:v>
      </x:c>
      <x:c r="N71" s="42" t="str">
        <x:v>30 Sep 2026 WIP file review. Report/model files do not establish availability, accessibility, SLA, device compatibility, migration completeness, retention or formal sign-off.</x:v>
      </x:c>
    </x:row>
    <x:row r="72" ht="26.399999618530273" hidden="0" customHeight="1">
      <x:c r="A72" s="1" t="n">
        <x:f t="shared" si="1"/>
        <x:v>87</x:v>
      </x:c>
      <x:c r="B72" t="str">
        <x:v>R87</x:v>
      </x:c>
      <x:c r="C72" t="str">
        <x:v>Incident management, issue reporting, SLAs</x:v>
      </x:c>
      <x:c r="D72" t="str">
        <x:v>All</x:v>
      </x:c>
      <x:c r="E72" t="str">
        <x:v>Medium</x:v>
      </x:c>
      <x:c r="F72" t="str">
        <x:v>—</x:v>
      </x:c>
      <x:c r="G72" s="142" t="str">
        <x:v>Delivery acceptance pending</x:v>
      </x:c>
      <x:c r="H72" s="142" t="str">
        <x:v>Report/model files do not establish availability, accessibility, SLA, device compatibility, migration completeness, retention or formal sign-off.</x:v>
      </x:c>
      <x:c r="I72" s="142" t="str">
        <x:v>Complete the requirement-specific acceptance evidence; freshness is not an SLA measurement.</x:v>
      </x:c>
      <x:c r="J72" s="142" t="str">
        <x:v>ℹ️ Non-functional</x:v>
      </x:c>
      <x:c r="K72" s="142"/>
      <x:c r="L72" s="41" t="str">
        <x:v>Separate acceptance required</x:v>
      </x:c>
      <x:c r="M72" s="42" t="str">
        <x:v>Runbooks; validation checklist; current documentation</x:v>
      </x:c>
      <x:c r="N72" s="42" t="str">
        <x:v>30 Sep 2026 WIP file review. Report/model files do not establish availability, accessibility, SLA, device compatibility, migration completeness, retention or formal sign-off.</x:v>
      </x:c>
    </x:row>
    <x:row r="73" ht="26.399999618530273" hidden="0" customHeight="1">
      <x:c r="A73" s="1" t="n">
        <x:f t="shared" si="1"/>
        <x:v>88</x:v>
      </x:c>
      <x:c r="B73" t="str">
        <x:v>R88</x:v>
      </x:c>
      <x:c r="C73" t="str">
        <x:v>Modular growth, controlled change, product roadmaps</x:v>
      </x:c>
      <x:c r="D73" t="str">
        <x:v>All</x:v>
      </x:c>
      <x:c r="E73" t="str">
        <x:v>Low</x:v>
      </x:c>
      <x:c r="F73" t="str">
        <x:v>—</x:v>
      </x:c>
      <x:c r="G73" s="142" t="str">
        <x:v>Outside report assessment</x:v>
      </x:c>
      <x:c r="H73" s="142" t="str">
        <x:v>Design and roadmap evidence is separate from KPI coverage or production acceptance.</x:v>
      </x:c>
      <x:c r="I73" s="142" t="str">
        <x:v>Confirm architecture/procurement and hosting decisions.</x:v>
      </x:c>
      <x:c r="J73" s="142" t="str">
        <x:v>ℹ️ Non-functional</x:v>
      </x:c>
      <x:c r="K73" s="142"/>
      <x:c r="L73" s="41" t="str">
        <x:v>Not a report feature</x:v>
      </x:c>
      <x:c r="M73" s="42" t="str">
        <x:v>HLD; TFD; Statement of Work</x:v>
      </x:c>
      <x:c r="N73" s="42" t="str">
        <x:v>30 Sep 2026 WIP file review. Design and roadmap evidence is separate from KPI coverage or production acceptance.</x:v>
      </x:c>
    </x:row>
    <x:row r="74" ht="26.399999618530273" hidden="0" customHeight="1">
      <x:c r="A74" s="1" t="n">
        <x:f t="shared" si="1"/>
        <x:v>89</x:v>
      </x:c>
      <x:c r="B74" t="str">
        <x:v>R89</x:v>
      </x:c>
      <x:c r="C74" t="str">
        <x:v>Stakeholder demos, UAT, formal sign-off</x:v>
      </x:c>
      <x:c r="D74" t="str">
        <x:v>All</x:v>
      </x:c>
      <x:c r="E74" t="str">
        <x:v>Low</x:v>
      </x:c>
      <x:c r="F74" t="str">
        <x:v>—</x:v>
      </x:c>
      <x:c r="G74" s="142" t="str">
        <x:v>Delivery acceptance pending</x:v>
      </x:c>
      <x:c r="H74" s="142" t="str">
        <x:v>Report/model files do not establish availability, accessibility, SLA, device compatibility, migration completeness, retention or formal sign-off.</x:v>
      </x:c>
      <x:c r="I74" s="142" t="str">
        <x:v>Complete the requirement-specific acceptance evidence; freshness is not an SLA measurement.</x:v>
      </x:c>
      <x:c r="J74" s="142" t="str">
        <x:v>ℹ️ Non-functional</x:v>
      </x:c>
      <x:c r="K74" s="142"/>
      <x:c r="L74" s="41" t="str">
        <x:v>Separate acceptance required</x:v>
      </x:c>
      <x:c r="M74" s="42" t="str">
        <x:v>Runbooks; validation checklist; current documentation</x:v>
      </x:c>
      <x:c r="N74" s="42" t="str">
        <x:v>30 Sep 2026 WIP file review. Report/model files do not establish availability, accessibility, SLA, device compatibility, migration completeness, retention or formal sign-off.</x:v>
      </x:c>
    </x:row>
    <x:row r="75" ht="26.399999618530273" hidden="0" customHeight="1">
      <x:c r="A75" s="1" t="n">
        <x:f t="shared" si="1"/>
        <x:v>90</x:v>
      </x:c>
      <x:c r="B75" t="str">
        <x:v>R90</x:v>
      </x:c>
      <x:c r="C75" t="str">
        <x:v>Hosting options, deployment models, cloud strategy</x:v>
      </x:c>
      <x:c r="D75" t="str">
        <x:v>All</x:v>
      </x:c>
      <x:c r="E75" t="str">
        <x:v>Low</x:v>
      </x:c>
      <x:c r="F75" t="str">
        <x:v>—</x:v>
      </x:c>
      <x:c r="G75" s="142" t="str">
        <x:v>Outside report assessment</x:v>
      </x:c>
      <x:c r="H75" s="142" t="str">
        <x:v>Design and roadmap evidence is separate from KPI coverage or production acceptance.</x:v>
      </x:c>
      <x:c r="I75" s="142" t="str">
        <x:v>Confirm architecture/procurement and hosting decisions.</x:v>
      </x:c>
      <x:c r="J75" s="142" t="str">
        <x:v>ℹ️ Non-functional</x:v>
      </x:c>
      <x:c r="K75" s="142"/>
      <x:c r="L75" s="41" t="str">
        <x:v>Not a report feature</x:v>
      </x:c>
      <x:c r="M75" s="42" t="str">
        <x:v>HLD; TFD; Statement of Work</x:v>
      </x:c>
      <x:c r="N75" s="42" t="str">
        <x:v>30 Sep 2026 WIP file review. Design and roadmap evidence is separate from KPI coverage or production acceptance.</x:v>
      </x:c>
    </x:row>
    <x:row r="76" ht="26.399999618530273" hidden="0" customHeight="1">
      <x:c r="A76" s="1" t="n">
        <x:f t="shared" si="1"/>
        <x:v>91</x:v>
      </x:c>
      <x:c r="B76" t="str">
        <x:v>R91</x:v>
      </x:c>
      <x:c r="C76" t="str">
        <x:v>Provider registration: company, services, homes, docs</x:v>
      </x:c>
      <x:c r="D76" t="str">
        <x:v>Provider</x:v>
      </x:c>
      <x:c r="E76" t="str">
        <x:v>High</x:v>
      </x:c>
      <x:c r="F76" t="str">
        <x:v>KPI-40, KPI-41</x:v>
      </x:c>
      <x:c r="G76" s="142" t="str">
        <x:v>Partial reporting</x:v>
      </x:c>
      <x:c r="H76" s="142" t="str">
        <x:v>Registration data is reportable; submission/upload and onboarding workflows remain source-system functions.</x:v>
      </x:c>
      <x:c r="I76" s="142" t="str">
        <x:v>Validate directory data and obtain registration workflow evidence.</x:v>
      </x:c>
      <x:c r="J76" s="142" t="str">
        <x:v>✅ Implemented</x:v>
      </x:c>
      <x:c r="K76" s="142"/>
      <x:c r="L76" s="41" t="str">
        <x:v>Partial reporting</x:v>
      </x:c>
      <x:c r="M76" s="42" t="str">
        <x:v>Providers Registered; Provider Homes Registered; provider directory</x:v>
      </x:c>
      <x:c r="N76" s="42" t="str">
        <x:v>30 Sep 2026 WIP file review. Registration data is reportable; submission/upload and onboarding workflows remain source-system functions.</x:v>
      </x:c>
    </x:row>
    <x:row r="77" ht="26.399999618530273" hidden="0" customHeight="1">
      <x:c r="A77" s="1" t="n">
        <x:f t="shared" si="1"/>
        <x:v>92</x:v>
      </x:c>
      <x:c r="B77" t="str">
        <x:v>R92</x:v>
      </x:c>
      <x:c r="C77" t="str">
        <x:v>LA review and approve/reject registrations</x:v>
      </x:c>
      <x:c r="D77" t="str">
        <x:v>QA Officer</x:v>
      </x:c>
      <x:c r="E77" t="str">
        <x:v>Medium</x:v>
      </x:c>
      <x:c r="F77" t="str">
        <x:v>—</x:v>
      </x:c>
      <x:c r="G77" s="142" t="str">
        <x:v>Partial reporting</x:v>
      </x:c>
      <x:c r="H77" s="142" t="str">
        <x:v>Current provider approval state is reportable; it does not certify due diligence, bulk-job success or registration workflow.</x:v>
      </x:c>
      <x:c r="I77" s="142" t="str">
        <x:v>Approve proxy label and obtain workflow/compliance evidence.</x:v>
      </x:c>
      <x:c r="J77" s="142" t="str">
        <x:v>ℹ️ Feature</x:v>
      </x:c>
      <x:c r="K77" s="142"/>
      <x:c r="L77" s="41" t="str">
        <x:v>Partial reporting</x:v>
      </x:c>
      <x:c r="M77" s="42" t="str">
        <x:v>Providers Pending Onboarding; Providers Approved; Provider Onboarding Success Rate</x:v>
      </x:c>
      <x:c r="N77" s="42" t="str">
        <x:v>30 Sep 2026 WIP file review. Current provider approval state is reportable; it does not certify due diligence, bulk-job success or registration workflow.</x:v>
      </x:c>
    </x:row>
    <x:row r="78" ht="26.399999618530273" hidden="0" customHeight="1">
      <x:c r="A78" s="1" t="n">
        <x:f t="shared" si="1"/>
        <x:v>93</x:v>
      </x:c>
      <x:c r="B78" t="str">
        <x:v>R93</x:v>
      </x:c>
      <x:c r="C78" t="str">
        <x:v>Placement officer: provider directory, services, homes, docs</x:v>
      </x:c>
      <x:c r="D78" t="str">
        <x:v>Placement Officer</x:v>
      </x:c>
      <x:c r="E78" t="str">
        <x:v>High</x:v>
      </x:c>
      <x:c r="F78" t="str">
        <x:v>KPI-40–KPI-52</x:v>
      </x:c>
      <x:c r="G78" s="142" t="str">
        <x:v>Built; UAT pending</x:v>
      </x:c>
      <x:c r="H78" s="142" t="str">
        <x:v>Provider/home/offer/assignment/message detail is built. Document access and permissions need runtime review.</x:v>
      </x:c>
      <x:c r="I78" s="142" t="str">
        <x:v>Drill from a provider and test each detail section and authorised document access.</x:v>
      </x:c>
      <x:c r="J78" s="142" t="str">
        <x:v>✅ Implemented</x:v>
      </x:c>
      <x:c r="K78" s="142"/>
      <x:c r="L78" s="41" t="str">
        <x:v>Reporting built</x:v>
      </x:c>
      <x:c r="M78" s="42" t="str">
        <x:v>Provider Explorer; Provider Detail (Drillthrough); provider/home directory</x:v>
      </x:c>
      <x:c r="N78" s="42" t="str">
        <x:v>30 Sep 2026 WIP file review. Provider/home/offer/assignment/message detail is built. Document access and permissions need runtime review.</x:v>
      </x:c>
    </x:row>
    <x:row r="79" ht="26.399999618530273" hidden="0" customHeight="1">
      <x:c r="A79" s="1" t="n">
        <x:f t="shared" si="1"/>
        <x:v>94</x:v>
      </x:c>
      <x:c r="B79" t="str">
        <x:v>R94</x:v>
      </x:c>
      <x:c r="C79" t="str">
        <x:v>QA: search providers, apply/remove flags</x:v>
      </x:c>
      <x:c r="D79" t="str">
        <x:v>QA Officer</x:v>
      </x:c>
      <x:c r="E79" t="str">
        <x:v>Medium</x:v>
      </x:c>
      <x:c r="F79" t="str">
        <x:v>KPI-97, KPI-98 (partial)</x:v>
      </x:c>
      <x:c r="G79" s="142" t="str">
        <x:v>Partial reporting</x:v>
      </x:c>
      <x:c r="H79" s="142" t="str">
        <x:v>Current flags are reportable. Historical flag types and application/removal workflow are not proven.</x:v>
      </x:c>
      <x:c r="I79" s="142" t="str">
        <x:v>Confirm flag scope and obtain historical classification and portal evidence.</x:v>
      </x:c>
      <x:c r="J79" s="142" t="str">
        <x:v>⚠️ Partial</x:v>
      </x:c>
      <x:c r="K79" s="142"/>
      <x:c r="L79" s="41" t="str">
        <x:v>Partial reporting</x:v>
      </x:c>
      <x:c r="M79" s="42" t="str">
        <x:v>Providers With QA Flags; QA Flagged Homes; provider detail</x:v>
      </x:c>
      <x:c r="N79" s="42" t="str">
        <x:v>30 Sep 2026 WIP file review. Current flags are reportable. Historical flag types and application/removal workflow are not proven.</x:v>
      </x:c>
    </x:row>
    <x:row r="80" ht="26.399999618530273" hidden="0" customHeight="1">
      <x:c r="A80" s="1" t="n">
        <x:f t="shared" si="1"/>
        <x:v>95</x:v>
      </x:c>
      <x:c r="B80" t="str">
        <x:v>R95</x:v>
      </x:c>
      <x:c r="C80" t="str">
        <x:v>Reflect Fostering Framework changes (Q3 2024)</x:v>
      </x:c>
      <x:c r="D80" t="str">
        <x:v>All</x:v>
      </x:c>
      <x:c r="E80" t="str">
        <x:v>Medium</x:v>
      </x:c>
      <x:c r="F80" t="str">
        <x:v>KPI-42, KPI-51</x:v>
      </x:c>
      <x:c r="G80" s="142" t="str">
        <x:v>Partial reporting</x:v>
      </x:c>
      <x:c r="H80" s="142" t="str">
        <x:v>Current reference/category reporting exists; framework configuration workflows and specific release contents need business verification.</x:v>
      </x:c>
      <x:c r="I80" s="142" t="str">
        <x:v>Reconcile framework versions and all categories, then confirm portal configuration.</x:v>
      </x:c>
      <x:c r="J80" s="142" t="str">
        <x:v>✅ Implemented</x:v>
      </x:c>
      <x:c r="K80" s="142"/>
      <x:c r="L80" s="41" t="str">
        <x:v>Partial reporting</x:v>
      </x:c>
      <x:c r="M80" s="42" t="str">
        <x:v>dim_framework; dim_framework_category; category bridges; service-type views</x:v>
      </x:c>
      <x:c r="N80" s="42" t="str">
        <x:v>30 Sep 2026 WIP file review. Current reference/category reporting exists; framework configuration workflows and specific release contents need business verification.</x:v>
      </x:c>
    </x:row>
    <x:row r="81" ht="26.399999618530273" hidden="0" customHeight="1">
      <x:c r="A81" s="1" t="n">
        <x:f t="shared" si="1"/>
        <x:v>96</x:v>
      </x:c>
      <x:c r="B81" t="str">
        <x:v>R96</x:v>
      </x:c>
      <x:c r="C81" t="str">
        <x:v>Reflect Residential Framework 2.0 (Spring 2025)</x:v>
      </x:c>
      <x:c r="D81" t="str">
        <x:v>All</x:v>
      </x:c>
      <x:c r="E81" t="str">
        <x:v>Medium</x:v>
      </x:c>
      <x:c r="F81" t="str">
        <x:v>KPI-43, KPI-49</x:v>
      </x:c>
      <x:c r="G81" s="142" t="str">
        <x:v>Partial reporting</x:v>
      </x:c>
      <x:c r="H81" s="142" t="str">
        <x:v>Current reference/category reporting exists; framework configuration workflows and specific release contents need business verification.</x:v>
      </x:c>
      <x:c r="I81" s="142" t="str">
        <x:v>Reconcile framework versions and all categories, then confirm portal configuration.</x:v>
      </x:c>
      <x:c r="J81" s="142" t="str">
        <x:v>✅ Implemented</x:v>
      </x:c>
      <x:c r="K81" s="142"/>
      <x:c r="L81" s="41" t="str">
        <x:v>Partial reporting</x:v>
      </x:c>
      <x:c r="M81" s="42" t="str">
        <x:v>dim_framework; dim_framework_category; category bridges; service-type views</x:v>
      </x:c>
      <x:c r="N81" s="42" t="str">
        <x:v>30 Sep 2026 WIP file review. Current reference/category reporting exists; framework configuration workflows and specific release contents need business verification.</x:v>
      </x:c>
    </x:row>
  </x:sheetData>
  <x:conditionalFormatting sqref="L2:L81">
    <x:cfRule type="containsText" dxfId="33" priority="1" operator="containsText" text="Ready"/>
    <x:cfRule type="containsText" dxfId="34" priority="2" operator="containsText" text="Proxy"/>
    <x:cfRule type="containsText" dxfId="35" priority="3" operator="containsText" text="Needs Gold dat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34" hidden="0" customWidth="1"/>
    <x:col min="2" max="2" width="16" hidden="0" customWidth="1"/>
    <x:col min="3" max="3" width="42" hidden="0" customWidth="1"/>
    <x:col min="4" max="4" width="37" hidden="0" customWidth="1"/>
    <x:col min="5" max="5" width="52" hidden="0" customWidth="1"/>
    <x:col min="6" max="6" width="44" hidden="0" customWidth="1"/>
  </x:cols>
  <x:sheetData>
    <x:row r="1" s="2" customFormat="1" ht="28" customHeight="1">
      <x:c r="A1" s="96" t="str">
        <x:v>Current WIP semantic model object legend</x:v>
      </x:c>
      <x:c r="B1" s="96" t="str">
        <x:v>Active Gold semantic-model object legend</x:v>
      </x:c>
      <x:c r="C1" s="96" t="str">
        <x:v>Active Gold semantic-model object legend</x:v>
      </x:c>
      <x:c r="D1" s="96" t="str">
        <x:v>Active Gold semantic-model object legend</x:v>
      </x:c>
      <x:c r="E1" s="96" t="str">
        <x:v>Active Gold semantic-model object legend</x:v>
      </x:c>
      <x:c r="F1" s="96" t="str">
        <x:v>Active Gold semantic-model object legend</x:v>
      </x:c>
    </x:row>
    <x:row r="2" ht="34" customHeight="1">
      <x:c r="A2" s="100" t="str">
        <x:v>30 September 2026: 58 semantic model tables, including Gold imports and local measure/selector tables. This is not a count of Gold warehouse tables. Refresh and acceptance remain separate.</x:v>
      </x:c>
      <x:c r="B2"/>
      <x:c r="C2"/>
      <x:c r="D2"/>
    </x:row>
    <x:row r="3">
      <x:c r="A3"/>
      <x:c r="B3"/>
      <x:c r="C3"/>
      <x:c r="D3"/>
    </x:row>
    <x:row r="4" ht="14.5" hidden="0" customHeight="1">
      <x:c r="A4" s="19" t="str">
        <x:v>Model table</x:v>
      </x:c>
      <x:c r="B4" s="19" t="str">
        <x:v>Object type</x:v>
      </x:c>
      <x:c r="C4" s="19" t="str">
        <x:v>Grain / key</x:v>
      </x:c>
      <x:c r="D4" s="19" t="str">
        <x:v>Source</x:v>
      </x:c>
      <x:c r="E4" s="19" t="str">
        <x:v>Purpose / limitation</x:v>
      </x:c>
      <x:c r="F4" s="19" t="str">
        <x:v>Definition file</x:v>
      </x:c>
    </x:row>
    <x:row r="5" ht="14.5" hidden="0" customHeight="1">
      <x:c r="A5" s="38" t="str">
        <x:v>_Design Measures</x:v>
      </x:c>
      <x:c r="B5" s="39" t="str">
        <x:v>Measure container</x:v>
      </x:c>
      <x:c r="C5" s="39" t="str">
        <x:v>See model columns and source definition</x:v>
      </x:c>
      <x:c r="D5" s="39" t="str">
        <x:v>Local empty import partition</x:v>
      </x:c>
      <x:c r="E5" s="39" t="str">
        <x:v>18 DAX definitions including helpers.</x:v>
      </x:c>
      <x:c r="F5" s="40" t="str">
        <x:v>_Design Measures.tmdl</x:v>
      </x:c>
    </x:row>
    <x:row r="6" ht="14.5" hidden="0" customHeight="1">
      <x:c r="A6" s="41" t="str">
        <x:v>_Explore Measures</x:v>
      </x:c>
      <x:c r="B6" s="42" t="str">
        <x:v>Measure container</x:v>
      </x:c>
      <x:c r="C6" s="42" t="str">
        <x:v>See model columns and source definition</x:v>
      </x:c>
      <x:c r="D6" s="42" t="str">
        <x:v>Local empty import partition</x:v>
      </x:c>
      <x:c r="E6" s="42" t="str">
        <x:v>12 DAX definitions including helpers.</x:v>
      </x:c>
      <x:c r="F6" s="43" t="str">
        <x:v>_Explore Measures.tmdl</x:v>
      </x:c>
    </x:row>
    <x:row r="7" ht="14.5" hidden="0" customHeight="1">
      <x:c r="A7" s="41" t="str">
        <x:v>_Journey Interaction</x:v>
      </x:c>
      <x:c r="B7" s="42" t="str">
        <x:v>Measure container</x:v>
      </x:c>
      <x:c r="C7" s="42" t="str">
        <x:v>See model columns and source definition</x:v>
      </x:c>
      <x:c r="D7" s="42" t="str">
        <x:v>Local empty import partition</x:v>
      </x:c>
      <x:c r="E7" s="42" t="str">
        <x:v>23 DAX definitions including helpers.</x:v>
      </x:c>
      <x:c r="F7" s="43" t="str">
        <x:v>_Journey Interaction.tmdl</x:v>
      </x:c>
    </x:row>
    <x:row r="8" ht="14.5" hidden="0" customHeight="1">
      <x:c r="A8" s="41" t="str">
        <x:v>_Journey Measures</x:v>
      </x:c>
      <x:c r="B8" s="42" t="str">
        <x:v>Measure container</x:v>
      </x:c>
      <x:c r="C8" s="42" t="str">
        <x:v>See model columns and source definition</x:v>
      </x:c>
      <x:c r="D8" s="42" t="str">
        <x:v>Local empty import partition</x:v>
      </x:c>
      <x:c r="E8" s="42" t="str">
        <x:v>41 DAX definitions including helpers.</x:v>
      </x:c>
      <x:c r="F8" s="43" t="str">
        <x:v>_Journey Measures.tmdl</x:v>
      </x:c>
    </x:row>
    <x:row r="9" ht="14.5" hidden="0" customHeight="1">
      <x:c r="A9" s="41" t="str">
        <x:v>_Measures</x:v>
      </x:c>
      <x:c r="B9" s="42" t="str">
        <x:v>Measure container</x:v>
      </x:c>
      <x:c r="C9" s="42" t="str">
        <x:v>See model columns and source definition</x:v>
      </x:c>
      <x:c r="D9" s="42" t="str">
        <x:v>Local empty import partition</x:v>
      </x:c>
      <x:c r="E9" s="42" t="str">
        <x:v>259 DAX definitions including helpers.</x:v>
      </x:c>
      <x:c r="F9" s="43" t="str">
        <x:v>_Measures.tmdl</x:v>
      </x:c>
    </x:row>
    <x:row r="10" ht="14.5" hidden="0" customHeight="1">
      <x:c r="A10" s="41" t="str">
        <x:v>_Provider Detail Measures</x:v>
      </x:c>
      <x:c r="B10" s="42" t="str">
        <x:v>Measure container</x:v>
      </x:c>
      <x:c r="C10" s="42" t="str">
        <x:v>See model columns and source definition</x:v>
      </x:c>
      <x:c r="D10" s="42" t="str">
        <x:v>Local empty import partition</x:v>
      </x:c>
      <x:c r="E10" s="42" t="str">
        <x:v>6 DAX definitions including helpers.</x:v>
      </x:c>
      <x:c r="F10" s="43" t="str">
        <x:v>_Provider Detail Measures.tmdl</x:v>
      </x:c>
    </x:row>
    <x:row r="11" ht="14.5" hidden="0" customHeight="1">
      <x:c r="A11" s="41" t="str">
        <x:v>_Story Measures</x:v>
      </x:c>
      <x:c r="B11" s="42" t="str">
        <x:v>Measure container</x:v>
      </x:c>
      <x:c r="C11" s="42" t="str">
        <x:v>See model columns and source definition</x:v>
      </x:c>
      <x:c r="D11" s="42" t="str">
        <x:v>Local empty import partition</x:v>
      </x:c>
      <x:c r="E11" s="42" t="str">
        <x:v>7 DAX definitions including helpers.</x:v>
      </x:c>
      <x:c r="F11" s="43" t="str">
        <x:v>_Story Measures.tmdl</x:v>
      </x:c>
    </x:row>
    <x:row r="12" ht="14.5" hidden="0" customHeight="1">
      <x:c r="A12" s="41" t="str">
        <x:v>bridge_provider_framework</x:v>
      </x:c>
      <x:c r="B12" s="42" t="str">
        <x:v>Gold import</x:v>
      </x:c>
      <x:c r="C12" s="42" t="str">
        <x:v>See model columns and source definition</x:v>
      </x:c>
      <x:c r="D12" s="42" t="str">
        <x:v>gold.bridge_provider_framework</x:v>
      </x:c>
      <x:c r="E12" s="42" t="str">
        <x:v>Refresh from governed Gold; confirm deployment and data quality.</x:v>
      </x:c>
      <x:c r="F12" s="43" t="str">
        <x:v>bridge_provider_framework.tmdl</x:v>
      </x:c>
    </x:row>
    <x:row r="13" ht="26.399999618530273" hidden="0" customHeight="1">
      <x:c r="A13" s="41" t="str">
        <x:v>bridge_provider_home_framework_category</x:v>
      </x:c>
      <x:c r="B13" s="42" t="str">
        <x:v>Gold import</x:v>
      </x:c>
      <x:c r="C13" s="42" t="str">
        <x:v>See model columns and source definition</x:v>
      </x:c>
      <x:c r="D13" s="42" t="str">
        <x:v>gold.bridge_provider_home_framework_category</x:v>
      </x:c>
      <x:c r="E13" s="42" t="str">
        <x:v>Refresh from governed Gold; confirm deployment and data quality.</x:v>
      </x:c>
      <x:c r="F13" s="43" t="str">
        <x:v>bridge_provider_home_framework_category.tmdl</x:v>
      </x:c>
    </x:row>
    <x:row r="14" ht="14.5" hidden="0" customHeight="1">
      <x:c r="A14" s="41" t="str">
        <x:v>bridge_provider_sic_code</x:v>
      </x:c>
      <x:c r="B14" s="42" t="str">
        <x:v>Gold import</x:v>
      </x:c>
      <x:c r="C14" s="42" t="str">
        <x:v>See model columns and source definition</x:v>
      </x:c>
      <x:c r="D14" s="42" t="str">
        <x:v>gold.bridge_provider_sic_code</x:v>
      </x:c>
      <x:c r="E14" s="42" t="str">
        <x:v>Refresh from governed Gold; confirm deployment and data quality.</x:v>
      </x:c>
      <x:c r="F14" s="43" t="str">
        <x:v>bridge_provider_sic_code.tmdl</x:v>
      </x:c>
    </x:row>
    <x:row r="15" ht="14.5" hidden="0" customHeight="1">
      <x:c r="A15" s="41" t="str">
        <x:v>bridge_referral_framework_category</x:v>
      </x:c>
      <x:c r="B15" s="42" t="str">
        <x:v>Gold import</x:v>
      </x:c>
      <x:c r="C15" s="42" t="str">
        <x:v>referral_id + framework_category_id</x:v>
      </x:c>
      <x:c r="D15" s="42" t="str">
        <x:v>gold.bridge_referral_framework_category</x:v>
      </x:c>
      <x:c r="E15" s="42" t="str">
        <x:v>Refresh from governed Gold; confirm deployment and data quality.</x:v>
      </x:c>
      <x:c r="F15" s="43" t="str">
        <x:v>bridge_referral_framework_category.tmdl</x:v>
      </x:c>
    </x:row>
    <x:row r="16" ht="14.5" hidden="0" customHeight="1">
      <x:c r="A16" s="41" t="str">
        <x:v>bridge_referral_scope</x:v>
      </x:c>
      <x:c r="B16" s="42" t="str">
        <x:v>Gold import</x:v>
      </x:c>
      <x:c r="C16" s="42" t="str">
        <x:v>See model columns and source definition</x:v>
      </x:c>
      <x:c r="D16" s="42" t="str">
        <x:v>gold.bridge_referral_scope</x:v>
      </x:c>
      <x:c r="E16" s="42" t="str">
        <x:v>Refresh from governed Gold; confirm deployment and data quality.</x:v>
      </x:c>
      <x:c r="F16" s="43" t="str">
        <x:v>bridge_referral_scope.tmdl</x:v>
      </x:c>
    </x:row>
    <x:row r="17" ht="26.399999618530273" hidden="0" customHeight="1">
      <x:c r="A17" s="41" t="str">
        <x:v>Dashboard Metric Selector</x:v>
      </x:c>
      <x:c r="B17" s="42" t="str">
        <x:v>Local model table</x:v>
      </x:c>
      <x:c r="C17" s="42" t="str">
        <x:v>See model columns and source definition</x:v>
      </x:c>
      <x:c r="D17" s="42" t="str">
        <x:v>Calculated or embedded import</x:v>
      </x:c>
      <x:c r="E17" s="42" t="str">
        <x:v>Selector, reference, category or report helper; not a separate Gold publication.</x:v>
      </x:c>
      <x:c r="F17" s="43" t="str">
        <x:v>Dashboard Metric Selector.tmdl</x:v>
      </x:c>
    </x:row>
    <x:row r="18" ht="26.399999618530273" hidden="0" customHeight="1">
      <x:c r="A18" s="41" t="str">
        <x:v>Days to Target</x:v>
      </x:c>
      <x:c r="B18" s="42" t="str">
        <x:v>Local model table</x:v>
      </x:c>
      <x:c r="C18" s="42" t="str">
        <x:v>See model columns and source definition</x:v>
      </x:c>
      <x:c r="D18" s="42" t="str">
        <x:v>Calculated or embedded import</x:v>
      </x:c>
      <x:c r="E18" s="42" t="str">
        <x:v>Selector, reference, category or report helper; not a separate Gold publication.</x:v>
      </x:c>
      <x:c r="F18" s="43" t="str">
        <x:v>Days to Target.tmdl</x:v>
      </x:c>
    </x:row>
    <x:row r="19" ht="14.5" hidden="0" customHeight="1">
      <x:c r="A19" s="41" t="str">
        <x:v>dim_category</x:v>
      </x:c>
      <x:c r="B19" s="42" t="str">
        <x:v>Gold import</x:v>
      </x:c>
      <x:c r="C19" s="42" t="str">
        <x:v>See model columns and source definition</x:v>
      </x:c>
      <x:c r="D19" s="42" t="str">
        <x:v>gold.dim_framework_category</x:v>
      </x:c>
      <x:c r="E19" s="42" t="str">
        <x:v>Refresh from governed Gold; confirm deployment and data quality.</x:v>
      </x:c>
      <x:c r="F19" s="43" t="str">
        <x:v>dim_category.tmdl</x:v>
      </x:c>
    </x:row>
    <x:row r="20" ht="14.5" hidden="0" customHeight="1">
      <x:c r="A20" s="41" t="str">
        <x:v>dim_date</x:v>
      </x:c>
      <x:c r="B20" s="42" t="str">
        <x:v>Gold import</x:v>
      </x:c>
      <x:c r="C20" s="42" t="str">
        <x:v>See model columns and source definition</x:v>
      </x:c>
      <x:c r="D20" s="42" t="str">
        <x:v>gold.dim_date</x:v>
      </x:c>
      <x:c r="E20" s="42" t="str">
        <x:v>Refresh from governed Gold; confirm deployment and data quality.</x:v>
      </x:c>
      <x:c r="F20" s="43" t="str">
        <x:v>dim_date.tmdl</x:v>
      </x:c>
    </x:row>
    <x:row r="21" ht="14.5" hidden="0" customHeight="1">
      <x:c r="A21" s="41" t="str">
        <x:v>dim_framework</x:v>
      </x:c>
      <x:c r="B21" s="42" t="str">
        <x:v>Gold import</x:v>
      </x:c>
      <x:c r="C21" s="42" t="str">
        <x:v>See model columns and source definition</x:v>
      </x:c>
      <x:c r="D21" s="42" t="str">
        <x:v>gold.dim_framework</x:v>
      </x:c>
      <x:c r="E21" s="42" t="str">
        <x:v>Refresh from governed Gold; confirm deployment and data quality.</x:v>
      </x:c>
      <x:c r="F21" s="43" t="str">
        <x:v>dim_framework.tmdl</x:v>
      </x:c>
    </x:row>
    <x:row r="22" ht="14.5" hidden="0" customHeight="1">
      <x:c r="A22" s="41" t="str">
        <x:v>dim_framework_category</x:v>
      </x:c>
      <x:c r="B22" s="42" t="str">
        <x:v>Gold import</x:v>
      </x:c>
      <x:c r="C22" s="42" t="str">
        <x:v>See model columns and source definition</x:v>
      </x:c>
      <x:c r="D22" s="42" t="str">
        <x:v>gold.dim_framework_category</x:v>
      </x:c>
      <x:c r="E22" s="42" t="str">
        <x:v>Refresh from governed Gold; confirm deployment and data quality.</x:v>
      </x:c>
      <x:c r="F22" s="43" t="str">
        <x:v>dim_framework_category.tmdl</x:v>
      </x:c>
    </x:row>
    <x:row r="23" ht="14.5" hidden="0" customHeight="1">
      <x:c r="A23" s="41" t="str">
        <x:v>dim_offer_status</x:v>
      </x:c>
      <x:c r="B23" s="42" t="str">
        <x:v>Gold import</x:v>
      </x:c>
      <x:c r="C23" s="42" t="str">
        <x:v>See model columns and source definition</x:v>
      </x:c>
      <x:c r="D23" s="42" t="str">
        <x:v>gold.dim_offer_status</x:v>
      </x:c>
      <x:c r="E23" s="42" t="str">
        <x:v>Refresh from governed Gold; confirm deployment and data quality.</x:v>
      </x:c>
      <x:c r="F23" s="43" t="str">
        <x:v>dim_offer_status.tmdl</x:v>
      </x:c>
    </x:row>
    <x:row r="24" ht="14.5" hidden="0" customHeight="1">
      <x:c r="A24" s="44" t="str">
        <x:v>dim_person</x:v>
      </x:c>
      <x:c r="B24" s="45" t="str">
        <x:v>Gold import</x:v>
      </x:c>
      <x:c r="C24" s="45" t="str">
        <x:v>person_id</x:v>
      </x:c>
      <x:c r="D24" s="45" t="str">
        <x:v>gold.dim_person</x:v>
      </x:c>
      <x:c r="E24" s="45" t="str">
        <x:v>Refresh from governed Gold; confirm deployment and data quality.</x:v>
      </x:c>
      <x:c r="F24" s="46" t="str">
        <x:v>dim_person.tmdl</x:v>
      </x:c>
    </x:row>
    <x:row r="25" ht="14.5" hidden="0" customHeight="1">
      <x:c r="A25" s="142" t="str">
        <x:v>dim_placement_type</x:v>
      </x:c>
      <x:c r="B25" s="142" t="str">
        <x:v>Gold import</x:v>
      </x:c>
      <x:c r="C25" s="142" t="str">
        <x:v>See model columns and source definition</x:v>
      </x:c>
      <x:c r="D25" s="142" t="str">
        <x:v>gold.dim_placement_type</x:v>
      </x:c>
      <x:c r="E25" s="142" t="str">
        <x:v>Refresh from governed Gold; confirm deployment and data quality.</x:v>
      </x:c>
      <x:c r="F25" s="142" t="str">
        <x:v>dim_placement_type.tmdl</x:v>
      </x:c>
    </x:row>
    <x:row r="26" ht="14.5" hidden="0" customHeight="1">
      <x:c r="A26" s="142" t="str">
        <x:v>dim_provider</x:v>
      </x:c>
      <x:c r="B26" s="142" t="str">
        <x:v>Gold import</x:v>
      </x:c>
      <x:c r="C26" s="142" t="str">
        <x:v>provider_id</x:v>
      </x:c>
      <x:c r="D26" s="142" t="str">
        <x:v>gold.dim_provider</x:v>
      </x:c>
      <x:c r="E26" s="142" t="str">
        <x:v>Refresh from governed Gold; confirm deployment and data quality.</x:v>
      </x:c>
      <x:c r="F26" s="142" t="str">
        <x:v>dim_provider.tmdl</x:v>
      </x:c>
    </x:row>
    <x:row r="27" ht="14.5" hidden="0" customHeight="1">
      <x:c r="A27" s="142" t="str">
        <x:v>dim_provider_home</x:v>
      </x:c>
      <x:c r="B27" s="142" t="str">
        <x:v>Gold import</x:v>
      </x:c>
      <x:c r="C27" s="142" t="str">
        <x:v>provider_home_id</x:v>
      </x:c>
      <x:c r="D27" s="142" t="str">
        <x:v>gold.dim_provider_home</x:v>
      </x:c>
      <x:c r="E27" s="142" t="str">
        <x:v>Refresh from governed Gold; confirm deployment and data quality.</x:v>
      </x:c>
      <x:c r="F27" s="142" t="str">
        <x:v>dim_provider_home.tmdl</x:v>
      </x:c>
    </x:row>
    <x:row r="28" ht="14.5" hidden="0" customHeight="1">
      <x:c r="A28" s="142" t="str">
        <x:v>dim_provider_submission_document</x:v>
      </x:c>
      <x:c r="B28" s="142" t="str">
        <x:v>Gold import</x:v>
      </x:c>
      <x:c r="C28" s="142" t="str">
        <x:v>See model columns and source definition</x:v>
      </x:c>
      <x:c r="D28" s="142" t="str">
        <x:v>gold.dim_provider_submission_document</x:v>
      </x:c>
      <x:c r="E28" s="142" t="str">
        <x:v>Refresh from governed Gold; confirm deployment and data quality.</x:v>
      </x:c>
      <x:c r="F28" s="142" t="str">
        <x:v>dim_provider_submission_document.tmdl</x:v>
      </x:c>
    </x:row>
    <x:row r="29" ht="14.5" hidden="0" customHeight="1">
      <x:c r="A29" s="142" t="str">
        <x:v>dim_referral_provider_message</x:v>
      </x:c>
      <x:c r="B29" s="142" t="str">
        <x:v>Gold import</x:v>
      </x:c>
      <x:c r="C29" s="142" t="str">
        <x:v>message_id</x:v>
      </x:c>
      <x:c r="D29" s="142" t="str">
        <x:v>gold.dim_referral_provider_message</x:v>
      </x:c>
      <x:c r="E29" s="142" t="str">
        <x:v>Refresh from governed Gold; confirm deployment and data quality.</x:v>
      </x:c>
      <x:c r="F29" s="142" t="str">
        <x:v>dim_referral_provider_message.tmdl</x:v>
      </x:c>
    </x:row>
    <x:row r="30" ht="14.5" hidden="0" customHeight="1">
      <x:c r="A30" s="142" t="str">
        <x:v>dim_referral_provider_reject_reason</x:v>
      </x:c>
      <x:c r="B30" s="142" t="str">
        <x:v>Gold import</x:v>
      </x:c>
      <x:c r="C30" s="142" t="str">
        <x:v>reject_reason_id</x:v>
      </x:c>
      <x:c r="D30" s="142" t="str">
        <x:v>gold.dim_referral_provider_reject_reason</x:v>
      </x:c>
      <x:c r="E30" s="142" t="str">
        <x:v>Refresh from governed Gold; confirm deployment and data quality.</x:v>
      </x:c>
      <x:c r="F30" s="142" t="str">
        <x:v>dim_referral_provider_reject_reason.tmdl</x:v>
      </x:c>
    </x:row>
    <x:row r="31" ht="14.5" hidden="0" customHeight="1">
      <x:c r="A31" s="142" t="str">
        <x:v>dim_security_scope</x:v>
      </x:c>
      <x:c r="B31" s="142" t="str">
        <x:v>Gold import</x:v>
      </x:c>
      <x:c r="C31" s="142" t="str">
        <x:v>See model columns and source definition</x:v>
      </x:c>
      <x:c r="D31" s="142" t="str">
        <x:v>gold.dim_security_scope</x:v>
      </x:c>
      <x:c r="E31" s="142" t="str">
        <x:v>Refresh from governed Gold; confirm deployment and data quality.</x:v>
      </x:c>
      <x:c r="F31" s="142" t="str">
        <x:v>dim_security_scope.tmdl</x:v>
      </x:c>
    </x:row>
    <x:row r="32" ht="14.5" hidden="0" customHeight="1">
      <x:c r="A32" s="142" t="str">
        <x:v>dim_snapshot_month</x:v>
      </x:c>
      <x:c r="B32" s="142" t="str">
        <x:v>Gold import</x:v>
      </x:c>
      <x:c r="C32" s="142" t="str">
        <x:v>See model columns and source definition</x:v>
      </x:c>
      <x:c r="D32" s="142" t="str">
        <x:v>gold.dim_snapshot_month</x:v>
      </x:c>
      <x:c r="E32" s="142" t="str">
        <x:v>Refresh from governed Gold; confirm deployment and data quality.</x:v>
      </x:c>
      <x:c r="F32" s="142" t="str">
        <x:v>dim_snapshot_month.tmdl</x:v>
      </x:c>
    </x:row>
    <x:row r="33" ht="26.399999618530273" hidden="0" customHeight="1">
      <x:c r="A33" s="142" t="str">
        <x:v>Directory Summary Axis</x:v>
      </x:c>
      <x:c r="B33" s="142" t="str">
        <x:v>Local model table</x:v>
      </x:c>
      <x:c r="C33" s="142" t="str">
        <x:v>See model columns and source definition</x:v>
      </x:c>
      <x:c r="D33" s="142" t="str">
        <x:v>Calculated or embedded import</x:v>
      </x:c>
      <x:c r="E33" s="142" t="str">
        <x:v>Selector, reference, category or report helper; not a separate Gold publication.</x:v>
      </x:c>
      <x:c r="F33" s="142" t="str">
        <x:v>Directory Summary Axis.tmdl</x:v>
      </x:c>
    </x:row>
    <x:row r="34" ht="26.399999618530273" hidden="0" customHeight="1">
      <x:c r="A34" s="142" t="str">
        <x:v>Draft Age Band Table</x:v>
      </x:c>
      <x:c r="B34" s="142" t="str">
        <x:v>Local model table</x:v>
      </x:c>
      <x:c r="C34" s="142" t="str">
        <x:v>See model columns and source definition</x:v>
      </x:c>
      <x:c r="D34" s="142" t="str">
        <x:v>Calculated or embedded import</x:v>
      </x:c>
      <x:c r="E34" s="142" t="str">
        <x:v>Selector, reference, category or report helper; not a separate Gold publication.</x:v>
      </x:c>
      <x:c r="F34" s="142" t="str">
        <x:v>Draft Age Band Table.tmdl</x:v>
      </x:c>
    </x:row>
    <x:row r="35" ht="26.399999618530273" hidden="0" customHeight="1">
      <x:c r="A35" s="142" t="str">
        <x:v>fact_ipa</x:v>
      </x:c>
      <x:c r="B35" s="142" t="str">
        <x:v>Gold import</x:v>
      </x:c>
      <x:c r="C35" s="142" t="str">
        <x:v>ipa_id</x:v>
      </x:c>
      <x:c r="D35" s="142" t="str">
        <x:v>gold.fact_ipa</x:v>
      </x:c>
      <x:c r="E35" s="142" t="str">
        <x:v>IPA-level signature flags, completion, pending and estimated weekly cost.</x:v>
      </x:c>
      <x:c r="F35" s="142" t="str">
        <x:v>fact_ipa.tmdl</x:v>
      </x:c>
    </x:row>
    <x:row r="36" ht="14.5" hidden="0" customHeight="1">
      <x:c r="A36" s="142" t="str">
        <x:v>fact_offer</x:v>
      </x:c>
      <x:c r="B36" s="142" t="str">
        <x:v>Gold import</x:v>
      </x:c>
      <x:c r="C36" s="142" t="str">
        <x:v>offer_id</x:v>
      </x:c>
      <x:c r="D36" s="142" t="str">
        <x:v>gold.fact_offer</x:v>
      </x:c>
      <x:c r="E36" s="142" t="str">
        <x:v>Refresh from governed Gold; confirm deployment and data quality.</x:v>
      </x:c>
      <x:c r="F36" s="142" t="str">
        <x:v>fact_offer.tmdl</x:v>
      </x:c>
    </x:row>
    <x:row r="37" ht="14.5" hidden="0" customHeight="1">
      <x:c r="A37" s="142" t="str">
        <x:v>fact_provider_kpi_monthly</x:v>
      </x:c>
      <x:c r="B37" s="142" t="str">
        <x:v>Gold import</x:v>
      </x:c>
      <x:c r="C37" s="142" t="str">
        <x:v>See model columns and source definition</x:v>
      </x:c>
      <x:c r="D37" s="142" t="str">
        <x:v>gold.fact_provider_kpi_monthly</x:v>
      </x:c>
      <x:c r="E37" s="142" t="str">
        <x:v>Refresh from governed Gold; confirm deployment and data quality.</x:v>
      </x:c>
      <x:c r="F37" s="142" t="str">
        <x:v>fact_provider_kpi_monthly.tmdl</x:v>
      </x:c>
    </x:row>
    <x:row r="38" ht="14.5" hidden="0" customHeight="1">
      <x:c r="A38" s="142" t="str">
        <x:v>fact_referral</x:v>
      </x:c>
      <x:c r="B38" s="142" t="str">
        <x:v>Gold import</x:v>
      </x:c>
      <x:c r="C38" s="142" t="str">
        <x:v>referral_id</x:v>
      </x:c>
      <x:c r="D38" s="142" t="str">
        <x:v>gold.fact_referral</x:v>
      </x:c>
      <x:c r="E38" s="142" t="str">
        <x:v>Refresh from governed Gold; confirm deployment and data quality.</x:v>
      </x:c>
      <x:c r="F38" s="142" t="str">
        <x:v>fact_referral.tmdl</x:v>
      </x:c>
    </x:row>
    <x:row r="39" ht="14.5" hidden="0" customHeight="1">
      <x:c r="A39" s="142" t="str">
        <x:v>fact_referral_global_summary</x:v>
      </x:c>
      <x:c r="B39" s="142" t="str">
        <x:v>Gold import</x:v>
      </x:c>
      <x:c r="C39" s="142" t="str">
        <x:v>See model columns and source definition</x:v>
      </x:c>
      <x:c r="D39" s="142" t="str">
        <x:v>gold.fact_referral_global_summary</x:v>
      </x:c>
      <x:c r="E39" s="142" t="str">
        <x:v>Refresh from governed Gold; confirm deployment and data quality.</x:v>
      </x:c>
      <x:c r="F39" s="142" t="str">
        <x:v>fact_referral_global_summary.tmdl</x:v>
      </x:c>
    </x:row>
    <x:row r="40" ht="14.5" hidden="0" customHeight="1">
      <x:c r="A40" s="142" t="str">
        <x:v>fact_referral_lifecycle_event</x:v>
      </x:c>
      <x:c r="B40" s="142" t="str">
        <x:v>Gold import</x:v>
      </x:c>
      <x:c r="C40" s="142" t="str">
        <x:v>event_id</x:v>
      </x:c>
      <x:c r="D40" s="142" t="str">
        <x:v>gold.fact_referral_lifecycle_event</x:v>
      </x:c>
      <x:c r="E40" s="142" t="str">
        <x:v>Refresh from governed Gold; confirm deployment and data quality.</x:v>
      </x:c>
      <x:c r="F40" s="142" t="str">
        <x:v>fact_referral_lifecycle_event.tmdl</x:v>
      </x:c>
    </x:row>
    <x:row r="41" ht="14.5" hidden="0" customHeight="1">
      <x:c r="A41" s="142" t="str">
        <x:v>fact_referral_provider</x:v>
      </x:c>
      <x:c r="B41" s="142" t="str">
        <x:v>Gold import</x:v>
      </x:c>
      <x:c r="C41" s="142" t="str">
        <x:v>referral_provider_id</x:v>
      </x:c>
      <x:c r="D41" s="142" t="str">
        <x:v>gold.fact_referral_provider</x:v>
      </x:c>
      <x:c r="E41" s="142" t="str">
        <x:v>Refresh from governed Gold; confirm deployment and data quality.</x:v>
      </x:c>
      <x:c r="F41" s="142" t="str">
        <x:v>fact_referral_provider.tmdl</x:v>
      </x:c>
    </x:row>
    <x:row r="42" ht="14.5" hidden="0" customHeight="1">
      <x:c r="A42" s="142" t="str">
        <x:v>fact_referral_snapshot</x:v>
      </x:c>
      <x:c r="B42" s="142" t="str">
        <x:v>Gold import</x:v>
      </x:c>
      <x:c r="C42" s="142" t="str">
        <x:v>snapshot_date + referral_id</x:v>
      </x:c>
      <x:c r="D42" s="142" t="str">
        <x:v>gold.fact_referral_snapshot</x:v>
      </x:c>
      <x:c r="E42" s="142" t="str">
        <x:v>Refresh from governed Gold; confirm deployment and data quality.</x:v>
      </x:c>
      <x:c r="F42" s="142" t="str">
        <x:v>fact_referral_snapshot.tmdl</x:v>
      </x:c>
    </x:row>
    <x:row r="43" ht="26.399999618530273" hidden="0" customHeight="1">
      <x:c r="A43" s="142" t="str">
        <x:v>Fostering Axis</x:v>
      </x:c>
      <x:c r="B43" s="142" t="str">
        <x:v>Local model table</x:v>
      </x:c>
      <x:c r="C43" s="142" t="str">
        <x:v>See model columns and source definition</x:v>
      </x:c>
      <x:c r="D43" s="142" t="str">
        <x:v>Calculated or embedded import</x:v>
      </x:c>
      <x:c r="E43" s="142" t="str">
        <x:v>Selector, reference, category or report helper; not a separate Gold publication.</x:v>
      </x:c>
      <x:c r="F43" s="142" t="str">
        <x:v>Fostering Axis.tmdl</x:v>
      </x:c>
    </x:row>
    <x:row r="44" ht="14.5" hidden="0" customHeight="1">
      <x:c r="A44" s="142" t="str">
        <x:v>gold referral_journey_flow</x:v>
      </x:c>
      <x:c r="B44" s="142" t="str">
        <x:v>Gold import</x:v>
      </x:c>
      <x:c r="C44" s="142" t="str">
        <x:v>See model columns and source definition</x:v>
      </x:c>
      <x:c r="D44" s="142" t="str">
        <x:v>gold.referral_journey_flow</x:v>
      </x:c>
      <x:c r="E44" s="142" t="str">
        <x:v>Refresh from governed Gold; confirm deployment and data quality.</x:v>
      </x:c>
      <x:c r="F44" s="142" t="str">
        <x:v>gold referral_journey_flow.tmdl</x:v>
      </x:c>
    </x:row>
    <x:row r="45" ht="14.5" hidden="0" customHeight="1">
      <x:c r="A45" s="142" t="str">
        <x:v>gold rpt_kpi_referral_board_summary</x:v>
      </x:c>
      <x:c r="B45" s="142" t="str">
        <x:v>Gold import</x:v>
      </x:c>
      <x:c r="C45" s="142" t="str">
        <x:v>See model columns and source definition</x:v>
      </x:c>
      <x:c r="D45" s="142" t="str">
        <x:v>gold.rpt_kpi_referral_board_summary</x:v>
      </x:c>
      <x:c r="E45" s="142" t="str">
        <x:v>Refresh from governed Gold; confirm deployment and data quality.</x:v>
      </x:c>
      <x:c r="F45" s="142" t="str">
        <x:v>gold rpt_kpi_referral_board_summary.tmdl</x:v>
      </x:c>
    </x:row>
    <x:row r="46" ht="26.399999618530273" hidden="0" customHeight="1">
      <x:c r="A46" s="142" t="str">
        <x:v>Journey Detail Selection</x:v>
      </x:c>
      <x:c r="B46" s="142" t="str">
        <x:v>Local model table</x:v>
      </x:c>
      <x:c r="C46" s="142" t="str">
        <x:v>See model columns and source definition</x:v>
      </x:c>
      <x:c r="D46" s="142" t="str">
        <x:v>Calculated or embedded import</x:v>
      </x:c>
      <x:c r="E46" s="142" t="str">
        <x:v>Selector, reference, category or report helper; not a separate Gold publication.</x:v>
      </x:c>
      <x:c r="F46" s="142" t="str">
        <x:v>Journey Detail Selection.tmdl</x:v>
      </x:c>
    </x:row>
    <x:row r="47" ht="26.399999618530273" hidden="0" customHeight="1">
      <x:c r="A47" s="142" t="str">
        <x:v>Journey Provider Selection</x:v>
      </x:c>
      <x:c r="B47" s="142" t="str">
        <x:v>Local model table</x:v>
      </x:c>
      <x:c r="C47" s="142" t="str">
        <x:v>See model columns and source definition</x:v>
      </x:c>
      <x:c r="D47" s="142" t="str">
        <x:v>Calculated or embedded import</x:v>
      </x:c>
      <x:c r="E47" s="142" t="str">
        <x:v>Selector, reference, category or report helper; not a separate Gold publication.</x:v>
      </x:c>
      <x:c r="F47" s="142" t="str">
        <x:v>Journey Provider Selection.tmdl</x:v>
      </x:c>
    </x:row>
    <x:row r="48" ht="26.399999618530273" hidden="0" customHeight="1">
      <x:c r="A48" s="142" t="str">
        <x:v>KPI Selector</x:v>
      </x:c>
      <x:c r="B48" s="142" t="str">
        <x:v>Local model table</x:v>
      </x:c>
      <x:c r="C48" s="142" t="str">
        <x:v>See model columns and source definition</x:v>
      </x:c>
      <x:c r="D48" s="142" t="str">
        <x:v>Calculated or embedded import</x:v>
      </x:c>
      <x:c r="E48" s="142" t="str">
        <x:v>Selector, reference, category or report helper; not a separate Gold publication.</x:v>
      </x:c>
      <x:c r="F48" s="142" t="str">
        <x:v>KPI Selector.tmdl</x:v>
      </x:c>
    </x:row>
    <x:row r="49" ht="26.399999618530273" hidden="0" customHeight="1">
      <x:c r="A49" s="142" t="str">
        <x:v>Offer Category</x:v>
      </x:c>
      <x:c r="B49" s="142" t="str">
        <x:v>Local model table</x:v>
      </x:c>
      <x:c r="C49" s="142" t="str">
        <x:v>See model columns and source definition</x:v>
      </x:c>
      <x:c r="D49" s="142" t="str">
        <x:v>Calculated or embedded import</x:v>
      </x:c>
      <x:c r="E49" s="142" t="str">
        <x:v>Selector, reference, category or report helper; not a separate Gold publication.</x:v>
      </x:c>
      <x:c r="F49" s="142" t="str">
        <x:v>Offer Category.tmdl</x:v>
      </x:c>
    </x:row>
    <x:row r="50" ht="26.399999618530273" hidden="0" customHeight="1">
      <x:c r="A50" s="142" t="str">
        <x:v>Offer Journey Stage</x:v>
      </x:c>
      <x:c r="B50" s="142" t="str">
        <x:v>Local model table</x:v>
      </x:c>
      <x:c r="C50" s="142" t="str">
        <x:v>See model columns and source definition</x:v>
      </x:c>
      <x:c r="D50" s="142" t="str">
        <x:v>Calculated or embedded import</x:v>
      </x:c>
      <x:c r="E50" s="142" t="str">
        <x:v>Selector, reference, category or report helper; not a separate Gold publication.</x:v>
      </x:c>
      <x:c r="F50" s="142" t="str">
        <x:v>Offer Journey Stage.tmdl</x:v>
      </x:c>
    </x:row>
    <x:row r="51" ht="26.399999618530273" hidden="0" customHeight="1">
      <x:c r="A51" s="142" t="str">
        <x:v>Open Referral Age</x:v>
      </x:c>
      <x:c r="B51" s="142" t="str">
        <x:v>Local model table</x:v>
      </x:c>
      <x:c r="C51" s="142" t="str">
        <x:v>See model columns and source definition</x:v>
      </x:c>
      <x:c r="D51" s="142" t="str">
        <x:v>Calculated or embedded import</x:v>
      </x:c>
      <x:c r="E51" s="142" t="str">
        <x:v>Selector, reference, category or report helper; not a separate Gold publication.</x:v>
      </x:c>
      <x:c r="F51" s="142" t="str">
        <x:v>Open Referral Age.tmdl</x:v>
      </x:c>
    </x:row>
    <x:row r="52" ht="26.399999618530273" hidden="0" customHeight="1">
      <x:c r="A52" s="142" t="str">
        <x:v>Placement Window</x:v>
      </x:c>
      <x:c r="B52" s="142" t="str">
        <x:v>Local model table</x:v>
      </x:c>
      <x:c r="C52" s="142" t="str">
        <x:v>See model columns and source definition</x:v>
      </x:c>
      <x:c r="D52" s="142" t="str">
        <x:v>Calculated or embedded import</x:v>
      </x:c>
      <x:c r="E52" s="142" t="str">
        <x:v>Selector, reference, category or report helper; not a separate Gold publication.</x:v>
      </x:c>
      <x:c r="F52" s="142" t="str">
        <x:v>Placement Window.tmdl</x:v>
      </x:c>
    </x:row>
    <x:row r="53" ht="26.399999618530273" hidden="0" customHeight="1">
      <x:c r="A53" s="142" t="str">
        <x:v>ref_KPI</x:v>
      </x:c>
      <x:c r="B53" s="142" t="str">
        <x:v>Local model table</x:v>
      </x:c>
      <x:c r="C53" s="142" t="str">
        <x:v>See model columns and source definition</x:v>
      </x:c>
      <x:c r="D53" s="142" t="str">
        <x:v>Calculated or embedded import</x:v>
      </x:c>
      <x:c r="E53" s="142" t="str">
        <x:v>Embedded historical requirements/KPI reference; does not auto-refresh from this workbook.</x:v>
      </x:c>
      <x:c r="F53" s="142" t="str">
        <x:v>ref_KPI.tmdl</x:v>
      </x:c>
    </x:row>
    <x:row r="54" ht="26.399999618530273" hidden="0" customHeight="1">
      <x:c r="A54" s="142" t="str">
        <x:v>ref_KPI_RID_Linkage</x:v>
      </x:c>
      <x:c r="B54" s="142" t="str">
        <x:v>Local model table</x:v>
      </x:c>
      <x:c r="C54" s="142" t="str">
        <x:v>See model columns and source definition</x:v>
      </x:c>
      <x:c r="D54" s="142" t="str">
        <x:v>Calculated or embedded import</x:v>
      </x:c>
      <x:c r="E54" s="142" t="str">
        <x:v>Embedded historical requirements/KPI reference; does not auto-refresh from this workbook.</x:v>
      </x:c>
      <x:c r="F54" s="142" t="str">
        <x:v>ref_KPI_RID_Linkage.tmdl</x:v>
      </x:c>
    </x:row>
    <x:row r="55" ht="26.399999618530273" hidden="0" customHeight="1">
      <x:c r="A55" s="142" t="str">
        <x:v>ref_RID</x:v>
      </x:c>
      <x:c r="B55" s="142" t="str">
        <x:v>Local model table</x:v>
      </x:c>
      <x:c r="C55" s="142" t="str">
        <x:v>See model columns and source definition</x:v>
      </x:c>
      <x:c r="D55" s="142" t="str">
        <x:v>Calculated or embedded import</x:v>
      </x:c>
      <x:c r="E55" s="142" t="str">
        <x:v>Embedded historical requirements/KPI reference; does not auto-refresh from this workbook.</x:v>
      </x:c>
      <x:c r="F55" s="142" t="str">
        <x:v>ref_RID.tmdl</x:v>
      </x:c>
    </x:row>
    <x:row r="56" ht="26.399999618530273" hidden="0" customHeight="1">
      <x:c r="A56" s="142" t="str">
        <x:v>Referral Breakdown</x:v>
      </x:c>
      <x:c r="B56" s="142" t="str">
        <x:v>Local model table</x:v>
      </x:c>
      <x:c r="C56" s="142" t="str">
        <x:v>See model columns and source definition</x:v>
      </x:c>
      <x:c r="D56" s="142" t="str">
        <x:v>Calculated or embedded import</x:v>
      </x:c>
      <x:c r="E56" s="142" t="str">
        <x:v>Selector, reference, category or report helper; not a separate Gold publication.</x:v>
      </x:c>
      <x:c r="F56" s="142" t="str">
        <x:v>Referral Breakdown.tmdl</x:v>
      </x:c>
    </x:row>
    <x:row r="57" ht="26.399999618530273" hidden="0" customHeight="1">
      <x:c r="A57" s="142" t="str">
        <x:v>Referral Category</x:v>
      </x:c>
      <x:c r="B57" s="142" t="str">
        <x:v>Local model table</x:v>
      </x:c>
      <x:c r="C57" s="142" t="str">
        <x:v>See model columns and source definition</x:v>
      </x:c>
      <x:c r="D57" s="142" t="str">
        <x:v>Calculated or embedded import</x:v>
      </x:c>
      <x:c r="E57" s="142" t="str">
        <x:v>Selector, reference, category or report helper; not a separate Gold publication.</x:v>
      </x:c>
      <x:c r="F57" s="142" t="str">
        <x:v>Referral Category.tmdl</x:v>
      </x:c>
    </x:row>
    <x:row r="58" ht="26.399999618530273" hidden="0" customHeight="1">
      <x:c r="A58" s="142" t="str">
        <x:v>Referral Map Points</x:v>
      </x:c>
      <x:c r="B58" s="142" t="str">
        <x:v>Local model table</x:v>
      </x:c>
      <x:c r="C58" s="142" t="str">
        <x:v>See model columns and source definition</x:v>
      </x:c>
      <x:c r="D58" s="142" t="str">
        <x:v>Calculated or embedded import</x:v>
      </x:c>
      <x:c r="E58" s="142" t="str">
        <x:v>Calculated union of assigned-provider and offer-home locations; secured referral path.</x:v>
      </x:c>
      <x:c r="F58" s="142" t="str">
        <x:v>Referral Map Points.tmdl</x:v>
      </x:c>
    </x:row>
    <x:row r="59" ht="26.399999618530273" hidden="0" customHeight="1">
      <x:c r="A59" s="142" t="str">
        <x:v>Referral Metric</x:v>
      </x:c>
      <x:c r="B59" s="142" t="str">
        <x:v>Local model table</x:v>
      </x:c>
      <x:c r="C59" s="142" t="str">
        <x:v>See model columns and source definition</x:v>
      </x:c>
      <x:c r="D59" s="142" t="str">
        <x:v>Calculated or embedded import</x:v>
      </x:c>
      <x:c r="E59" s="142" t="str">
        <x:v>Selector, reference, category or report helper; not a separate Gold publication.</x:v>
      </x:c>
      <x:c r="F59" s="142" t="str">
        <x:v>Referral Metric.tmdl</x:v>
      </x:c>
    </x:row>
    <x:row r="60" ht="14.5" hidden="0" customHeight="1">
      <x:c r="A60" s="142" t="str">
        <x:v>sec_user_scope_access</x:v>
      </x:c>
      <x:c r="B60" s="142" t="str">
        <x:v>Gold import</x:v>
      </x:c>
      <x:c r="C60" s="142" t="str">
        <x:v>See model columns and source definition</x:v>
      </x:c>
      <x:c r="D60" s="142" t="str">
        <x:v>gold.sec_user_scope_access</x:v>
      </x:c>
      <x:c r="E60" s="142" t="str">
        <x:v>Refresh from governed Gold; confirm deployment and data quality.</x:v>
      </x:c>
      <x:c r="F60" s="142" t="str">
        <x:v>sec_user_scope_access.tmdl</x:v>
      </x:c>
    </x:row>
    <x:row r="61" ht="26.399999618530273" hidden="0" customHeight="1">
      <x:c r="A61" s="142" t="str">
        <x:v>Snapshot Window</x:v>
      </x:c>
      <x:c r="B61" s="142" t="str">
        <x:v>Local model table</x:v>
      </x:c>
      <x:c r="C61" s="142" t="str">
        <x:v>See model columns and source definition</x:v>
      </x:c>
      <x:c r="D61" s="142" t="str">
        <x:v>Calculated or embedded import</x:v>
      </x:c>
      <x:c r="E61" s="142" t="str">
        <x:v>Selector, reference, category or report helper; not a separate Gold publication.</x:v>
      </x:c>
      <x:c r="F61" s="142" t="str">
        <x:v>Snapshot Window.tmdl</x:v>
      </x:c>
    </x:row>
    <x:row r="62" ht="26.399999618530273" hidden="0" customHeight="1">
      <x:c r="A62" s="142" t="str">
        <x:v>Target Status</x:v>
      </x:c>
      <x:c r="B62" s="142" t="str">
        <x:v>Local model table</x:v>
      </x:c>
      <x:c r="C62" s="142" t="str">
        <x:v>See model columns and source definition</x:v>
      </x:c>
      <x:c r="D62" s="142" t="str">
        <x:v>Calculated or embedded import</x:v>
      </x:c>
      <x:c r="E62" s="142" t="str">
        <x:v>Selector, reference, category or report helper; not a separate Gold publication.</x:v>
      </x:c>
      <x:c r="F62" s="142" t="str">
        <x:v>Target Status.tmdl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d4002d2d0f4478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16" hidden="0" customWidth="1"/>
    <x:col min="2" max="2" width="30" hidden="0" customWidth="1"/>
    <x:col min="3" max="3" width="39" hidden="0" customWidth="1"/>
    <x:col min="4" max="4" width="27" hidden="0" customWidth="1"/>
    <x:col min="5" max="5" width="22" hidden="0" customWidth="1"/>
    <x:col min="6" max="6" width="48" hidden="0" customWidth="1"/>
    <x:col min="7" max="7" width="26" hidden="0" customWidth="1"/>
    <x:col min="8" max="8" width="76" hidden="0" customWidth="1"/>
  </x:cols>
  <x:sheetData>
    <x:row r="1" s="2" customFormat="1" ht="28" customHeight="1">
      <x:c r="A1" s="96" t="str">
        <x:v>Active Gold KPI and DAX measure legend</x:v>
      </x:c>
      <x:c r="B1" s="96" t="str">
        <x:v>Active Gold KPI and DAX measure legend</x:v>
      </x:c>
      <x:c r="C1" s="96" t="str">
        <x:v>Active Gold KPI and DAX measure legend</x:v>
      </x:c>
      <x:c r="D1" s="96" t="str">
        <x:v>Active Gold KPI and DAX measure legend</x:v>
      </x:c>
      <x:c r="E1" s="96" t="str">
        <x:v>Active Gold KPI and DAX measure legend</x:v>
      </x:c>
      <x:c r="F1" s="96" t="str">
        <x:v>Active Gold KPI and DAX measure legend</x:v>
      </x:c>
      <x:c r="G1" s="96" t="str">
        <x:v>Active Gold KPI and DAX measure legend</x:v>
      </x:c>
      <x:c r="H1" s="96" t="str">
        <x:v>Active Gold KPI and DAX measure legend</x:v>
      </x:c>
    </x:row>
    <x:row r="2" ht="45" customHeight="1">
      <x:c r="A2" s="13" t="str">
        <x:v>Reviewed 30 September 2026: 109 existing measures resolve in the WIP; 35 added business measures are listed below. Built means defined in saved files, not refreshed or accepted. New requirement associations are proposed. See WMPP_CURRENT_STATUS.md.</x:v>
      </x:c>
      <x:c r="B2" s="142"/>
      <x:c r="C2" s="142"/>
      <x:c r="D2" s="142"/>
      <x:c r="E2" s="142"/>
      <x:c r="F2" s="142"/>
      <x:c r="G2" s="142"/>
      <x:c r="H2" s="142"/>
    </x:row>
    <x:row r="3">
      <x:c r="A3"/>
      <x:c r="B3"/>
      <x:c r="C3"/>
      <x:c r="D3"/>
      <x:c r="E3"/>
      <x:c r="F3"/>
      <x:c r="G3"/>
      <x:c r="H3"/>
    </x:row>
    <x:row r="4" ht="14.5" hidden="0" customHeight="1">
      <x:c r="A4" s="19" t="str">
        <x:v>Gold KPI ID</x:v>
      </x:c>
      <x:c r="B4" s="19" t="str">
        <x:v>Business area</x:v>
      </x:c>
      <x:c r="C4" s="19" t="str">
        <x:v>DAX measure</x:v>
      </x:c>
      <x:c r="D4" s="19" t="str">
        <x:v>Legacy KPI mapping</x:v>
      </x:c>
      <x:c r="E4" s="19" t="str">
        <x:v>Requirement IDs</x:v>
      </x:c>
      <x:c r="F4" s="19" t="str">
        <x:v>WIP source tables</x:v>
      </x:c>
      <x:c r="G4" s="19" t="str">
        <x:v>Implementation status</x:v>
      </x:c>
      <x:c r="H4" s="19" t="str">
        <x:v>Meaning / remaining check</x:v>
      </x:c>
    </x:row>
    <x:row r="5" ht="14.5" hidden="0" customHeight="1">
      <x:c r="A5" s="38" t="str">
        <x:v>GOLD-KPI-001</x:v>
      </x:c>
      <x:c r="B5" s="39" t="str">
        <x:v>Referral performance</x:v>
      </x:c>
      <x:c r="C5" s="39" t="str">
        <x:v>Total Referrals</x:v>
      </x:c>
      <x:c r="D5" s="39" t="str">
        <x:v>KPI-01</x:v>
      </x:c>
      <x:c r="E5" s="39" t="str">
        <x:v>R24, R51</x:v>
      </x:c>
      <x:c r="F5" s="39" t="str">
        <x:v>fact_referral</x:v>
      </x:c>
      <x:c r="G5" s="39" t="str">
        <x:v>Built; UAT pending</x:v>
      </x:c>
      <x:c r="H5" s="40" t="str">
        <x:v>Definition present in WIP _Measures. Reconcile against refreshed Gold and approved business rules.</x:v>
      </x:c>
    </x:row>
    <x:row r="6" ht="14.5" hidden="0" customHeight="1">
      <x:c r="A6" s="41" t="str">
        <x:v>GOLD-KPI-002</x:v>
      </x:c>
      <x:c r="B6" s="42" t="str">
        <x:v>Referral performance</x:v>
      </x:c>
      <x:c r="C6" s="42" t="str">
        <x:v>Open Referrals</x:v>
      </x:c>
      <x:c r="D6" s="42" t="str">
        <x:v>KPI-08, KPI-29</x:v>
      </x:c>
      <x:c r="E6" s="42" t="str">
        <x:v>R24</x:v>
      </x:c>
      <x:c r="F6" s="42" t="str">
        <x:v>fact_referral</x:v>
      </x:c>
      <x:c r="G6" s="42" t="str">
        <x:v>Built; UAT pending</x:v>
      </x:c>
      <x:c r="H6" s="43" t="str">
        <x:v>Definition present in WIP _Measures. Reconcile against refreshed Gold and approved business rules.</x:v>
      </x:c>
    </x:row>
    <x:row r="7" ht="14.5" hidden="0" customHeight="1">
      <x:c r="A7" s="41" t="str">
        <x:v>GOLD-KPI-003</x:v>
      </x:c>
      <x:c r="B7" s="42" t="str">
        <x:v>Referral performance</x:v>
      </x:c>
      <x:c r="C7" s="42" t="str">
        <x:v>Closed Referrals</x:v>
      </x:c>
      <x:c r="D7" s="42" t="str">
        <x:v>KPI-31</x:v>
      </x:c>
      <x:c r="E7" s="42" t="str">
        <x:v>R13</x:v>
      </x:c>
      <x:c r="F7" s="42" t="str">
        <x:v>fact_referral</x:v>
      </x:c>
      <x:c r="G7" s="42" t="str">
        <x:v>Built; UAT pending</x:v>
      </x:c>
      <x:c r="H7" s="43" t="str">
        <x:v>Definition present in WIP _Measures. Reconcile against refreshed Gold and approved business rules.</x:v>
      </x:c>
    </x:row>
    <x:row r="8" ht="14.5" hidden="0" customHeight="1">
      <x:c r="A8" s="41" t="str">
        <x:v>GOLD-KPI-004</x:v>
      </x:c>
      <x:c r="B8" s="42" t="str">
        <x:v>Referral performance</x:v>
      </x:c>
      <x:c r="C8" s="42" t="str">
        <x:v>Referrals With an Offer</x:v>
      </x:c>
      <x:c r="D8" s="42" t="str">
        <x:v>KPI-02, KPI-09, KPI-33</x:v>
      </x:c>
      <x:c r="E8" s="42" t="str">
        <x:v>R24, R36, R51</x:v>
      </x:c>
      <x:c r="F8" s="42" t="str">
        <x:v>fact_referral</x:v>
      </x:c>
      <x:c r="G8" s="42" t="str">
        <x:v>Built; UAT pending</x:v>
      </x:c>
      <x:c r="H8" s="43" t="str">
        <x:v>Definition present in WIP _Measures. Reconcile against refreshed Gold and approved business rules.</x:v>
      </x:c>
    </x:row>
    <x:row r="9" ht="14.5" hidden="0" customHeight="1">
      <x:c r="A9" s="41" t="str">
        <x:v>GOLD-KPI-005</x:v>
      </x:c>
      <x:c r="B9" s="42" t="str">
        <x:v>Referral performance</x:v>
      </x:c>
      <x:c r="C9" s="42" t="str">
        <x:v>Referrals Awaiting Offer</x:v>
      </x:c>
      <x:c r="D9" s="42" t="str">
        <x:v>KPI-03, KPI-32</x:v>
      </x:c>
      <x:c r="E9" s="42" t="str">
        <x:v>R24, R36</x:v>
      </x:c>
      <x:c r="F9" s="42" t="str">
        <x:v>fact_referral</x:v>
      </x:c>
      <x:c r="G9" s="42" t="str">
        <x:v>Built; UAT pending</x:v>
      </x:c>
      <x:c r="H9" s="43" t="str">
        <x:v>Definition present in WIP _Measures. Reconcile against refreshed Gold and approved business rules.</x:v>
      </x:c>
    </x:row>
    <x:row r="10" ht="14.5" hidden="0" customHeight="1">
      <x:c r="A10" s="41" t="str">
        <x:v>GOLD-KPI-006</x:v>
      </x:c>
      <x:c r="B10" s="42" t="str">
        <x:v>Provider engagement</x:v>
      </x:c>
      <x:c r="C10" s="42" t="str">
        <x:v>Referrals Without Provider Assignment</x:v>
      </x:c>
      <x:c r="D10" s="42" t="str">
        <x:v>New Gold KPI</x:v>
      </x:c>
      <x:c r="E10" s="42" t="str">
        <x:v>R24, R26</x:v>
      </x:c>
      <x:c r="F10" s="42" t="str">
        <x:v>fact_referral</x:v>
      </x:c>
      <x:c r="G10" s="42" t="str">
        <x:v>Built; UAT pending</x:v>
      </x:c>
      <x:c r="H10" s="43" t="str">
        <x:v>Definition present in WIP _Measures. Reconcile against refreshed Gold and approved business rules.</x:v>
      </x:c>
    </x:row>
    <x:row r="11" ht="14.5" hidden="0" customHeight="1">
      <x:c r="A11" s="41" t="str">
        <x:v>GOLD-KPI-007</x:v>
      </x:c>
      <x:c r="B11" s="42" t="str">
        <x:v>Referral performance</x:v>
      </x:c>
      <x:c r="C11" s="42" t="str">
        <x:v>Open Overdue Referrals</x:v>
      </x:c>
      <x:c r="D11" s="42" t="str">
        <x:v>New Gold KPI</x:v>
      </x:c>
      <x:c r="E11" s="42" t="str">
        <x:v>R24</x:v>
      </x:c>
      <x:c r="F11" s="42" t="str">
        <x:v>fact_referral</x:v>
      </x:c>
      <x:c r="G11" s="42" t="str">
        <x:v>Built; UAT pending</x:v>
      </x:c>
      <x:c r="H11" s="43" t="str">
        <x:v>Definition present in WIP _Measures. Reconcile against refreshed Gold and approved business rules.</x:v>
      </x:c>
    </x:row>
    <x:row r="12" ht="14.5" hidden="0" customHeight="1">
      <x:c r="A12" s="41" t="str">
        <x:v>GOLD-KPI-008</x:v>
      </x:c>
      <x:c r="B12" s="42" t="str">
        <x:v>Referral performance</x:v>
      </x:c>
      <x:c r="C12" s="42" t="str">
        <x:v>Referrals Placed by Required Date</x:v>
      </x:c>
      <x:c r="D12" s="42" t="str">
        <x:v>New Gold KPI</x:v>
      </x:c>
      <x:c r="E12" s="42" t="str">
        <x:v>R18, R57</x:v>
      </x:c>
      <x:c r="F12" s="42" t="str">
        <x:v>fact_referral</x:v>
      </x:c>
      <x:c r="G12" s="42" t="str">
        <x:v>Built; UAT pending</x:v>
      </x:c>
      <x:c r="H12" s="43" t="str">
        <x:v>Definition present in WIP _Measures. Reconcile against refreshed Gold and approved business rules.</x:v>
      </x:c>
    </x:row>
    <x:row r="13" ht="14.5" hidden="0" customHeight="1">
      <x:c r="A13" s="41" t="str">
        <x:v>GOLD-KPI-009</x:v>
      </x:c>
      <x:c r="B13" s="42" t="str">
        <x:v>Referral performance</x:v>
      </x:c>
      <x:c r="C13" s="42" t="str">
        <x:v>Placement Target Hit Rate</x:v>
      </x:c>
      <x:c r="D13" s="42" t="str">
        <x:v>New Gold KPI</x:v>
      </x:c>
      <x:c r="E13" s="42" t="str">
        <x:v>R18, R57</x:v>
      </x:c>
      <x:c r="F13" s="42" t="str">
        <x:v>fact_referral</x:v>
      </x:c>
      <x:c r="G13" s="42" t="str">
        <x:v>Built; UAT pending</x:v>
      </x:c>
      <x:c r="H13" s="43" t="str">
        <x:v>Definition present in WIP _Measures. Reconcile against refreshed Gold and approved business rules.</x:v>
      </x:c>
    </x:row>
    <x:row r="14" ht="14.5" hidden="0" customHeight="1">
      <x:c r="A14" s="41" t="str">
        <x:v>GOLD-KPI-010</x:v>
      </x:c>
      <x:c r="B14" s="42" t="str">
        <x:v>Referral performance</x:v>
      </x:c>
      <x:c r="C14" s="42" t="str">
        <x:v>Median Days to First Action</x:v>
      </x:c>
      <x:c r="D14" s="42" t="str">
        <x:v>New Gold KPI</x:v>
      </x:c>
      <x:c r="E14" s="42" t="str">
        <x:v>R24</x:v>
      </x:c>
      <x:c r="F14" s="42" t="str">
        <x:v>fact_referral</x:v>
      </x:c>
      <x:c r="G14" s="42" t="str">
        <x:v>Built; UAT pending</x:v>
      </x:c>
      <x:c r="H14" s="43" t="str">
        <x:v>Definition present in WIP _Measures. Reconcile against refreshed Gold and approved business rules.</x:v>
      </x:c>
    </x:row>
    <x:row r="15" ht="14.5" hidden="0" customHeight="1">
      <x:c r="A15" s="41" t="str">
        <x:v>GOLD-KPI-011</x:v>
      </x:c>
      <x:c r="B15" s="42" t="str">
        <x:v>Referral performance</x:v>
      </x:c>
      <x:c r="C15" s="42" t="str">
        <x:v>Median Days to First Offer</x:v>
      </x:c>
      <x:c r="D15" s="42" t="str">
        <x:v>New Gold KPI</x:v>
      </x:c>
      <x:c r="E15" s="42" t="str">
        <x:v>R24</x:v>
      </x:c>
      <x:c r="F15" s="42" t="str">
        <x:v>fact_referral</x:v>
      </x:c>
      <x:c r="G15" s="42" t="str">
        <x:v>Built; UAT pending</x:v>
      </x:c>
      <x:c r="H15" s="43" t="str">
        <x:v>Definition present in WIP _Measures. Reconcile against refreshed Gold and approved business rules.</x:v>
      </x:c>
    </x:row>
    <x:row r="16" ht="14.5" hidden="0" customHeight="1">
      <x:c r="A16" s="41" t="str">
        <x:v>GOLD-KPI-012</x:v>
      </x:c>
      <x:c r="B16" s="42" t="str">
        <x:v>Offer, provider and IPA</x:v>
      </x:c>
      <x:c r="C16" s="42" t="str">
        <x:v>Median Days to IPA</x:v>
      </x:c>
      <x:c r="D16" s="42" t="str">
        <x:v>New Gold KPI</x:v>
      </x:c>
      <x:c r="E16" s="42" t="str">
        <x:v>R35</x:v>
      </x:c>
      <x:c r="F16" s="42" t="str">
        <x:v>fact_referral</x:v>
      </x:c>
      <x:c r="G16" s="42" t="str">
        <x:v>Built; UAT pending</x:v>
      </x:c>
      <x:c r="H16" s="43" t="str">
        <x:v>Definition present in WIP _Measures. Reconcile against refreshed Gold and approved business rules.</x:v>
      </x:c>
    </x:row>
    <x:row r="17" ht="14.5" hidden="0" customHeight="1">
      <x:c r="A17" s="41" t="str">
        <x:v>GOLD-KPI-013</x:v>
      </x:c>
      <x:c r="B17" s="42" t="str">
        <x:v>Referral performance</x:v>
      </x:c>
      <x:c r="C17" s="42" t="str">
        <x:v>Open Referrals Stalled 7+ Days</x:v>
      </x:c>
      <x:c r="D17" s="42" t="str">
        <x:v>New Gold KPI</x:v>
      </x:c>
      <x:c r="E17" s="42" t="str">
        <x:v>—</x:v>
      </x:c>
      <x:c r="F17" s="42" t="str">
        <x:v>fact_referral</x:v>
      </x:c>
      <x:c r="G17" s="42" t="str">
        <x:v>Built; UAT pending</x:v>
      </x:c>
      <x:c r="H17" s="43" t="str">
        <x:v>Definition present in WIP _Measures. Reconcile against refreshed Gold and approved business rules.</x:v>
      </x:c>
    </x:row>
    <x:row r="18" ht="14.5" hidden="0" customHeight="1">
      <x:c r="A18" s="41" t="str">
        <x:v>GOLD-KPI-014</x:v>
      </x:c>
      <x:c r="B18" s="42" t="str">
        <x:v>Offer, provider and IPA</x:v>
      </x:c>
      <x:c r="C18" s="42" t="str">
        <x:v>Offers Submitted</x:v>
      </x:c>
      <x:c r="D18" s="42" t="str">
        <x:v>KPI-12, KPI-28</x:v>
      </x:c>
      <x:c r="E18" s="42" t="str">
        <x:v>R25–R29</x:v>
      </x:c>
      <x:c r="F18" s="42" t="str">
        <x:v>fact_offer</x:v>
      </x:c>
      <x:c r="G18" s="42" t="str">
        <x:v>Built; UAT pending</x:v>
      </x:c>
      <x:c r="H18" s="43" t="str">
        <x:v>Definition present in WIP _Measures. Reconcile against refreshed Gold and approved business rules.</x:v>
      </x:c>
    </x:row>
    <x:row r="19" ht="14.5" hidden="0" customHeight="1">
      <x:c r="A19" s="41" t="str">
        <x:v>GOLD-KPI-015</x:v>
      </x:c>
      <x:c r="B19" s="42" t="str">
        <x:v>Offer, provider and IPA</x:v>
      </x:c>
      <x:c r="C19" s="42" t="str">
        <x:v>Accepted Offers</x:v>
      </x:c>
      <x:c r="D19" s="42" t="str">
        <x:v>KPI-15, KPI-39, KPI-75</x:v>
      </x:c>
      <x:c r="E19" s="42" t="str">
        <x:v>R28, R35</x:v>
      </x:c>
      <x:c r="F19" s="42" t="str">
        <x:v>fact_offer</x:v>
      </x:c>
      <x:c r="G19" s="42" t="str">
        <x:v>Built; UAT pending</x:v>
      </x:c>
      <x:c r="H19" s="43" t="str">
        <x:v>Definition present in WIP _Measures. Reconcile against refreshed Gold and approved business rules.</x:v>
      </x:c>
    </x:row>
    <x:row r="20" ht="14.5" hidden="0" customHeight="1">
      <x:c r="A20" s="41" t="str">
        <x:v>GOLD-KPI-016</x:v>
      </x:c>
      <x:c r="B20" s="42" t="str">
        <x:v>Offer, provider and IPA</x:v>
      </x:c>
      <x:c r="C20" s="42" t="str">
        <x:v>Offers with a Decision</x:v>
      </x:c>
      <x:c r="D20" s="42" t="str">
        <x:v>New Gold KPI</x:v>
      </x:c>
      <x:c r="E20" s="42" t="str">
        <x:v>R28</x:v>
      </x:c>
      <x:c r="F20" s="42" t="str">
        <x:v>fact_offer</x:v>
      </x:c>
      <x:c r="G20" s="42" t="str">
        <x:v>Built; UAT pending</x:v>
      </x:c>
      <x:c r="H20" s="43" t="str">
        <x:v>Definition present in WIP _Measures. Reconcile against refreshed Gold and approved business rules.</x:v>
      </x:c>
    </x:row>
    <x:row r="21" ht="14.5" hidden="0" customHeight="1">
      <x:c r="A21" s="41" t="str">
        <x:v>GOLD-KPI-017</x:v>
      </x:c>
      <x:c r="B21" s="42" t="str">
        <x:v>Offer, provider and IPA</x:v>
      </x:c>
      <x:c r="C21" s="42" t="str">
        <x:v>Offer Acceptance Rate</x:v>
      </x:c>
      <x:c r="D21" s="42" t="str">
        <x:v>New Gold KPI</x:v>
      </x:c>
      <x:c r="E21" s="42" t="str">
        <x:v>R28</x:v>
      </x:c>
      <x:c r="F21" s="42" t="str">
        <x:v>fact_offer</x:v>
      </x:c>
      <x:c r="G21" s="42" t="str">
        <x:v>Built; UAT pending</x:v>
      </x:c>
      <x:c r="H21" s="43" t="str">
        <x:v>Definition present in WIP _Measures. Reconcile against refreshed Gold and approved business rules.</x:v>
      </x:c>
    </x:row>
    <x:row r="22" ht="14.5" hidden="0" customHeight="1">
      <x:c r="A22" s="41" t="str">
        <x:v>GOLD-KPI-018</x:v>
      </x:c>
      <x:c r="B22" s="42" t="str">
        <x:v>Offer performance</x:v>
      </x:c>
      <x:c r="C22" s="42" t="str">
        <x:v>Average Offers per Referral</x:v>
      </x:c>
      <x:c r="D22" s="42" t="str">
        <x:v>New Gold KPI</x:v>
      </x:c>
      <x:c r="E22" s="42" t="str">
        <x:v>—</x:v>
      </x:c>
      <x:c r="F22" s="42" t="str">
        <x:v>fact_offer; fact_referral</x:v>
      </x:c>
      <x:c r="G22" s="42" t="str">
        <x:v>Built; UAT pending</x:v>
      </x:c>
      <x:c r="H22" s="43" t="str">
        <x:v>Definition present in WIP _Measures. Reconcile against refreshed Gold and approved business rules.</x:v>
      </x:c>
    </x:row>
    <x:row r="23" ht="14.5" hidden="0" customHeight="1">
      <x:c r="A23" s="41" t="str">
        <x:v>GOLD-KPI-019</x:v>
      </x:c>
      <x:c r="B23" s="42" t="str">
        <x:v>Offer, provider and IPA</x:v>
      </x:c>
      <x:c r="C23" s="42" t="str">
        <x:v>Offers in Draft</x:v>
      </x:c>
      <x:c r="D23" s="42" t="str">
        <x:v>KPI-17, KPI-61</x:v>
      </x:c>
      <x:c r="E23" s="42" t="str">
        <x:v>R24</x:v>
      </x:c>
      <x:c r="F23" s="42" t="str">
        <x:v>fact_offer</x:v>
      </x:c>
      <x:c r="G23" s="42" t="str">
        <x:v>Built; UAT pending</x:v>
      </x:c>
      <x:c r="H23" s="43" t="str">
        <x:v>Definition present in WIP _Measures. Reconcile against refreshed Gold and approved business rules.</x:v>
      </x:c>
    </x:row>
    <x:row r="24" ht="14.5" hidden="0" customHeight="1">
      <x:c r="A24" s="41" t="str">
        <x:v>GOLD-KPI-020</x:v>
      </x:c>
      <x:c r="B24" s="42" t="str">
        <x:v>Offer, provider and IPA</x:v>
      </x:c>
      <x:c r="C24" s="42" t="str">
        <x:v>Draft Offers Stalled 7+ Days</x:v>
      </x:c>
      <x:c r="D24" s="42" t="str">
        <x:v>New Gold KPI</x:v>
      </x:c>
      <x:c r="E24" s="42" t="str">
        <x:v>—</x:v>
      </x:c>
      <x:c r="F24" s="42" t="str">
        <x:v>fact_offer</x:v>
      </x:c>
      <x:c r="G24" s="42" t="str">
        <x:v>Built; UAT pending</x:v>
      </x:c>
      <x:c r="H24" s="43" t="str">
        <x:v>Definition present in WIP _Measures. Reconcile against refreshed Gold and approved business rules.</x:v>
      </x:c>
    </x:row>
    <x:row r="25" ht="14.5" hidden="0" customHeight="1">
      <x:c r="A25" s="41" t="str">
        <x:v>GOLD-KPI-021</x:v>
      </x:c>
      <x:c r="B25" s="42" t="str">
        <x:v>Offer, provider and IPA</x:v>
      </x:c>
      <x:c r="C25" s="42" t="str">
        <x:v>IPAs Created</x:v>
      </x:c>
      <x:c r="D25" s="42" t="str">
        <x:v>KPI-76</x:v>
      </x:c>
      <x:c r="E25" s="42" t="str">
        <x:v>R35</x:v>
      </x:c>
      <x:c r="F25" s="42" t="str">
        <x:v>fact_ipa</x:v>
      </x:c>
      <x:c r="G25" s="42" t="str">
        <x:v>Built; UAT pending</x:v>
      </x:c>
      <x:c r="H25" s="43" t="str">
        <x:v>Definition present in WIP _Measures. Reconcile against refreshed Gold and approved business rules.</x:v>
      </x:c>
    </x:row>
    <x:row r="26" ht="14.5" hidden="0" customHeight="1">
      <x:c r="A26" s="41" t="str">
        <x:v>GOLD-KPI-022</x:v>
      </x:c>
      <x:c r="B26" s="42" t="str">
        <x:v>Offer, provider and IPA</x:v>
      </x:c>
      <x:c r="C26" s="42" t="str">
        <x:v>Active IPAs</x:v>
      </x:c>
      <x:c r="D26" s="42" t="str">
        <x:v>New Gold KPI</x:v>
      </x:c>
      <x:c r="E26" s="42" t="str">
        <x:v>R35, R62</x:v>
      </x:c>
      <x:c r="F26" s="42" t="str">
        <x:v>fact_ipa</x:v>
      </x:c>
      <x:c r="G26" s="42" t="str">
        <x:v>Built; UAT pending</x:v>
      </x:c>
      <x:c r="H26" s="43" t="str">
        <x:v>Definition present in WIP _Measures. Reconcile against refreshed Gold and approved business rules.</x:v>
      </x:c>
    </x:row>
    <x:row r="27" ht="14.5" hidden="0" customHeight="1">
      <x:c r="A27" s="41" t="str">
        <x:v>GOLD-KPI-023</x:v>
      </x:c>
      <x:c r="B27" s="42" t="str">
        <x:v>Offer, provider and IPA</x:v>
      </x:c>
      <x:c r="C27" s="42" t="str">
        <x:v>Estimated Active Weekly Cost</x:v>
      </x:c>
      <x:c r="D27" s="42" t="str">
        <x:v>KPI-107 replacement</x:v>
      </x:c>
      <x:c r="E27" s="42" t="str">
        <x:v>R62</x:v>
      </x:c>
      <x:c r="F27" s="42" t="str">
        <x:v>fact_ipa</x:v>
      </x:c>
      <x:c r="G27" s="42" t="str">
        <x:v>Built; UAT pending</x:v>
      </x:c>
      <x:c r="H27" s="43" t="str">
        <x:v>Estimated active weekly liability, not actual spend or verified signed fee liability.</x:v>
      </x:c>
    </x:row>
    <x:row r="28" ht="26.399999618530273" hidden="0" customHeight="1">
      <x:c r="A28" s="41" t="str">
        <x:v>GOLD-KPI-024</x:v>
      </x:c>
      <x:c r="B28" s="42" t="str">
        <x:v>IPA cost</x:v>
      </x:c>
      <x:c r="C28" s="42" t="str">
        <x:v>Average Estimated Weekly Cost — Confirmed Referrals</x:v>
      </x:c>
      <x:c r="D28" s="42" t="str">
        <x:v>New Gold KPI</x:v>
      </x:c>
      <x:c r="E28" s="42" t="str">
        <x:v>R62</x:v>
      </x:c>
      <x:c r="F28" s="42" t="str">
        <x:v>fact_referral</x:v>
      </x:c>
      <x:c r="G28" s="42" t="str">
        <x:v>Built; UAT pending</x:v>
      </x:c>
      <x:c r="H28" s="43" t="str">
        <x:v>Average referral-level estimated weekly cost for issued IPAs, not actual cost.</x:v>
      </x:c>
    </x:row>
    <x:row r="29" ht="14.5" hidden="0" customHeight="1">
      <x:c r="A29" s="41" t="str">
        <x:v>GOLD-KPI-025</x:v>
      </x:c>
      <x:c r="B29" s="42" t="str">
        <x:v>Provider engagement</x:v>
      </x:c>
      <x:c r="C29" s="42" t="str">
        <x:v>Provider Assignments</x:v>
      </x:c>
      <x:c r="D29" s="42" t="str">
        <x:v>New Gold KPI</x:v>
      </x:c>
      <x:c r="E29" s="42" t="str">
        <x:v>R24, R26</x:v>
      </x:c>
      <x:c r="F29" s="42" t="str">
        <x:v>fact_referral_provider</x:v>
      </x:c>
      <x:c r="G29" s="42" t="str">
        <x:v>Built; UAT pending</x:v>
      </x:c>
      <x:c r="H29" s="43" t="str">
        <x:v>Definition present in WIP _Measures. Reconcile against refreshed Gold and approved business rules.</x:v>
      </x:c>
    </x:row>
    <x:row r="30" ht="14.5" hidden="0" customHeight="1">
      <x:c r="A30" s="41" t="str">
        <x:v>GOLD-KPI-026</x:v>
      </x:c>
      <x:c r="B30" s="42" t="str">
        <x:v>Provider engagement</x:v>
      </x:c>
      <x:c r="C30" s="42" t="str">
        <x:v>Provider Declines</x:v>
      </x:c>
      <x:c r="D30" s="42" t="str">
        <x:v>New Gold KPI</x:v>
      </x:c>
      <x:c r="E30" s="42" t="str">
        <x:v>R54</x:v>
      </x:c>
      <x:c r="F30" s="42" t="str">
        <x:v>fact_referral_provider</x:v>
      </x:c>
      <x:c r="G30" s="42" t="str">
        <x:v>Built; UAT pending</x:v>
      </x:c>
      <x:c r="H30" s="43" t="str">
        <x:v>Definition present in WIP _Measures. Reconcile against refreshed Gold and approved business rules.</x:v>
      </x:c>
    </x:row>
    <x:row r="31" ht="14.5" hidden="0" customHeight="1">
      <x:c r="A31" s="41" t="str">
        <x:v>GOLD-KPI-027</x:v>
      </x:c>
      <x:c r="B31" s="42" t="str">
        <x:v>Provider engagement</x:v>
      </x:c>
      <x:c r="C31" s="42" t="str">
        <x:v>Provider Decline Rate</x:v>
      </x:c>
      <x:c r="D31" s="42" t="str">
        <x:v>New Gold KPI</x:v>
      </x:c>
      <x:c r="E31" s="42" t="str">
        <x:v>R54</x:v>
      </x:c>
      <x:c r="F31" s="42" t="str">
        <x:v>fact_referral_provider</x:v>
      </x:c>
      <x:c r="G31" s="42" t="str">
        <x:v>Built; UAT pending</x:v>
      </x:c>
      <x:c r="H31" s="43" t="str">
        <x:v>Definition present in WIP _Measures. Reconcile against refreshed Gold and approved business rules.</x:v>
      </x:c>
    </x:row>
    <x:row r="32" ht="14.5" hidden="0" customHeight="1">
      <x:c r="A32" s="41" t="str">
        <x:v>GOLD-KPI-028</x:v>
      </x:c>
      <x:c r="B32" s="42" t="str">
        <x:v>Referral snapshot</x:v>
      </x:c>
      <x:c r="C32" s="42" t="str">
        <x:v>Snapshot Referrals</x:v>
      </x:c>
      <x:c r="D32" s="42" t="str">
        <x:v>New Gold KPI</x:v>
      </x:c>
      <x:c r="E32" s="42" t="str">
        <x:v>R24, R52</x:v>
      </x:c>
      <x:c r="F32" s="42" t="str">
        <x:v>fact_referral_snapshot</x:v>
      </x:c>
      <x:c r="G32" s="42" t="str">
        <x:v>Built; UAT pending</x:v>
      </x:c>
      <x:c r="H32" s="43" t="str">
        <x:v>Definition present in WIP _Measures. Reconcile against refreshed Gold and approved business rules.</x:v>
      </x:c>
    </x:row>
    <x:row r="33" ht="14.5" hidden="0" customHeight="1">
      <x:c r="A33" s="41" t="str">
        <x:v>GOLD-KPI-029</x:v>
      </x:c>
      <x:c r="B33" s="42" t="str">
        <x:v>Referral snapshot</x:v>
      </x:c>
      <x:c r="C33" s="42" t="str">
        <x:v>Open Referrals at Snapshot</x:v>
      </x:c>
      <x:c r="D33" s="42" t="str">
        <x:v>New Gold KPI</x:v>
      </x:c>
      <x:c r="E33" s="42" t="str">
        <x:v>R24</x:v>
      </x:c>
      <x:c r="F33" s="42" t="str">
        <x:v>fact_referral_snapshot</x:v>
      </x:c>
      <x:c r="G33" s="42" t="str">
        <x:v>Built; UAT pending</x:v>
      </x:c>
      <x:c r="H33" s="43" t="str">
        <x:v>Definition present in WIP _Measures. Reconcile against refreshed Gold and approved business rules.</x:v>
      </x:c>
    </x:row>
    <x:row r="34" ht="26.399999618530273" hidden="0" customHeight="1">
      <x:c r="A34" s="41" t="str">
        <x:v>GOLD-KPI-030</x:v>
      </x:c>
      <x:c r="B34" s="42" t="str">
        <x:v>Referral snapshot</x:v>
      </x:c>
      <x:c r="C34" s="42" t="str">
        <x:v>Closed Referrals at Snapshot</x:v>
      </x:c>
      <x:c r="D34" s="42" t="str">
        <x:v>New Gold KPI</x:v>
      </x:c>
      <x:c r="E34" s="42" t="str">
        <x:v>R13</x:v>
      </x:c>
      <x:c r="F34" s="42" t="str">
        <x:v>fact_referral_snapshot</x:v>
      </x:c>
      <x:c r="G34" s="42" t="str">
        <x:v>Built; UAT pending</x:v>
      </x:c>
      <x:c r="H34" s="43" t="str">
        <x:v>Closure-date predicate at the retained snapshot date; distinguish closed/cancelled status snapshot measure.</x:v>
      </x:c>
    </x:row>
    <x:row r="35" ht="14.5" hidden="0" customHeight="1">
      <x:c r="A35" s="41" t="str">
        <x:v>GOLD-KPI-031</x:v>
      </x:c>
      <x:c r="B35" s="42" t="str">
        <x:v>Referral snapshot</x:v>
      </x:c>
      <x:c r="C35" s="42" t="str">
        <x:v>Referrals with IPA at Snapshot</x:v>
      </x:c>
      <x:c r="D35" s="42" t="str">
        <x:v>New Gold KPI</x:v>
      </x:c>
      <x:c r="E35" s="42" t="str">
        <x:v>R35</x:v>
      </x:c>
      <x:c r="F35" s="42" t="str">
        <x:v>fact_referral_snapshot</x:v>
      </x:c>
      <x:c r="G35" s="42" t="str">
        <x:v>Built; UAT pending</x:v>
      </x:c>
      <x:c r="H35" s="43" t="str">
        <x:v>Definition present in WIP _Measures. Reconcile against refreshed Gold and approved business rules.</x:v>
      </x:c>
    </x:row>
    <x:row r="36" ht="14.5" hidden="0" customHeight="1">
      <x:c r="A36" s="41" t="str">
        <x:v>GOLD-KPI-032</x:v>
      </x:c>
      <x:c r="B36" s="42" t="str">
        <x:v>Referral snapshot</x:v>
      </x:c>
      <x:c r="C36" s="42" t="str">
        <x:v>Open Overdue Referrals at Snapshot</x:v>
      </x:c>
      <x:c r="D36" s="42" t="str">
        <x:v>New Gold KPI</x:v>
      </x:c>
      <x:c r="E36" s="42" t="str">
        <x:v>—</x:v>
      </x:c>
      <x:c r="F36" s="42" t="str">
        <x:v>fact_referral_snapshot</x:v>
      </x:c>
      <x:c r="G36" s="42" t="str">
        <x:v>Built; UAT pending</x:v>
      </x:c>
      <x:c r="H36" s="43" t="str">
        <x:v>Definition present in WIP _Measures. Reconcile against refreshed Gold and approved business rules.</x:v>
      </x:c>
    </x:row>
    <x:row r="37" ht="14.5" hidden="0" customHeight="1">
      <x:c r="A37" s="41" t="str">
        <x:v>GOLD-KPI-033</x:v>
      </x:c>
      <x:c r="B37" s="42" t="str">
        <x:v>Referral snapshot</x:v>
      </x:c>
      <x:c r="C37" s="42" t="str">
        <x:v>Open On-Track Referrals at Snapshot</x:v>
      </x:c>
      <x:c r="D37" s="42" t="str">
        <x:v>New Gold KPI</x:v>
      </x:c>
      <x:c r="E37" s="42" t="str">
        <x:v>—</x:v>
      </x:c>
      <x:c r="F37" s="42" t="str">
        <x:v>fact_referral_snapshot</x:v>
      </x:c>
      <x:c r="G37" s="42" t="str">
        <x:v>Built; UAT pending</x:v>
      </x:c>
      <x:c r="H37" s="43" t="str">
        <x:v>Definition present in WIP _Measures. Reconcile against refreshed Gold and approved business rules.</x:v>
      </x:c>
    </x:row>
    <x:row r="38" ht="14.5" hidden="0" customHeight="1">
      <x:c r="A38" s="41" t="str">
        <x:v>GOLD-KPI-034</x:v>
      </x:c>
      <x:c r="B38" s="42" t="str">
        <x:v>Referral snapshot</x:v>
      </x:c>
      <x:c r="C38" s="42" t="str">
        <x:v>Open Referral Rate at Snapshot</x:v>
      </x:c>
      <x:c r="D38" s="42" t="str">
        <x:v>New Gold KPI</x:v>
      </x:c>
      <x:c r="E38" s="42" t="str">
        <x:v>—</x:v>
      </x:c>
      <x:c r="F38" s="42" t="str">
        <x:v>fact_referral_snapshot</x:v>
      </x:c>
      <x:c r="G38" s="42" t="str">
        <x:v>Built; UAT pending</x:v>
      </x:c>
      <x:c r="H38" s="43" t="str">
        <x:v>Definition present in WIP _Measures. Reconcile against refreshed Gold and approved business rules.</x:v>
      </x:c>
    </x:row>
    <x:row r="39" ht="14.5" hidden="0" customHeight="1">
      <x:c r="A39" s="41" t="str">
        <x:v>GOLD-KPI-035</x:v>
      </x:c>
      <x:c r="B39" s="42" t="str">
        <x:v>Referral snapshot</x:v>
      </x:c>
      <x:c r="C39" s="42" t="str">
        <x:v>Placement Rate at Snapshot</x:v>
      </x:c>
      <x:c r="D39" s="42" t="str">
        <x:v>New Gold KPI</x:v>
      </x:c>
      <x:c r="E39" s="42" t="str">
        <x:v>—</x:v>
      </x:c>
      <x:c r="F39" s="42" t="str">
        <x:v>fact_referral_snapshot</x:v>
      </x:c>
      <x:c r="G39" s="42" t="str">
        <x:v>Built; UAT pending</x:v>
      </x:c>
      <x:c r="H39" s="43" t="str">
        <x:v>Definition present in WIP _Measures. Reconcile against refreshed Gold and approved business rules.</x:v>
      </x:c>
    </x:row>
    <x:row r="40" ht="14.5" hidden="0" customHeight="1">
      <x:c r="A40" s="41" t="str">
        <x:v>GOLD-KPI-036</x:v>
      </x:c>
      <x:c r="B40" s="42" t="str">
        <x:v>Referral and provider engagement</x:v>
      </x:c>
      <x:c r="C40" s="42" t="str">
        <x:v>Referrals Created This Month</x:v>
      </x:c>
      <x:c r="D40" s="42" t="str">
        <x:v>KPI-23</x:v>
      </x:c>
      <x:c r="E40" s="42" t="str">
        <x:v>R24, R52</x:v>
      </x:c>
      <x:c r="F40" s="42" t="str">
        <x:v>dim_date; fact_referral</x:v>
      </x:c>
      <x:c r="G40" s="42" t="str">
        <x:v>Built; UAT pending</x:v>
      </x:c>
      <x:c r="H40" s="43" t="str">
        <x:v>Definition present in WIP _Measures. Reconcile against refreshed Gold and approved business rules.</x:v>
      </x:c>
    </x:row>
    <x:row r="41" ht="14.5" hidden="0" customHeight="1">
      <x:c r="A41" s="41" t="str">
        <x:v>GOLD-KPI-037</x:v>
      </x:c>
      <x:c r="B41" s="42" t="str">
        <x:v>Referral and provider engagement</x:v>
      </x:c>
      <x:c r="C41" s="42" t="str">
        <x:v>Referrals Created Previous Month</x:v>
      </x:c>
      <x:c r="D41" s="42" t="str">
        <x:v>New Gold KPI</x:v>
      </x:c>
      <x:c r="E41" s="42" t="str">
        <x:v>—</x:v>
      </x:c>
      <x:c r="F41" s="42" t="str">
        <x:v>dim_date; fact_referral</x:v>
      </x:c>
      <x:c r="G41" s="42" t="str">
        <x:v>Built; UAT pending</x:v>
      </x:c>
      <x:c r="H41" s="43" t="str">
        <x:v>Definition present in WIP _Measures. Reconcile against refreshed Gold and approved business rules.</x:v>
      </x:c>
    </x:row>
    <x:row r="42" ht="14.5" hidden="0" customHeight="1">
      <x:c r="A42" s="41" t="str">
        <x:v>GOLD-KPI-038</x:v>
      </x:c>
      <x:c r="B42" s="42" t="str">
        <x:v>Referral and provider engagement</x:v>
      </x:c>
      <x:c r="C42" s="42" t="str">
        <x:v>Referral Volume Month on Month</x:v>
      </x:c>
      <x:c r="D42" s="42" t="str">
        <x:v>New Gold KPI</x:v>
      </x:c>
      <x:c r="E42" s="42" t="str">
        <x:v>—</x:v>
      </x:c>
      <x:c r="F42" s="42" t="str">
        <x:v>dim_date; fact_referral</x:v>
      </x:c>
      <x:c r="G42" s="42" t="str">
        <x:v>Built; UAT pending</x:v>
      </x:c>
      <x:c r="H42" s="43" t="str">
        <x:v>Definition present in WIP _Measures. Reconcile against refreshed Gold and approved business rules.</x:v>
      </x:c>
    </x:row>
    <x:row r="43" ht="14.5" hidden="0" customHeight="1">
      <x:c r="A43" s="41" t="str">
        <x:v>GOLD-KPI-039</x:v>
      </x:c>
      <x:c r="B43" s="42" t="str">
        <x:v>Referral and provider engagement</x:v>
      </x:c>
      <x:c r="C43" s="42" t="str">
        <x:v>Referral Volume Month on Month %</x:v>
      </x:c>
      <x:c r="D43" s="42" t="str">
        <x:v>New Gold KPI</x:v>
      </x:c>
      <x:c r="E43" s="42" t="str">
        <x:v>—</x:v>
      </x:c>
      <x:c r="F43" s="42" t="str">
        <x:v>dim_date; fact_referral</x:v>
      </x:c>
      <x:c r="G43" s="42" t="str">
        <x:v>Built; UAT pending</x:v>
      </x:c>
      <x:c r="H43" s="43" t="str">
        <x:v>Definition present in WIP _Measures. Reconcile against refreshed Gold and approved business rules.</x:v>
      </x:c>
    </x:row>
    <x:row r="44" ht="14.5" hidden="0" customHeight="1">
      <x:c r="A44" s="41" t="str">
        <x:v>GOLD-KPI-040</x:v>
      </x:c>
      <x:c r="B44" s="42" t="str">
        <x:v>Referral and provider engagement</x:v>
      </x:c>
      <x:c r="C44" s="42" t="str">
        <x:v>Referrals Created This Financial Year</x:v>
      </x:c>
      <x:c r="D44" s="42" t="str">
        <x:v>KPI-24</x:v>
      </x:c>
      <x:c r="E44" s="42" t="str">
        <x:v>R52</x:v>
      </x:c>
      <x:c r="F44" s="42" t="str">
        <x:v>dim_date; fact_referral</x:v>
      </x:c>
      <x:c r="G44" s="42" t="str">
        <x:v>Built; UAT pending</x:v>
      </x:c>
      <x:c r="H44" s="43" t="str">
        <x:v>Definition present in WIP _Measures. Reconcile against refreshed Gold and approved business rules.</x:v>
      </x:c>
    </x:row>
    <x:row r="45" ht="14.5" hidden="0" customHeight="1">
      <x:c r="A45" s="41" t="str">
        <x:v>GOLD-KPI-041</x:v>
      </x:c>
      <x:c r="B45" s="42" t="str">
        <x:v>Referral and provider engagement</x:v>
      </x:c>
      <x:c r="C45" s="42" t="str">
        <x:v>Referrals Currently Active</x:v>
      </x:c>
      <x:c r="D45" s="42" t="str">
        <x:v>New Gold KPI</x:v>
      </x:c>
      <x:c r="E45" s="42" t="str">
        <x:v>—</x:v>
      </x:c>
      <x:c r="F45" s="42" t="str">
        <x:v>fact_referral</x:v>
      </x:c>
      <x:c r="G45" s="42" t="str">
        <x:v>Built; UAT pending</x:v>
      </x:c>
      <x:c r="H45" s="43" t="str">
        <x:v>Definition present in WIP _Measures. Reconcile against refreshed Gold and approved business rules.</x:v>
      </x:c>
    </x:row>
    <x:row r="46" ht="14.5" hidden="0" customHeight="1">
      <x:c r="A46" s="41" t="str">
        <x:v>GOLD-KPI-042</x:v>
      </x:c>
      <x:c r="B46" s="42" t="str">
        <x:v>Referral and provider engagement</x:v>
      </x:c>
      <x:c r="C46" s="42" t="str">
        <x:v>Referrals Under Offer</x:v>
      </x:c>
      <x:c r="D46" s="42" t="str">
        <x:v>KPI-30</x:v>
      </x:c>
      <x:c r="E46" s="42" t="str">
        <x:v>R24, R36</x:v>
      </x:c>
      <x:c r="F46" s="42" t="str">
        <x:v>fact_referral</x:v>
      </x:c>
      <x:c r="G46" s="42" t="str">
        <x:v>Built; UAT pending</x:v>
      </x:c>
      <x:c r="H46" s="43" t="str">
        <x:v>Definition present in WIP _Measures. Reconcile against refreshed Gold and approved business rules.</x:v>
      </x:c>
    </x:row>
    <x:row r="47" ht="14.5" hidden="0" customHeight="1">
      <x:c r="A47" s="41" t="str">
        <x:v>GOLD-KPI-043</x:v>
      </x:c>
      <x:c r="B47" s="42" t="str">
        <x:v>Referral and provider engagement</x:v>
      </x:c>
      <x:c r="C47" s="42" t="str">
        <x:v>Closed or Cancelled Referrals</x:v>
      </x:c>
      <x:c r="D47" s="42" t="str">
        <x:v>New Gold KPI</x:v>
      </x:c>
      <x:c r="E47" s="42" t="str">
        <x:v>—</x:v>
      </x:c>
      <x:c r="F47" s="42" t="str">
        <x:v>fact_referral</x:v>
      </x:c>
      <x:c r="G47" s="42" t="str">
        <x:v>Built; UAT pending</x:v>
      </x:c>
      <x:c r="H47" s="43" t="str">
        <x:v>Definition present in WIP _Measures. Reconcile against refreshed Gold and approved business rules.</x:v>
      </x:c>
    </x:row>
    <x:row r="48" ht="14.5" hidden="0" customHeight="1">
      <x:c r="A48" s="41" t="str">
        <x:v>GOLD-KPI-044</x:v>
      </x:c>
      <x:c r="B48" s="42" t="str">
        <x:v>Referral and provider engagement</x:v>
      </x:c>
      <x:c r="C48" s="42" t="str">
        <x:v>Active Referrals With Provider Engagement</x:v>
      </x:c>
      <x:c r="D48" s="42" t="str">
        <x:v>New Gold KPI</x:v>
      </x:c>
      <x:c r="E48" s="42" t="str">
        <x:v>—</x:v>
      </x:c>
      <x:c r="F48" s="42" t="str">
        <x:v>fact_referral</x:v>
      </x:c>
      <x:c r="G48" s="42" t="str">
        <x:v>Built; UAT pending</x:v>
      </x:c>
      <x:c r="H48" s="43" t="str">
        <x:v>Definition present in WIP _Measures. Reconcile against refreshed Gold and approved business rules.</x:v>
      </x:c>
    </x:row>
    <x:row r="49" ht="14.5" hidden="0" customHeight="1">
      <x:c r="A49" s="41" t="str">
        <x:v>GOLD-KPI-045</x:v>
      </x:c>
      <x:c r="B49" s="42" t="str">
        <x:v>Referral and provider engagement</x:v>
      </x:c>
      <x:c r="C49" s="42" t="str">
        <x:v>Active Referral Engagement Rate</x:v>
      </x:c>
      <x:c r="D49" s="42" t="str">
        <x:v>New Gold KPI</x:v>
      </x:c>
      <x:c r="E49" s="42" t="str">
        <x:v>—</x:v>
      </x:c>
      <x:c r="F49" s="42" t="str">
        <x:v>fact_referral</x:v>
      </x:c>
      <x:c r="G49" s="42" t="str">
        <x:v>Built; UAT pending</x:v>
      </x:c>
      <x:c r="H49" s="43" t="str">
        <x:v>Definition present in WIP _Measures. Reconcile against refreshed Gold and approved business rules.</x:v>
      </x:c>
    </x:row>
    <x:row r="50" ht="14.5" hidden="0" customHeight="1">
      <x:c r="A50" s="41" t="str">
        <x:v>GOLD-KPI-046</x:v>
      </x:c>
      <x:c r="B50" s="42" t="str">
        <x:v>Referral and provider engagement</x:v>
      </x:c>
      <x:c r="C50" s="42" t="str">
        <x:v>Active Awaiting Offers With Engagement</x:v>
      </x:c>
      <x:c r="D50" s="42" t="str">
        <x:v>New Gold KPI</x:v>
      </x:c>
      <x:c r="E50" s="42" t="str">
        <x:v>—</x:v>
      </x:c>
      <x:c r="F50" s="42" t="str">
        <x:v>fact_referral</x:v>
      </x:c>
      <x:c r="G50" s="42" t="str">
        <x:v>Built; UAT pending</x:v>
      </x:c>
      <x:c r="H50" s="43" t="str">
        <x:v>Definition present in WIP _Measures. Reconcile against refreshed Gold and approved business rules.</x:v>
      </x:c>
    </x:row>
    <x:row r="51" ht="14.5" hidden="0" customHeight="1">
      <x:c r="A51" s="41" t="str">
        <x:v>GOLD-KPI-047</x:v>
      </x:c>
      <x:c r="B51" s="42" t="str">
        <x:v>Referral and provider engagement</x:v>
      </x:c>
      <x:c r="C51" s="42" t="str">
        <x:v>Active Awaiting Offers Without Engagement</x:v>
      </x:c>
      <x:c r="D51" s="42" t="str">
        <x:v>New Gold KPI</x:v>
      </x:c>
      <x:c r="E51" s="42" t="str">
        <x:v>—</x:v>
      </x:c>
      <x:c r="F51" s="42" t="str">
        <x:v>fact_referral</x:v>
      </x:c>
      <x:c r="G51" s="42" t="str">
        <x:v>Built; UAT pending</x:v>
      </x:c>
      <x:c r="H51" s="43" t="str">
        <x:v>Definition present in WIP _Measures. Reconcile against refreshed Gold and approved business rules.</x:v>
      </x:c>
    </x:row>
    <x:row r="52" ht="14.5" hidden="0" customHeight="1">
      <x:c r="A52" s="41" t="str">
        <x:v>GOLD-KPI-048</x:v>
      </x:c>
      <x:c r="B52" s="42" t="str">
        <x:v>Referral and provider engagement</x:v>
      </x:c>
      <x:c r="C52" s="42" t="str">
        <x:v>Emergency Referrals</x:v>
      </x:c>
      <x:c r="D52" s="42" t="str">
        <x:v>KPI-91</x:v>
      </x:c>
      <x:c r="E52" s="42" t="str">
        <x:v>R18, R57</x:v>
      </x:c>
      <x:c r="F52" s="42" t="str">
        <x:v>fact_referral</x:v>
      </x:c>
      <x:c r="G52" s="42" t="str">
        <x:v>Built; UAT pending</x:v>
      </x:c>
      <x:c r="H52" s="43" t="str">
        <x:v>Same-day-date flag and active statuses; not an approved statutory emergency classification.</x:v>
      </x:c>
    </x:row>
    <x:row r="53" ht="14.5" hidden="0" customHeight="1">
      <x:c r="A53" s="41" t="str">
        <x:v>GOLD-KPI-049</x:v>
      </x:c>
      <x:c r="B53" s="42" t="str">
        <x:v>Referral and provider engagement</x:v>
      </x:c>
      <x:c r="C53" s="42" t="str">
        <x:v>Planned Referrals</x:v>
      </x:c>
      <x:c r="D53" s="42" t="str">
        <x:v>KPI-93</x:v>
      </x:c>
      <x:c r="E53" s="42" t="str">
        <x:v>R57</x:v>
      </x:c>
      <x:c r="F53" s="42" t="str">
        <x:v>fact_referral</x:v>
      </x:c>
      <x:c r="G53" s="42" t="str">
        <x:v>Built; UAT pending</x:v>
      </x:c>
      <x:c r="H53" s="43" t="str">
        <x:v>Different-date rule; missing dates excluded and reversed dates require review.</x:v>
      </x:c>
    </x:row>
    <x:row r="54" ht="14.5" hidden="0" customHeight="1">
      <x:c r="A54" s="41" t="str">
        <x:v>GOLD-KPI-050</x:v>
      </x:c>
      <x:c r="B54" s="42" t="str">
        <x:v>Referral and provider engagement</x:v>
      </x:c>
      <x:c r="C54" s="42" t="str">
        <x:v>Emergency Placement Rate</x:v>
      </x:c>
      <x:c r="D54" s="42" t="str">
        <x:v>KPI-92</x:v>
      </x:c>
      <x:c r="E54" s="42" t="str">
        <x:v>R18, R57</x:v>
      </x:c>
      <x:c r="F54" s="42" t="str">
        <x:v>fact_referral</x:v>
      </x:c>
      <x:c r="G54" s="42" t="str">
        <x:v>Built; UAT pending</x:v>
      </x:c>
      <x:c r="H54" s="43" t="str">
        <x:v>Emergency-referral numerator divided by all selected referrals; not actual placement completion.</x:v>
      </x:c>
    </x:row>
    <x:row r="55" ht="14.5" hidden="0" customHeight="1">
      <x:c r="A55" s="41" t="str">
        <x:v>GOLD-KPI-051</x:v>
      </x:c>
      <x:c r="B55" s="42" t="str">
        <x:v>Provider engagement</x:v>
      </x:c>
      <x:c r="C55" s="42" t="str">
        <x:v>Referrals With Multiple Provider Assignments</x:v>
      </x:c>
      <x:c r="D55" s="42" t="str">
        <x:v>KPI-90</x:v>
      </x:c>
      <x:c r="E55" s="42" t="str">
        <x:v>R24, R26 (proposed)</x:v>
      </x:c>
      <x:c r="F55" s="42" t="str">
        <x:v>fact_referral</x:v>
      </x:c>
      <x:c r="G55" s="42" t="str">
        <x:v>Built; UAT pending</x:v>
      </x:c>
      <x:c r="H55" s="43" t="str">
        <x:v>Assignment overlap only; unrelated to out-of-region placement.</x:v>
      </x:c>
    </x:row>
    <x:row r="56" ht="14.5" hidden="0" customHeight="1">
      <x:c r="A56" s="41" t="str">
        <x:v>GOLD-KPI-052</x:v>
      </x:c>
      <x:c r="B56" s="42" t="str">
        <x:v>Offer portfolio and ageing</x:v>
      </x:c>
      <x:c r="C56" s="42" t="str">
        <x:v>Non-Draft Offers</x:v>
      </x:c>
      <x:c r="D56" s="42" t="str">
        <x:v>New Gold KPI</x:v>
      </x:c>
      <x:c r="E56" s="42" t="str">
        <x:v>—</x:v>
      </x:c>
      <x:c r="F56" s="42" t="str">
        <x:v>fact_offer</x:v>
      </x:c>
      <x:c r="G56" s="42" t="str">
        <x:v>Built; UAT pending</x:v>
      </x:c>
      <x:c r="H56" s="43" t="str">
        <x:v>Definition present in WIP _Measures. Reconcile against refreshed Gold and approved business rules.</x:v>
      </x:c>
    </x:row>
    <x:row r="57" ht="14.5" hidden="0" customHeight="1">
      <x:c r="A57" s="41" t="str">
        <x:v>GOLD-KPI-053</x:v>
      </x:c>
      <x:c r="B57" s="42" t="str">
        <x:v>Offer portfolio and ageing</x:v>
      </x:c>
      <x:c r="C57" s="42" t="str">
        <x:v>Pending Offers</x:v>
      </x:c>
      <x:c r="D57" s="42" t="str">
        <x:v>KPI-18</x:v>
      </x:c>
      <x:c r="E57" s="42" t="str">
        <x:v>R24</x:v>
      </x:c>
      <x:c r="F57" s="42" t="str">
        <x:v>fact_offer</x:v>
      </x:c>
      <x:c r="G57" s="42" t="str">
        <x:v>Built; UAT pending</x:v>
      </x:c>
      <x:c r="H57" s="43" t="str">
        <x:v>Definition present in WIP _Measures. Reconcile against refreshed Gold and approved business rules.</x:v>
      </x:c>
    </x:row>
    <x:row r="58" ht="14.5" hidden="0" customHeight="1">
      <x:c r="A58" s="41" t="str">
        <x:v>GOLD-KPI-054</x:v>
      </x:c>
      <x:c r="B58" s="42" t="str">
        <x:v>Offer portfolio and ageing</x:v>
      </x:c>
      <x:c r="C58" s="42" t="str">
        <x:v>Unsuccessful Offers</x:v>
      </x:c>
      <x:c r="D58" s="42" t="str">
        <x:v>KPI-16</x:v>
      </x:c>
      <x:c r="E58" s="42" t="str">
        <x:v>R28</x:v>
      </x:c>
      <x:c r="F58" s="42" t="str">
        <x:v>fact_offer</x:v>
      </x:c>
      <x:c r="G58" s="42" t="str">
        <x:v>Built; UAT pending</x:v>
      </x:c>
      <x:c r="H58" s="43" t="str">
        <x:v>Definition present in WIP _Measures. Reconcile against refreshed Gold and approved business rules.</x:v>
      </x:c>
    </x:row>
    <x:row r="59" ht="14.5" hidden="0" customHeight="1">
      <x:c r="A59" s="41" t="str">
        <x:v>GOLD-KPI-055</x:v>
      </x:c>
      <x:c r="B59" s="42" t="str">
        <x:v>Offer portfolio and ageing</x:v>
      </x:c>
      <x:c r="C59" s="42" t="str">
        <x:v>Offers With Recorded Rejection Reason</x:v>
      </x:c>
      <x:c r="D59" s="42" t="str">
        <x:v>New Gold KPI</x:v>
      </x:c>
      <x:c r="E59" s="42" t="str">
        <x:v>—</x:v>
      </x:c>
      <x:c r="F59" s="42" t="str">
        <x:v>fact_offer</x:v>
      </x:c>
      <x:c r="G59" s="42" t="str">
        <x:v>Built; UAT pending</x:v>
      </x:c>
      <x:c r="H59" s="43" t="str">
        <x:v>Definition present in WIP _Measures. Reconcile against refreshed Gold and approved business rules.</x:v>
      </x:c>
    </x:row>
    <x:row r="60" ht="14.5" hidden="0" customHeight="1">
      <x:c r="A60" s="41" t="str">
        <x:v>GOLD-KPI-056</x:v>
      </x:c>
      <x:c r="B60" s="42" t="str">
        <x:v>Offer portfolio and ageing</x:v>
      </x:c>
      <x:c r="C60" s="42" t="str">
        <x:v>Providers Who Made Offers</x:v>
      </x:c>
      <x:c r="D60" s="42" t="str">
        <x:v>KPI-11</x:v>
      </x:c>
      <x:c r="E60" s="42" t="str">
        <x:v>R25, R26</x:v>
      </x:c>
      <x:c r="F60" s="42" t="str">
        <x:v>fact_offer</x:v>
      </x:c>
      <x:c r="G60" s="42" t="str">
        <x:v>Built; UAT pending</x:v>
      </x:c>
      <x:c r="H60" s="43" t="str">
        <x:v>Definition present in WIP _Measures. Reconcile against refreshed Gold and approved business rules.</x:v>
      </x:c>
    </x:row>
    <x:row r="61" ht="14.5" hidden="0" customHeight="1">
      <x:c r="A61" s="41" t="str">
        <x:v>GOLD-KPI-057</x:v>
      </x:c>
      <x:c r="B61" s="42" t="str">
        <x:v>Offer portfolio and ageing</x:v>
      </x:c>
      <x:c r="C61" s="42" t="str">
        <x:v>Average Offers per Provider</x:v>
      </x:c>
      <x:c r="D61" s="42" t="str">
        <x:v>New Gold KPI</x:v>
      </x:c>
      <x:c r="E61" s="42" t="str">
        <x:v>—</x:v>
      </x:c>
      <x:c r="F61" s="42" t="str">
        <x:v>fact_offer</x:v>
      </x:c>
      <x:c r="G61" s="42" t="str">
        <x:v>Built; UAT pending</x:v>
      </x:c>
      <x:c r="H61" s="43" t="str">
        <x:v>Definition present in WIP _Measures. Reconcile against refreshed Gold and approved business rules.</x:v>
      </x:c>
    </x:row>
    <x:row r="62" ht="14.5" hidden="0" customHeight="1">
      <x:c r="A62" s="41" t="str">
        <x:v>GOLD-KPI-058</x:v>
      </x:c>
      <x:c r="B62" s="42" t="str">
        <x:v>Offer portfolio and ageing</x:v>
      </x:c>
      <x:c r="C62" s="42" t="str">
        <x:v>Average Offers per Referral Under Offer</x:v>
      </x:c>
      <x:c r="D62" s="42" t="str">
        <x:v>New Gold KPI</x:v>
      </x:c>
      <x:c r="E62" s="42" t="str">
        <x:v>—</x:v>
      </x:c>
      <x:c r="F62" s="42" t="str">
        <x:v>fact_offer; fact_referral</x:v>
      </x:c>
      <x:c r="G62" s="42" t="str">
        <x:v>Built; UAT pending</x:v>
      </x:c>
      <x:c r="H62" s="43" t="str">
        <x:v>Definition present in WIP _Measures. Reconcile against refreshed Gold and approved business rules.</x:v>
      </x:c>
    </x:row>
    <x:row r="63" ht="14.5" hidden="0" customHeight="1">
      <x:c r="A63" s="41" t="str">
        <x:v>GOLD-KPI-059</x:v>
      </x:c>
      <x:c r="B63" s="42" t="str">
        <x:v>Offer portfolio and ageing</x:v>
      </x:c>
      <x:c r="C63" s="42" t="str">
        <x:v>Offers on Referrals Under Offer</x:v>
      </x:c>
      <x:c r="D63" s="42" t="str">
        <x:v>New Gold KPI</x:v>
      </x:c>
      <x:c r="E63" s="42" t="str">
        <x:v>—</x:v>
      </x:c>
      <x:c r="F63" s="42" t="str">
        <x:v>fact_offer; fact_referral</x:v>
      </x:c>
      <x:c r="G63" s="42" t="str">
        <x:v>Built; UAT pending</x:v>
      </x:c>
      <x:c r="H63" s="43" t="str">
        <x:v>Definition present in WIP _Measures. Reconcile against refreshed Gold and approved business rules.</x:v>
      </x:c>
    </x:row>
    <x:row r="64" ht="14.5" hidden="0" customHeight="1">
      <x:c r="A64" s="41" t="str">
        <x:v>GOLD-KPI-060</x:v>
      </x:c>
      <x:c r="B64" s="42" t="str">
        <x:v>Offer portfolio and ageing</x:v>
      </x:c>
      <x:c r="C64" s="42" t="str">
        <x:v>Spot Offers</x:v>
      </x:c>
      <x:c r="D64" s="42" t="str">
        <x:v>New Gold KPI</x:v>
      </x:c>
      <x:c r="E64" s="42" t="str">
        <x:v>—</x:v>
      </x:c>
      <x:c r="F64" s="42" t="str">
        <x:v>dim_provider_home; fact_offer</x:v>
      </x:c>
      <x:c r="G64" s="42" t="str">
        <x:v>Built; UAT pending</x:v>
      </x:c>
      <x:c r="H64" s="43" t="str">
        <x:v>Definition present in WIP _Measures. Reconcile against refreshed Gold and approved business rules.</x:v>
      </x:c>
    </x:row>
    <x:row r="65" ht="14.5" hidden="0" customHeight="1">
      <x:c r="A65" s="41" t="str">
        <x:v>GOLD-KPI-061</x:v>
      </x:c>
      <x:c r="B65" s="42" t="str">
        <x:v>Offer portfolio and ageing</x:v>
      </x:c>
      <x:c r="C65" s="42" t="str">
        <x:v>Non-Spot Offers</x:v>
      </x:c>
      <x:c r="D65" s="42" t="str">
        <x:v>New Gold KPI</x:v>
      </x:c>
      <x:c r="E65" s="42" t="str">
        <x:v>—</x:v>
      </x:c>
      <x:c r="F65" s="42" t="str">
        <x:v>dim_provider_home; fact_offer</x:v>
      </x:c>
      <x:c r="G65" s="42" t="str">
        <x:v>Built; UAT pending</x:v>
      </x:c>
      <x:c r="H65" s="43" t="str">
        <x:v>Definition present in WIP _Measures. Reconcile against refreshed Gold and approved business rules.</x:v>
      </x:c>
    </x:row>
    <x:row r="66" ht="14.5" hidden="0" customHeight="1">
      <x:c r="A66" s="41" t="str">
        <x:v>GOLD-KPI-062</x:v>
      </x:c>
      <x:c r="B66" s="42" t="str">
        <x:v>Offer portfolio and ageing</x:v>
      </x:c>
      <x:c r="C66" s="42" t="str">
        <x:v>Spot Offer Rate</x:v>
      </x:c>
      <x:c r="D66" s="42" t="str">
        <x:v>New Gold KPI</x:v>
      </x:c>
      <x:c r="E66" s="42" t="str">
        <x:v>—</x:v>
      </x:c>
      <x:c r="F66" s="42" t="str">
        <x:v>dim_provider_home; fact_offer</x:v>
      </x:c>
      <x:c r="G66" s="42" t="str">
        <x:v>Built; UAT pending</x:v>
      </x:c>
      <x:c r="H66" s="43" t="str">
        <x:v>Definition present in WIP _Measures. Reconcile against refreshed Gold and approved business rules.</x:v>
      </x:c>
    </x:row>
    <x:row r="67" ht="14.5" hidden="0" customHeight="1">
      <x:c r="A67" s="41" t="str">
        <x:v>GOLD-KPI-063</x:v>
      </x:c>
      <x:c r="B67" s="42" t="str">
        <x:v>Offer portfolio and ageing</x:v>
      </x:c>
      <x:c r="C67" s="42" t="str">
        <x:v>Draft Offers With No Activity Since Creation</x:v>
      </x:c>
      <x:c r="D67" s="42" t="str">
        <x:v>New Gold KPI</x:v>
      </x:c>
      <x:c r="E67" s="42" t="str">
        <x:v>—</x:v>
      </x:c>
      <x:c r="F67" s="42" t="str">
        <x:v>fact_offer</x:v>
      </x:c>
      <x:c r="G67" s="42" t="str">
        <x:v>Built; UAT pending</x:v>
      </x:c>
      <x:c r="H67" s="43" t="str">
        <x:v>Definition present in WIP _Measures. Reconcile against refreshed Gold and approved business rules.</x:v>
      </x:c>
    </x:row>
    <x:row r="68" ht="14.5" hidden="0" customHeight="1">
      <x:c r="A68" s="41" t="str">
        <x:v>GOLD-KPI-064</x:v>
      </x:c>
      <x:c r="B68" s="42" t="str">
        <x:v>Offer portfolio and ageing</x:v>
      </x:c>
      <x:c r="C68" s="42" t="str">
        <x:v>Draft Offers With Activity Since Creation</x:v>
      </x:c>
      <x:c r="D68" s="42" t="str">
        <x:v>New Gold KPI</x:v>
      </x:c>
      <x:c r="E68" s="42" t="str">
        <x:v>—</x:v>
      </x:c>
      <x:c r="F68" s="42" t="str">
        <x:v>fact_offer</x:v>
      </x:c>
      <x:c r="G68" s="42" t="str">
        <x:v>Built; UAT pending</x:v>
      </x:c>
      <x:c r="H68" s="43" t="str">
        <x:v>Definition present in WIP _Measures. Reconcile against refreshed Gold and approved business rules.</x:v>
      </x:c>
    </x:row>
    <x:row r="69" ht="14.5" hidden="0" customHeight="1">
      <x:c r="A69" s="41" t="str">
        <x:v>GOLD-KPI-065</x:v>
      </x:c>
      <x:c r="B69" s="42" t="str">
        <x:v>Offer portfolio and ageing</x:v>
      </x:c>
      <x:c r="C69" s="42" t="str">
        <x:v>Draft Offers Missing Dates</x:v>
      </x:c>
      <x:c r="D69" s="42" t="str">
        <x:v>New Gold KPI</x:v>
      </x:c>
      <x:c r="E69" s="42" t="str">
        <x:v>—</x:v>
      </x:c>
      <x:c r="F69" s="42" t="str">
        <x:v>fact_offer</x:v>
      </x:c>
      <x:c r="G69" s="42" t="str">
        <x:v>Built; UAT pending</x:v>
      </x:c>
      <x:c r="H69" s="43" t="str">
        <x:v>Definition present in WIP _Measures. Reconcile against refreshed Gold and approved business rules.</x:v>
      </x:c>
    </x:row>
    <x:row r="70" ht="14.5" hidden="0" customHeight="1">
      <x:c r="A70" s="41" t="str">
        <x:v>GOLD-KPI-066</x:v>
      </x:c>
      <x:c r="B70" s="42" t="str">
        <x:v>Offer portfolio and ageing</x:v>
      </x:c>
      <x:c r="C70" s="42" t="str">
        <x:v>Draft Offers Stalled 14+ Days</x:v>
      </x:c>
      <x:c r="D70" s="42" t="str">
        <x:v>New Gold KPI</x:v>
      </x:c>
      <x:c r="E70" s="42" t="str">
        <x:v>—</x:v>
      </x:c>
      <x:c r="F70" s="42" t="str">
        <x:v>fact_offer</x:v>
      </x:c>
      <x:c r="G70" s="42" t="str">
        <x:v>Built; UAT pending</x:v>
      </x:c>
      <x:c r="H70" s="43" t="str">
        <x:v>Definition present in WIP _Measures. Reconcile against refreshed Gold and approved business rules.</x:v>
      </x:c>
    </x:row>
    <x:row r="71" ht="14.5" hidden="0" customHeight="1">
      <x:c r="A71" s="41" t="str">
        <x:v>GOLD-KPI-067</x:v>
      </x:c>
      <x:c r="B71" s="42" t="str">
        <x:v>Offer portfolio and ageing</x:v>
      </x:c>
      <x:c r="C71" s="42" t="str">
        <x:v>Average Days in Draft</x:v>
      </x:c>
      <x:c r="D71" s="42" t="str">
        <x:v>New Gold KPI</x:v>
      </x:c>
      <x:c r="E71" s="42" t="str">
        <x:v>—</x:v>
      </x:c>
      <x:c r="F71" s="42" t="str">
        <x:v>fact_offer</x:v>
      </x:c>
      <x:c r="G71" s="42" t="str">
        <x:v>Built; UAT pending</x:v>
      </x:c>
      <x:c r="H71" s="43" t="str">
        <x:v>Definition present in WIP _Measures. Reconcile against refreshed Gold and approved business rules.</x:v>
      </x:c>
    </x:row>
    <x:row r="72" ht="14.5" hidden="0" customHeight="1">
      <x:c r="A72" s="41" t="str">
        <x:v>GOLD-KPI-068</x:v>
      </x:c>
      <x:c r="B72" s="42" t="str">
        <x:v>Offer portfolio and ageing</x:v>
      </x:c>
      <x:c r="C72" s="42" t="str">
        <x:v>Oldest Draft Age Days</x:v>
      </x:c>
      <x:c r="D72" s="42" t="str">
        <x:v>New Gold KPI</x:v>
      </x:c>
      <x:c r="E72" s="42" t="str">
        <x:v>—</x:v>
      </x:c>
      <x:c r="F72" s="42" t="str">
        <x:v>fact_offer</x:v>
      </x:c>
      <x:c r="G72" s="42" t="str">
        <x:v>Built; UAT pending</x:v>
      </x:c>
      <x:c r="H72" s="43" t="str">
        <x:v>Definition present in WIP _Measures. Reconcile against refreshed Gold and approved business rules.</x:v>
      </x:c>
    </x:row>
    <x:row r="73" ht="14.5" hidden="0" customHeight="1">
      <x:c r="A73" s="41" t="str">
        <x:v>GOLD-KPI-069</x:v>
      </x:c>
      <x:c r="B73" s="42" t="str">
        <x:v>Offer portfolio and ageing</x:v>
      </x:c>
      <x:c r="C73" s="42" t="str">
        <x:v>Draft Offers With No Activity %</x:v>
      </x:c>
      <x:c r="D73" s="42" t="str">
        <x:v>New Gold KPI</x:v>
      </x:c>
      <x:c r="E73" s="42" t="str">
        <x:v>—</x:v>
      </x:c>
      <x:c r="F73" s="42" t="str">
        <x:v>fact_offer</x:v>
      </x:c>
      <x:c r="G73" s="42" t="str">
        <x:v>Built; UAT pending</x:v>
      </x:c>
      <x:c r="H73" s="43" t="str">
        <x:v>Definition present in WIP _Measures. Reconcile against refreshed Gold and approved business rules.</x:v>
      </x:c>
    </x:row>
    <x:row r="74" ht="14.5" hidden="0" customHeight="1">
      <x:c r="A74" s="41" t="str">
        <x:v>GOLD-KPI-070</x:v>
      </x:c>
      <x:c r="B74" s="42" t="str">
        <x:v>Offer portfolio and ageing</x:v>
      </x:c>
      <x:c r="C74" s="42" t="str">
        <x:v>Pending Offers 0-7 Days</x:v>
      </x:c>
      <x:c r="D74" s="42" t="str">
        <x:v>New Gold KPI</x:v>
      </x:c>
      <x:c r="E74" s="42" t="str">
        <x:v>—</x:v>
      </x:c>
      <x:c r="F74" s="42" t="str">
        <x:v>fact_offer</x:v>
      </x:c>
      <x:c r="G74" s="42" t="str">
        <x:v>Built; UAT pending</x:v>
      </x:c>
      <x:c r="H74" s="43" t="str">
        <x:v>Definition present in WIP _Measures. Reconcile against refreshed Gold and approved business rules.</x:v>
      </x:c>
    </x:row>
    <x:row r="75" ht="14.5" hidden="0" customHeight="1">
      <x:c r="A75" s="41" t="str">
        <x:v>GOLD-KPI-071</x:v>
      </x:c>
      <x:c r="B75" s="42" t="str">
        <x:v>Offer portfolio and ageing</x:v>
      </x:c>
      <x:c r="C75" s="42" t="str">
        <x:v>Pending Offers 8-14 Days</x:v>
      </x:c>
      <x:c r="D75" s="42" t="str">
        <x:v>New Gold KPI</x:v>
      </x:c>
      <x:c r="E75" s="42" t="str">
        <x:v>—</x:v>
      </x:c>
      <x:c r="F75" s="42" t="str">
        <x:v>fact_offer</x:v>
      </x:c>
      <x:c r="G75" s="42" t="str">
        <x:v>Built; UAT pending</x:v>
      </x:c>
      <x:c r="H75" s="43" t="str">
        <x:v>Definition present in WIP _Measures. Reconcile against refreshed Gold and approved business rules.</x:v>
      </x:c>
    </x:row>
    <x:row r="76" ht="14.5" hidden="0" customHeight="1">
      <x:c r="A76" s="41" t="str">
        <x:v>GOLD-KPI-072</x:v>
      </x:c>
      <x:c r="B76" s="42" t="str">
        <x:v>Offer portfolio and ageing</x:v>
      </x:c>
      <x:c r="C76" s="42" t="str">
        <x:v>Pending Offers 15-29 Days</x:v>
      </x:c>
      <x:c r="D76" s="42" t="str">
        <x:v>New Gold KPI</x:v>
      </x:c>
      <x:c r="E76" s="42" t="str">
        <x:v>—</x:v>
      </x:c>
      <x:c r="F76" s="42" t="str">
        <x:v>fact_offer</x:v>
      </x:c>
      <x:c r="G76" s="42" t="str">
        <x:v>Built; UAT pending</x:v>
      </x:c>
      <x:c r="H76" s="43" t="str">
        <x:v>Definition present in WIP _Measures. Reconcile against refreshed Gold and approved business rules.</x:v>
      </x:c>
    </x:row>
    <x:row r="77" ht="14.5" hidden="0" customHeight="1">
      <x:c r="A77" s="41" t="str">
        <x:v>GOLD-KPI-073</x:v>
      </x:c>
      <x:c r="B77" s="42" t="str">
        <x:v>Offer portfolio and ageing</x:v>
      </x:c>
      <x:c r="C77" s="42" t="str">
        <x:v>Pending Offers 30+ Days</x:v>
      </x:c>
      <x:c r="D77" s="42" t="str">
        <x:v>New Gold KPI</x:v>
      </x:c>
      <x:c r="E77" s="42" t="str">
        <x:v>—</x:v>
      </x:c>
      <x:c r="F77" s="42" t="str">
        <x:v>fact_offer</x:v>
      </x:c>
      <x:c r="G77" s="42" t="str">
        <x:v>Built; UAT pending</x:v>
      </x:c>
      <x:c r="H77" s="43" t="str">
        <x:v>Definition present in WIP _Measures. Reconcile against refreshed Gold and approved business rules.</x:v>
      </x:c>
    </x:row>
    <x:row r="78" ht="14.5" hidden="0" customHeight="1">
      <x:c r="A78" s="41" t="str">
        <x:v>GOLD-KPI-074</x:v>
      </x:c>
      <x:c r="B78" s="42" t="str">
        <x:v>Offer portfolio and ageing</x:v>
      </x:c>
      <x:c r="C78" s="42" t="str">
        <x:v>Providers With Pending Offers 30+ Days</x:v>
      </x:c>
      <x:c r="D78" s="42" t="str">
        <x:v>New Gold KPI</x:v>
      </x:c>
      <x:c r="E78" s="42" t="str">
        <x:v>—</x:v>
      </x:c>
      <x:c r="F78" s="42" t="str">
        <x:v>fact_offer</x:v>
      </x:c>
      <x:c r="G78" s="42" t="str">
        <x:v>Built; UAT pending</x:v>
      </x:c>
      <x:c r="H78" s="43" t="str">
        <x:v>Definition present in WIP _Measures. Reconcile against refreshed Gold and approved business rules.</x:v>
      </x:c>
    </x:row>
    <x:row r="79" ht="14.5" hidden="0" customHeight="1">
      <x:c r="A79" s="41" t="str">
        <x:v>GOLD-KPI-075</x:v>
      </x:c>
      <x:c r="B79" s="42" t="str">
        <x:v>Offer portfolio and ageing</x:v>
      </x:c>
      <x:c r="C79" s="42" t="str">
        <x:v>Latest Offer Source Export</x:v>
      </x:c>
      <x:c r="D79" s="42" t="str">
        <x:v>New Gold KPI</x:v>
      </x:c>
      <x:c r="E79" s="42" t="str">
        <x:v>—</x:v>
      </x:c>
      <x:c r="F79" s="42" t="str">
        <x:v>fact_offer</x:v>
      </x:c>
      <x:c r="G79" s="42" t="str">
        <x:v>Built; UAT pending</x:v>
      </x:c>
      <x:c r="H79" s="43" t="str">
        <x:v>Definition present in WIP _Measures. Reconcile against refreshed Gold and approved business rules.</x:v>
      </x:c>
    </x:row>
    <x:row r="80" ht="14.5" hidden="0" customHeight="1">
      <x:c r="A80" s="41" t="str">
        <x:v>GOLD-KPI-076</x:v>
      </x:c>
      <x:c r="B80" s="42" t="str">
        <x:v>Provider, framework and documents</x:v>
      </x:c>
      <x:c r="C80" s="42" t="str">
        <x:v>Provider Homes Registered</x:v>
      </x:c>
      <x:c r="D80" s="42" t="str">
        <x:v>KPI-40</x:v>
      </x:c>
      <x:c r="E80" s="42" t="str">
        <x:v>R91, R93</x:v>
      </x:c>
      <x:c r="F80" s="42" t="str">
        <x:v>dim_provider; dim_provider_home</x:v>
      </x:c>
      <x:c r="G80" s="42" t="str">
        <x:v>Built; UAT pending</x:v>
      </x:c>
      <x:c r="H80" s="43" t="str">
        <x:v>Definition present in WIP _Measures. Reconcile against refreshed Gold and approved business rules.</x:v>
      </x:c>
    </x:row>
    <x:row r="81" ht="14.5" hidden="0" customHeight="1">
      <x:c r="A81" s="41" t="str">
        <x:v>GOLD-KPI-077</x:v>
      </x:c>
      <x:c r="B81" s="42" t="str">
        <x:v>Provider, framework and documents</x:v>
      </x:c>
      <x:c r="C81" s="42" t="str">
        <x:v>Providers Registered</x:v>
      </x:c>
      <x:c r="D81" s="42" t="str">
        <x:v>KPI-41</x:v>
      </x:c>
      <x:c r="E81" s="42" t="str">
        <x:v>R91, R93</x:v>
      </x:c>
      <x:c r="F81" s="42" t="str">
        <x:v>dim_provider</x:v>
      </x:c>
      <x:c r="G81" s="42" t="str">
        <x:v>Built; UAT pending</x:v>
      </x:c>
      <x:c r="H81" s="43" t="str">
        <x:v>Definition present in WIP _Measures. Reconcile against refreshed Gold and approved business rules.</x:v>
      </x:c>
    </x:row>
    <x:row r="82" ht="26.399999618530273" hidden="0" customHeight="1">
      <x:c r="A82" s="41" t="str">
        <x:v>GOLD-KPI-078</x:v>
      </x:c>
      <x:c r="B82" s="42" t="str">
        <x:v>Provider, framework and documents</x:v>
      </x:c>
      <x:c r="C82" s="42" t="str">
        <x:v>Providers - Fostering</x:v>
      </x:c>
      <x:c r="D82" s="42" t="str">
        <x:v>New Gold KPI</x:v>
      </x:c>
      <x:c r="E82" s="42" t="str">
        <x:v>—</x:v>
      </x:c>
      <x:c r="F82" s="42" t="str">
        <x:v>bridge_provider_framework; dim_framework; dim_provider; dim_provider_home</x:v>
      </x:c>
      <x:c r="G82" s="42" t="str">
        <x:v>Built; UAT pending</x:v>
      </x:c>
      <x:c r="H82" s="43" t="str">
        <x:v>Definition present in WIP _Measures. Reconcile against refreshed Gold and approved business rules.</x:v>
      </x:c>
    </x:row>
    <x:row r="83" ht="14.5" hidden="0" customHeight="1">
      <x:c r="A83" s="41" t="str">
        <x:v>GOLD-KPI-079</x:v>
      </x:c>
      <x:c r="B83" s="42" t="str">
        <x:v>Provider, framework and documents</x:v>
      </x:c>
      <x:c r="C83" s="42" t="str">
        <x:v>Providers - Residential</x:v>
      </x:c>
      <x:c r="D83" s="42" t="str">
        <x:v>New Gold KPI</x:v>
      </x:c>
      <x:c r="E83" s="42" t="str">
        <x:v>—</x:v>
      </x:c>
      <x:c r="F83" s="42" t="str">
        <x:v>dim_provider_home</x:v>
      </x:c>
      <x:c r="G83" s="42" t="str">
        <x:v>Built; UAT pending</x:v>
      </x:c>
      <x:c r="H83" s="43" t="str">
        <x:v>Definition present in WIP _Measures. Reconcile against refreshed Gold and approved business rules.</x:v>
      </x:c>
    </x:row>
    <x:row r="84" ht="14.5" hidden="0" customHeight="1">
      <x:c r="A84" s="41" t="str">
        <x:v>GOLD-KPI-080</x:v>
      </x:c>
      <x:c r="B84" s="42" t="str">
        <x:v>Provider, framework and documents</x:v>
      </x:c>
      <x:c r="C84" s="42" t="str">
        <x:v>Providers - Supported Accommodation</x:v>
      </x:c>
      <x:c r="D84" s="42" t="str">
        <x:v>New Gold KPI</x:v>
      </x:c>
      <x:c r="E84" s="42" t="str">
        <x:v>—</x:v>
      </x:c>
      <x:c r="F84" s="42" t="str">
        <x:v>dim_provider_home</x:v>
      </x:c>
      <x:c r="G84" s="42" t="str">
        <x:v>Built; UAT pending</x:v>
      </x:c>
      <x:c r="H84" s="43" t="str">
        <x:v>Definition present in WIP _Measures. Reconcile against refreshed Gold and approved business rules.</x:v>
      </x:c>
    </x:row>
    <x:row r="85" ht="14.5" hidden="0" customHeight="1">
      <x:c r="A85" s="41" t="str">
        <x:v>GOLD-KPI-081</x:v>
      </x:c>
      <x:c r="B85" s="42" t="str">
        <x:v>Provider, framework and documents</x:v>
      </x:c>
      <x:c r="C85" s="42" t="str">
        <x:v>Residential Homes</x:v>
      </x:c>
      <x:c r="D85" s="42" t="str">
        <x:v>New Gold KPI</x:v>
      </x:c>
      <x:c r="E85" s="42" t="str">
        <x:v>—</x:v>
      </x:c>
      <x:c r="F85" s="42" t="str">
        <x:v>dim_provider; dim_provider_home</x:v>
      </x:c>
      <x:c r="G85" s="42" t="str">
        <x:v>Built; UAT pending</x:v>
      </x:c>
      <x:c r="H85" s="43" t="str">
        <x:v>Definition present in WIP _Measures. Reconcile against refreshed Gold and approved business rules.</x:v>
      </x:c>
    </x:row>
    <x:row r="86" ht="14.5" hidden="0" customHeight="1">
      <x:c r="A86" s="41" t="str">
        <x:v>GOLD-KPI-082</x:v>
      </x:c>
      <x:c r="B86" s="42" t="str">
        <x:v>Provider, framework and documents</x:v>
      </x:c>
      <x:c r="C86" s="42" t="str">
        <x:v>Supported Accommodation Homes</x:v>
      </x:c>
      <x:c r="D86" s="42" t="str">
        <x:v>New Gold KPI</x:v>
      </x:c>
      <x:c r="E86" s="42" t="str">
        <x:v>—</x:v>
      </x:c>
      <x:c r="F86" s="42" t="str">
        <x:v>dim_provider; dim_provider_home</x:v>
      </x:c>
      <x:c r="G86" s="42" t="str">
        <x:v>Built; UAT pending</x:v>
      </x:c>
      <x:c r="H86" s="43" t="str">
        <x:v>Definition present in WIP _Measures. Reconcile against refreshed Gold and approved business rules.</x:v>
      </x:c>
    </x:row>
    <x:row r="87" ht="14.5" hidden="0" customHeight="1">
      <x:c r="A87" s="41" t="str">
        <x:v>GOLD-KPI-083</x:v>
      </x:c>
      <x:c r="B87" s="42" t="str">
        <x:v>Provider, framework and documents</x:v>
      </x:c>
      <x:c r="C87" s="42" t="str">
        <x:v>Fostering Homes</x:v>
      </x:c>
      <x:c r="D87" s="42" t="str">
        <x:v>New Gold KPI</x:v>
      </x:c>
      <x:c r="E87" s="42" t="str">
        <x:v>—</x:v>
      </x:c>
      <x:c r="F87" s="42" t="str">
        <x:v>dim_provider; dim_provider_home</x:v>
      </x:c>
      <x:c r="G87" s="42" t="str">
        <x:v>Built; UAT pending</x:v>
      </x:c>
      <x:c r="H87" s="43" t="str">
        <x:v>Definition present in WIP _Measures. Reconcile against refreshed Gold and approved business rules.</x:v>
      </x:c>
    </x:row>
    <x:row r="88" ht="14.5" hidden="0" customHeight="1">
      <x:c r="A88" s="41" t="str">
        <x:v>GOLD-KPI-084</x:v>
      </x:c>
      <x:c r="B88" s="42" t="str">
        <x:v>Provider, framework and documents</x:v>
      </x:c>
      <x:c r="C88" s="42" t="str">
        <x:v>Framework Providers</x:v>
      </x:c>
      <x:c r="D88" s="42" t="str">
        <x:v>KPI-45</x:v>
      </x:c>
      <x:c r="E88" s="42" t="str">
        <x:v>R67</x:v>
      </x:c>
      <x:c r="F88" s="42" t="str">
        <x:v>bridge_provider_framework</x:v>
      </x:c>
      <x:c r="G88" s="42" t="str">
        <x:v>Built; UAT pending</x:v>
      </x:c>
      <x:c r="H88" s="43" t="str">
        <x:v>Definition present in WIP _Measures. Reconcile against refreshed Gold and approved business rules.</x:v>
      </x:c>
    </x:row>
    <x:row r="89" ht="14.5" hidden="0" customHeight="1">
      <x:c r="A89" s="41" t="str">
        <x:v>GOLD-KPI-085</x:v>
      </x:c>
      <x:c r="B89" s="42" t="str">
        <x:v>Provider, framework and documents</x:v>
      </x:c>
      <x:c r="C89" s="42" t="str">
        <x:v>Non-Framework Providers</x:v>
      </x:c>
      <x:c r="D89" s="42" t="str">
        <x:v>KPI-46</x:v>
      </x:c>
      <x:c r="E89" s="42" t="str">
        <x:v>R46</x:v>
      </x:c>
      <x:c r="F89" s="42" t="str">
        <x:v>bridge_provider_framework; dim_provider</x:v>
      </x:c>
      <x:c r="G89" s="42" t="str">
        <x:v>Built; UAT pending</x:v>
      </x:c>
      <x:c r="H89" s="43" t="str">
        <x:v>Definition present in WIP _Measures. Reconcile against refreshed Gold and approved business rules.</x:v>
      </x:c>
    </x:row>
    <x:row r="90" ht="14.5" hidden="0" customHeight="1">
      <x:c r="A90" s="41" t="str">
        <x:v>GOLD-KPI-086</x:v>
      </x:c>
      <x:c r="B90" s="42" t="str">
        <x:v>Provider, framework and documents</x:v>
      </x:c>
      <x:c r="C90" s="42" t="str">
        <x:v>Providers With QA Flags</x:v>
      </x:c>
      <x:c r="D90" s="42" t="str">
        <x:v>KPI-97</x:v>
      </x:c>
      <x:c r="E90" s="42" t="str">
        <x:v>R41</x:v>
      </x:c>
      <x:c r="F90" s="42" t="str">
        <x:v>dim_provider</x:v>
      </x:c>
      <x:c r="G90" s="42" t="str">
        <x:v>Built; UAT pending</x:v>
      </x:c>
      <x:c r="H90" s="43" t="str">
        <x:v>Definition present in WIP _Measures. Reconcile against refreshed Gold and approved business rules.</x:v>
      </x:c>
    </x:row>
    <x:row r="91" ht="14.5" hidden="0" customHeight="1">
      <x:c r="A91" s="41" t="str">
        <x:v>GOLD-KPI-087</x:v>
      </x:c>
      <x:c r="B91" s="42" t="str">
        <x:v>Provider, framework and documents</x:v>
      </x:c>
      <x:c r="C91" s="42" t="str">
        <x:v>QA Flagged Homes</x:v>
      </x:c>
      <x:c r="D91" s="42" t="str">
        <x:v>New Gold KPI</x:v>
      </x:c>
      <x:c r="E91" s="42" t="str">
        <x:v>—</x:v>
      </x:c>
      <x:c r="F91" s="42" t="str">
        <x:v>dim_provider; dim_provider_home</x:v>
      </x:c>
      <x:c r="G91" s="42" t="str">
        <x:v>Built; UAT pending</x:v>
      </x:c>
      <x:c r="H91" s="43" t="str">
        <x:v>Definition present in WIP _Measures. Reconcile against refreshed Gold and approved business rules.</x:v>
      </x:c>
    </x:row>
    <x:row r="92" ht="14.5" hidden="0" customHeight="1">
      <x:c r="A92" s="41" t="str">
        <x:v>GOLD-KPI-088</x:v>
      </x:c>
      <x:c r="B92" s="42" t="str">
        <x:v>Provider, framework and documents</x:v>
      </x:c>
      <x:c r="C92" s="42" t="str">
        <x:v>Providers Pending Onboarding</x:v>
      </x:c>
      <x:c r="D92" s="42" t="str">
        <x:v>KPI-116</x:v>
      </x:c>
      <x:c r="E92" s="42" t="str">
        <x:v>R59</x:v>
      </x:c>
      <x:c r="F92" s="42" t="str">
        <x:v>dim_provider</x:v>
      </x:c>
      <x:c r="G92" s="42" t="str">
        <x:v>Built; UAT pending</x:v>
      </x:c>
      <x:c r="H92" s="43" t="str">
        <x:v>Definition present in WIP _Measures. Reconcile against refreshed Gold and approved business rules.</x:v>
      </x:c>
    </x:row>
    <x:row r="93" ht="14.5" hidden="0" customHeight="1">
      <x:c r="A93" s="41" t="str">
        <x:v>GOLD-KPI-089</x:v>
      </x:c>
      <x:c r="B93" s="42" t="str">
        <x:v>Provider, framework and documents</x:v>
      </x:c>
      <x:c r="C93" s="42" t="str">
        <x:v>Providers Approved</x:v>
      </x:c>
      <x:c r="D93" s="42" t="str">
        <x:v>New Gold KPI</x:v>
      </x:c>
      <x:c r="E93" s="42" t="str">
        <x:v>—</x:v>
      </x:c>
      <x:c r="F93" s="42" t="str">
        <x:v>dim_provider</x:v>
      </x:c>
      <x:c r="G93" s="42" t="str">
        <x:v>Built; UAT pending</x:v>
      </x:c>
      <x:c r="H93" s="43" t="str">
        <x:v>Definition present in WIP _Measures. Reconcile against refreshed Gold and approved business rules.</x:v>
      </x:c>
    </x:row>
    <x:row r="94" ht="14.5" hidden="0" customHeight="1">
      <x:c r="A94" s="41" t="str">
        <x:v>GOLD-KPI-090</x:v>
      </x:c>
      <x:c r="B94" s="42" t="str">
        <x:v>Provider, framework and documents</x:v>
      </x:c>
      <x:c r="C94" s="42" t="str">
        <x:v>Provider Onboarding Success Rate</x:v>
      </x:c>
      <x:c r="D94" s="42" t="str">
        <x:v>KPI-117</x:v>
      </x:c>
      <x:c r="E94" s="42" t="str">
        <x:v>R59</x:v>
      </x:c>
      <x:c r="F94" s="42" t="str">
        <x:v>dim_provider</x:v>
      </x:c>
      <x:c r="G94" s="42" t="str">
        <x:v>Proxy; UAT pending</x:v>
      </x:c>
      <x:c r="H94" s="43" t="str">
        <x:v>Approved-provider share, not bulk onboarding job success.</x:v>
      </x:c>
    </x:row>
    <x:row r="95" ht="14.5" hidden="0" customHeight="1">
      <x:c r="A95" s="41" t="str">
        <x:v>GOLD-KPI-091</x:v>
      </x:c>
      <x:c r="B95" s="42" t="str">
        <x:v>Provider, framework and documents</x:v>
      </x:c>
      <x:c r="C95" s="42" t="str">
        <x:v>Provider Submission Documents</x:v>
      </x:c>
      <x:c r="D95" s="42" t="str">
        <x:v>New Gold KPI</x:v>
      </x:c>
      <x:c r="E95" s="42" t="str">
        <x:v>—</x:v>
      </x:c>
      <x:c r="F95" s="42" t="str">
        <x:v>dim_provider_submission_document</x:v>
      </x:c>
      <x:c r="G95" s="42" t="str">
        <x:v>Built; UAT pending</x:v>
      </x:c>
      <x:c r="H95" s="43" t="str">
        <x:v>Definition present in WIP _Measures. Reconcile against refreshed Gold and approved business rules.</x:v>
      </x:c>
    </x:row>
    <x:row r="96" ht="14.5" hidden="0" customHeight="1">
      <x:c r="A96" s="41" t="str">
        <x:v>GOLD-KPI-092</x:v>
      </x:c>
      <x:c r="B96" s="42" t="str">
        <x:v>Provider, framework and documents</x:v>
      </x:c>
      <x:c r="C96" s="42" t="str">
        <x:v>Documents Expiring Next 30 Days</x:v>
      </x:c>
      <x:c r="D96" s="42" t="str">
        <x:v>KPI-100</x:v>
      </x:c>
      <x:c r="E96" s="42" t="str">
        <x:v>R47</x:v>
      </x:c>
      <x:c r="F96" s="42" t="str">
        <x:v>dim_provider_submission_document</x:v>
      </x:c>
      <x:c r="G96" s="42" t="str">
        <x:v>Built; UAT pending</x:v>
      </x:c>
      <x:c r="H96" s="43" t="str">
        <x:v>Definition present in WIP _Measures. Reconcile against refreshed Gold and approved business rules.</x:v>
      </x:c>
    </x:row>
    <x:row r="97" ht="14.5" hidden="0" customHeight="1">
      <x:c r="A97" s="41" t="str">
        <x:v>GOLD-KPI-093</x:v>
      </x:c>
      <x:c r="B97" s="42" t="str">
        <x:v>Provider, framework and documents</x:v>
      </x:c>
      <x:c r="C97" s="42" t="str">
        <x:v>Documents Expired</x:v>
      </x:c>
      <x:c r="D97" s="42" t="str">
        <x:v>KPI-101</x:v>
      </x:c>
      <x:c r="E97" s="42" t="str">
        <x:v>R47, R48</x:v>
      </x:c>
      <x:c r="F97" s="42" t="str">
        <x:v>dim_provider_submission_document</x:v>
      </x:c>
      <x:c r="G97" s="42" t="str">
        <x:v>Built; UAT pending</x:v>
      </x:c>
      <x:c r="H97" s="43" t="str">
        <x:v>Definition present in WIP _Measures. Reconcile against refreshed Gold and approved business rules.</x:v>
      </x:c>
    </x:row>
    <x:row r="98" ht="14.5" hidden="0" customHeight="1">
      <x:c r="A98" s="41" t="str">
        <x:v>GOLD-KPI-094</x:v>
      </x:c>
      <x:c r="B98" s="42" t="str">
        <x:v>Provider, framework and documents</x:v>
      </x:c>
      <x:c r="C98" s="42" t="str">
        <x:v>Provider Homes With Expired Documents</x:v>
      </x:c>
      <x:c r="D98" s="42" t="str">
        <x:v>New Gold KPI</x:v>
      </x:c>
      <x:c r="E98" s="42" t="str">
        <x:v>—</x:v>
      </x:c>
      <x:c r="F98" s="42" t="str">
        <x:v>dim_provider_submission_document</x:v>
      </x:c>
      <x:c r="G98" s="42" t="str">
        <x:v>Built; UAT pending</x:v>
      </x:c>
      <x:c r="H98" s="43" t="str">
        <x:v>Definition present in WIP _Measures. Reconcile against refreshed Gold and approved business rules.</x:v>
      </x:c>
    </x:row>
    <x:row r="99" ht="14.5" hidden="0" customHeight="1">
      <x:c r="A99" s="41" t="str">
        <x:v>GOLD-KPI-095</x:v>
      </x:c>
      <x:c r="B99" s="42" t="str">
        <x:v>IPA, cost and lifecycle</x:v>
      </x:c>
      <x:c r="C99" s="42" t="str">
        <x:v>IPAs Issued This Month</x:v>
      </x:c>
      <x:c r="D99" s="42" t="str">
        <x:v>New Gold KPI</x:v>
      </x:c>
      <x:c r="E99" s="42" t="str">
        <x:v>—</x:v>
      </x:c>
      <x:c r="F99" s="42" t="str">
        <x:v>dim_date; fact_ipa; fact_referral</x:v>
      </x:c>
      <x:c r="G99" s="42" t="str">
        <x:v>Built; UAT pending</x:v>
      </x:c>
      <x:c r="H99" s="43" t="str">
        <x:v>Definition present in WIP _Measures. Reconcile against refreshed Gold and approved business rules.</x:v>
      </x:c>
    </x:row>
    <x:row r="100" ht="14.5" hidden="0" customHeight="1">
      <x:c r="A100" s="41" t="str">
        <x:v>GOLD-KPI-096</x:v>
      </x:c>
      <x:c r="B100" s="42" t="str">
        <x:v>IPA, cost and lifecycle</x:v>
      </x:c>
      <x:c r="C100" s="42" t="str">
        <x:v>Closed IPAs</x:v>
      </x:c>
      <x:c r="D100" s="42" t="str">
        <x:v>New Gold KPI</x:v>
      </x:c>
      <x:c r="E100" s="42" t="str">
        <x:v>—</x:v>
      </x:c>
      <x:c r="F100" s="42" t="str">
        <x:v>fact_ipa</x:v>
      </x:c>
      <x:c r="G100" s="42" t="str">
        <x:v>Built; UAT pending</x:v>
      </x:c>
      <x:c r="H100" s="43" t="str">
        <x:v>Definition present in WIP _Measures. Reconcile against refreshed Gold and approved business rules.</x:v>
      </x:c>
    </x:row>
    <x:row r="101" ht="14.5" hidden="0" customHeight="1">
      <x:c r="A101" s="41" t="str">
        <x:v>GOLD-KPI-097</x:v>
      </x:c>
      <x:c r="B101" s="42" t="str">
        <x:v>IPA, cost and lifecycle</x:v>
      </x:c>
      <x:c r="C101" s="42" t="str">
        <x:v>Average Active IPA Weekly Cost</x:v>
      </x:c>
      <x:c r="D101" s="42" t="str">
        <x:v>New Gold KPI</x:v>
      </x:c>
      <x:c r="E101" s="42" t="str">
        <x:v>—</x:v>
      </x:c>
      <x:c r="F101" s="42" t="str">
        <x:v>fact_ipa</x:v>
      </x:c>
      <x:c r="G101" s="42" t="str">
        <x:v>Built; UAT pending</x:v>
      </x:c>
      <x:c r="H101" s="43" t="str">
        <x:v>Definition present in WIP _Measures. Reconcile against refreshed Gold and approved business rules.</x:v>
      </x:c>
    </x:row>
    <x:row r="102" ht="14.5" hidden="0" customHeight="1">
      <x:c r="A102" s="41" t="str">
        <x:v>GOLD-KPI-098</x:v>
      </x:c>
      <x:c r="B102" s="42" t="str">
        <x:v>IPA, cost and lifecycle</x:v>
      </x:c>
      <x:c r="C102" s="42" t="str">
        <x:v>Total IPA Weekly Cost</x:v>
      </x:c>
      <x:c r="D102" s="42" t="str">
        <x:v>New Gold KPI</x:v>
      </x:c>
      <x:c r="E102" s="42" t="str">
        <x:v>—</x:v>
      </x:c>
      <x:c r="F102" s="42" t="str">
        <x:v>fact_ipa</x:v>
      </x:c>
      <x:c r="G102" s="42" t="str">
        <x:v>Built; UAT pending</x:v>
      </x:c>
      <x:c r="H102" s="43" t="str">
        <x:v>Definition present in WIP _Measures. Reconcile against refreshed Gold and approved business rules.</x:v>
      </x:c>
    </x:row>
    <x:row r="103" ht="14.5" hidden="0" customHeight="1">
      <x:c r="A103" s="41" t="str">
        <x:v>GOLD-KPI-099</x:v>
      </x:c>
      <x:c r="B103" s="42" t="str">
        <x:v>IPA conversion</x:v>
      </x:c>
      <x:c r="C103" s="42" t="str">
        <x:v>Accepted Offers With IPA</x:v>
      </x:c>
      <x:c r="D103" s="42" t="str">
        <x:v>KPI-79 replacement</x:v>
      </x:c>
      <x:c r="E103" s="42" t="str">
        <x:v>R35</x:v>
      </x:c>
      <x:c r="F103" s="42" t="str">
        <x:v>fact_ipa; fact_offer</x:v>
      </x:c>
      <x:c r="G103" s="42" t="str">
        <x:v>Built; UAT pending</x:v>
      </x:c>
      <x:c r="H103" s="43" t="str">
        <x:v>Definition present in WIP _Measures. Reconcile against refreshed Gold and approved business rules.</x:v>
      </x:c>
    </x:row>
    <x:row r="104" ht="14.5" hidden="0" customHeight="1">
      <x:c r="A104" s="41" t="str">
        <x:v>GOLD-KPI-100</x:v>
      </x:c>
      <x:c r="B104" s="42" t="str">
        <x:v>IPA conversion</x:v>
      </x:c>
      <x:c r="C104" s="42" t="str">
        <x:v>Offers Awaiting IPA Creation</x:v>
      </x:c>
      <x:c r="D104" s="42" t="str">
        <x:v>KPI-79</x:v>
      </x:c>
      <x:c r="E104" s="42" t="str">
        <x:v>R35</x:v>
      </x:c>
      <x:c r="F104" s="42" t="str">
        <x:v>fact_offer</x:v>
      </x:c>
      <x:c r="G104" s="42" t="str">
        <x:v>Built; UAT pending</x:v>
      </x:c>
      <x:c r="H104" s="43" t="str">
        <x:v>Definition present in WIP _Measures. Reconcile against refreshed Gold and approved business rules.</x:v>
      </x:c>
    </x:row>
    <x:row r="105" ht="14.5" hidden="0" customHeight="1">
      <x:c r="A105" s="41" t="str">
        <x:v>GOLD-KPI-101</x:v>
      </x:c>
      <x:c r="B105" s="42" t="str">
        <x:v>IPA conversion</x:v>
      </x:c>
      <x:c r="C105" s="42" t="str">
        <x:v>Accepted Offer to IPA Conversion %</x:v>
      </x:c>
      <x:c r="D105" s="42" t="str">
        <x:v>KPI-83</x:v>
      </x:c>
      <x:c r="E105" s="42" t="str">
        <x:v>R35</x:v>
      </x:c>
      <x:c r="F105" s="42" t="str">
        <x:v>fact_ipa; fact_offer</x:v>
      </x:c>
      <x:c r="G105" s="42" t="str">
        <x:v>Built; UAT pending</x:v>
      </x:c>
      <x:c r="H105" s="43" t="str">
        <x:v>Definition present in WIP _Measures. Reconcile against refreshed Gold and approved business rules.</x:v>
      </x:c>
    </x:row>
    <x:row r="106" ht="14.5" hidden="0" customHeight="1">
      <x:c r="A106" s="41" t="str">
        <x:v>GOLD-KPI-102</x:v>
      </x:c>
      <x:c r="B106" s="42" t="str">
        <x:v>IPA conversion</x:v>
      </x:c>
      <x:c r="C106" s="42" t="str">
        <x:v>Offers Still to Progress to IPA %</x:v>
      </x:c>
      <x:c r="D106" s="42" t="str">
        <x:v>KPI-84</x:v>
      </x:c>
      <x:c r="E106" s="42" t="str">
        <x:v>R35</x:v>
      </x:c>
      <x:c r="F106" s="42" t="str">
        <x:v>fact_ipa; fact_offer</x:v>
      </x:c>
      <x:c r="G106" s="42" t="str">
        <x:v>Built; UAT pending</x:v>
      </x:c>
      <x:c r="H106" s="43" t="str">
        <x:v>Definition present in WIP _Measures. Reconcile against refreshed Gold and approved business rules.</x:v>
      </x:c>
    </x:row>
    <x:row r="107" ht="14.5" hidden="0" customHeight="1">
      <x:c r="A107" s="41" t="str">
        <x:v>GOLD-KPI-103</x:v>
      </x:c>
      <x:c r="B107" s="42" t="str">
        <x:v>IPA, cost and lifecycle</x:v>
      </x:c>
      <x:c r="C107" s="42" t="str">
        <x:v>Referrals With Fully Signed IPA</x:v>
      </x:c>
      <x:c r="D107" s="42" t="str">
        <x:v>New Gold KPI</x:v>
      </x:c>
      <x:c r="E107" s="42" t="str">
        <x:v>—</x:v>
      </x:c>
      <x:c r="F107" s="42" t="str">
        <x:v>fact_ipa</x:v>
      </x:c>
      <x:c r="G107" s="42" t="str">
        <x:v>Built; UAT pending</x:v>
      </x:c>
      <x:c r="H107" s="43" t="str">
        <x:v>Distinct referral IDs with at least one completed IPA; not a count of IPAs.</x:v>
      </x:c>
    </x:row>
    <x:row r="108" ht="14.5" hidden="0" customHeight="1">
      <x:c r="A108" s="41" t="str">
        <x:v>GOLD-KPI-104</x:v>
      </x:c>
      <x:c r="B108" s="42" t="str">
        <x:v>IPA, cost and lifecycle</x:v>
      </x:c>
      <x:c r="C108" s="42" t="str">
        <x:v>IPA Signature Completion Rate</x:v>
      </x:c>
      <x:c r="D108" s="42" t="str">
        <x:v>New Gold KPI</x:v>
      </x:c>
      <x:c r="E108" s="42" t="str">
        <x:v>—</x:v>
      </x:c>
      <x:c r="F108" s="42" t="str">
        <x:v>fact_ipa</x:v>
      </x:c>
      <x:c r="G108" s="42" t="str">
        <x:v>Built; UAT pending</x:v>
      </x:c>
      <x:c r="H108" s="43" t="str">
        <x:v>IPA Completed / IPAs Created at IPA grain; both signature flags required.</x:v>
      </x:c>
    </x:row>
    <x:row r="109" ht="14.5" hidden="0" customHeight="1">
      <x:c r="A109" s="41" t="str">
        <x:v>GOLD-KPI-105</x:v>
      </x:c>
      <x:c r="B109" s="42" t="str">
        <x:v>IPA, cost and lifecycle</x:v>
      </x:c>
      <x:c r="C109" s="42" t="str">
        <x:v>Referral Lifecycle Events</x:v>
      </x:c>
      <x:c r="D109" s="42" t="str">
        <x:v>KPI-113</x:v>
      </x:c>
      <x:c r="E109" s="42" t="str">
        <x:v>R20</x:v>
      </x:c>
      <x:c r="F109" s="42" t="str">
        <x:v>fact_referral_lifecycle_event</x:v>
      </x:c>
      <x:c r="G109" s="42" t="str">
        <x:v>Proxy; UAT pending</x:v>
      </x:c>
      <x:c r="H109" s="43" t="str">
        <x:v>Derived activity roll-up, not a complete source audit trail.</x:v>
      </x:c>
    </x:row>
    <x:row r="110" ht="14.5" hidden="0" customHeight="1">
      <x:c r="A110" s="41" t="str">
        <x:v>GOLD-KPI-106</x:v>
      </x:c>
      <x:c r="B110" s="42" t="str">
        <x:v>IPA, cost and lifecycle</x:v>
      </x:c>
      <x:c r="C110" s="42" t="str">
        <x:v>Referrals With Lifecycle Activity</x:v>
      </x:c>
      <x:c r="D110" s="42" t="str">
        <x:v>New Gold KPI</x:v>
      </x:c>
      <x:c r="E110" s="42" t="str">
        <x:v>—</x:v>
      </x:c>
      <x:c r="F110" s="42" t="str">
        <x:v>fact_referral_lifecycle_event</x:v>
      </x:c>
      <x:c r="G110" s="42" t="str">
        <x:v>Built; UAT pending</x:v>
      </x:c>
      <x:c r="H110" s="43" t="str">
        <x:v>Definition present in WIP _Measures. Reconcile against refreshed Gold and approved business rules.</x:v>
      </x:c>
    </x:row>
    <x:row r="111" ht="14.5" hidden="0" customHeight="1">
      <x:c r="A111" s="41" t="str">
        <x:v>GOLD-KPI-107</x:v>
      </x:c>
      <x:c r="B111" s="42" t="str">
        <x:v>IPA, cost and lifecycle</x:v>
      </x:c>
      <x:c r="C111" s="42" t="str">
        <x:v>Average Lifecycle Events per Referral</x:v>
      </x:c>
      <x:c r="D111" s="42" t="str">
        <x:v>New Gold KPI</x:v>
      </x:c>
      <x:c r="E111" s="42" t="str">
        <x:v>—</x:v>
      </x:c>
      <x:c r="F111" s="42" t="str">
        <x:v>fact_referral_lifecycle_event</x:v>
      </x:c>
      <x:c r="G111" s="42" t="str">
        <x:v>Built; UAT pending</x:v>
      </x:c>
      <x:c r="H111" s="43" t="str">
        <x:v>Definition present in WIP _Measures. Reconcile against refreshed Gold and approved business rules.</x:v>
      </x:c>
    </x:row>
    <x:row r="112" ht="14.5" hidden="0" customHeight="1">
      <x:c r="A112" s="44" t="str">
        <x:v>GOLD-KPI-108</x:v>
      </x:c>
      <x:c r="B112" s="45" t="str">
        <x:v>IPA, cost and lifecycle</x:v>
      </x:c>
      <x:c r="C112" s="45" t="str">
        <x:v>Gold Model Last Refreshed</x:v>
      </x:c>
      <x:c r="D112" s="45" t="str">
        <x:v>KPI-87</x:v>
      </x:c>
      <x:c r="E112" s="45" t="str">
        <x:v>R82</x:v>
      </x:c>
      <x:c r="F112" s="45" t="str">
        <x:v>fact_referral</x:v>
      </x:c>
      <x:c r="G112" s="45" t="str">
        <x:v>Built; UAT pending</x:v>
      </x:c>
      <x:c r="H112" s="46" t="str">
        <x:v>Persisted Gold build timestamp; not source completeness or service-performance evidence.</x:v>
      </x:c>
    </x:row>
    <x:row r="113" ht="26.399999618530273" hidden="0" customHeight="1">
      <x:c r="A113" s="142" t="str">
        <x:v>GOLD-KPI-109</x:v>
      </x:c>
      <x:c r="B113" s="142" t="str">
        <x:v>Message activity proxy</x:v>
      </x:c>
      <x:c r="C113" s="142" t="str">
        <x:v>Provider Messages Sent</x:v>
      </x:c>
      <x:c r="D113" s="142" t="str">
        <x:v>KPI-110 proxy</x:v>
      </x:c>
      <x:c r="E113" s="142" t="str">
        <x:v>R14</x:v>
      </x:c>
      <x:c r="F113" s="142" t="str">
        <x:v>fact_referral_lifecycle_event</x:v>
      </x:c>
      <x:c r="G113" s="150" t="str">
        <x:v>Proxy; UAT pending</x:v>
      </x:c>
      <x:c r="H113" s="142" t="str">
        <x:v>Counts ProviderMessageSent lifecycle events; either sender may be represented. Not provider-authored response time.</x:v>
      </x:c>
    </x:row>
    <x:row r="114" ht="14.5" hidden="0" customHeight="1">
      <x:c r="A114" s="142"/>
      <x:c r="B114" s="142"/>
      <x:c r="C114" s="142"/>
      <x:c r="D114" s="142"/>
      <x:c r="E114" s="142"/>
      <x:c r="F114" s="142"/>
      <x:c r="G114" s="142"/>
      <x:c r="H114" s="142"/>
    </x:row>
    <x:row r="115" ht="14.5" hidden="0" customHeight="1">
      <x:c r="A115" s="151" t="str">
        <x:v>Reassessed gaps as at 30 September 2026</x:v>
      </x:c>
      <x:c r="B115" s="142"/>
      <x:c r="C115" s="142"/>
      <x:c r="D115" s="142"/>
      <x:c r="E115" s="142"/>
      <x:c r="F115" s="142"/>
      <x:c r="G115" s="142"/>
      <x:c r="H115" s="142"/>
    </x:row>
    <x:row r="116" ht="26.399999618530273" hidden="0" customHeight="1">
      <x:c r="A116" s="53" t="str">
        <x:v>Gap ID</x:v>
      </x:c>
      <x:c r="B116" s="53" t="str">
        <x:v>Business area</x:v>
      </x:c>
      <x:c r="C116" s="53" t="str">
        <x:v>KPI / capability</x:v>
      </x:c>
      <x:c r="D116" s="53" t="str">
        <x:v>Legacy KPI mapping</x:v>
      </x:c>
      <x:c r="E116" s="53" t="str">
        <x:v>Requirement IDs</x:v>
      </x:c>
      <x:c r="F116" s="53" t="str">
        <x:v>Status</x:v>
      </x:c>
      <x:c r="G116" s="53" t="str">
        <x:v>Reason / next Gold-model change</x:v>
      </x:c>
      <x:c r="H116" s="142"/>
    </x:row>
    <x:row r="117" ht="39.599998474121094" hidden="0" customHeight="1">
      <x:c r="A117" s="38" t="str">
        <x:v>GOLD-GAP-001</x:v>
      </x:c>
      <x:c r="B117" s="39" t="str">
        <x:v>Child demographics</x:v>
      </x:c>
      <x:c r="C117" s="39" t="str">
        <x:v>Gender and person attributes</x:v>
      </x:c>
      <x:c r="D117" s="39" t="str">
        <x:v>KPI-04–07</x:v>
      </x:c>
      <x:c r="E117" s="39" t="str">
        <x:v>R51</x:v>
      </x:c>
      <x:c r="F117" s="39" t="str">
        <x:v>Built; UAT pending</x:v>
      </x:c>
      <x:c r="G117" s="40" t="str">
        <x:v>dim_person and gender measures exist. Validate person linkage, unknown values and role access.</x:v>
      </x:c>
      <x:c r="H117" s="142"/>
    </x:row>
    <x:row r="118" ht="52.79999923706055" hidden="0" customHeight="1">
      <x:c r="A118" s="41" t="str">
        <x:v>GOLD-GAP-002</x:v>
      </x:c>
      <x:c r="B118" s="42" t="str">
        <x:v>IPA signatures</x:v>
      </x:c>
      <x:c r="C118" s="42" t="str">
        <x:v>IPA-level completion and signature flags</x:v>
      </x:c>
      <x:c r="D118" s="42" t="str">
        <x:v>KPI-77–86, 114</x:v>
      </x:c>
      <x:c r="E118" s="42" t="str">
        <x:v>R15, R20, R35</x:v>
      </x:c>
      <x:c r="F118" s="42" t="str">
        <x:v>Built; UAT pending</x:v>
      </x:c>
      <x:c r="G118" s="43" t="str">
        <x:v>fact_ipa now has both signature flags and completion/pending fields. Exact signature event history remains separate.</x:v>
      </x:c>
      <x:c r="H118" s="142"/>
    </x:row>
    <x:row r="119" ht="39.599998474121094" hidden="0" customHeight="1">
      <x:c r="A119" s="41" t="str">
        <x:v>GOLD-GAP-003</x:v>
      </x:c>
      <x:c r="B119" s="42" t="str">
        <x:v>Geography</x:v>
      </x:c>
      <x:c r="C119" s="42" t="str">
        <x:v>Out-of-region referral/placement rate</x:v>
      </x:c>
      <x:c r="D119" s="42" t="str">
        <x:v>KPI-95–96</x:v>
      </x:c>
      <x:c r="E119" s="42" t="str">
        <x:v>R22</x:v>
      </x:c>
      <x:c r="F119" s="42" t="str">
        <x:v>Open data gap</x:v>
      </x:c>
      <x:c r="G119" s="43" t="str">
        <x:v>No governed origin/destination region. Maps and preferred-city distance do not close this gap.</x:v>
      </x:c>
      <x:c r="H119" s="142"/>
    </x:row>
    <x:row r="120" ht="39.599998474121094" hidden="0" customHeight="1">
      <x:c r="A120" s="41" t="str">
        <x:v>GOLD-GAP-004</x:v>
      </x:c>
      <x:c r="B120" s="42" t="str">
        <x:v>QA detail</x:v>
      </x:c>
      <x:c r="C120" s="42" t="str">
        <x:v>QA flag-type history</x:v>
      </x:c>
      <x:c r="D120" s="42" t="str">
        <x:v>KPI-98</x:v>
      </x:c>
      <x:c r="E120" s="42" t="str">
        <x:v>R41, R94</x:v>
      </x:c>
      <x:c r="F120" s="42" t="str">
        <x:v>Open data gap</x:v>
      </x:c>
      <x:c r="G120" s="43" t="str">
        <x:v>Current flags exist; historic flag types and changes remain unsupported.</x:v>
      </x:c>
      <x:c r="H120" s="142"/>
    </x:row>
    <x:row r="121" ht="52.79999923706055" hidden="0" customHeight="1">
      <x:c r="A121" s="41" t="str">
        <x:v>GOLD-GAP-005</x:v>
      </x:c>
      <x:c r="B121" s="42" t="str">
        <x:v>Document compliance</x:v>
      </x:c>
      <x:c r="C121" s="42" t="str">
        <x:v>Expected-document compliance and blocking</x:v>
      </x:c>
      <x:c r="D121" s="42" t="str">
        <x:v>KPI-102–103</x:v>
      </x:c>
      <x:c r="E121" s="42" t="str">
        <x:v>R48</x:v>
      </x:c>
      <x:c r="F121" s="42" t="str">
        <x:v>Open data gap</x:v>
      </x:c>
      <x:c r="G121" s="43" t="str">
        <x:v>Expected-document policy and blocked-provider outcomes are absent. Expiry dates do not prove compliance.</x:v>
      </x:c>
      <x:c r="H121" s="142"/>
    </x:row>
    <x:row r="122" ht="66" hidden="0" customHeight="1">
      <x:c r="A122" s="41" t="str">
        <x:v>GOLD-GAP-006</x:v>
      </x:c>
      <x:c r="B122" s="42" t="str">
        <x:v>Decline/framework history</x:v>
      </x:c>
      <x:c r="C122" s="42" t="str">
        <x:v>Reason detail and framework-change history</x:v>
      </x:c>
      <x:c r="D122" s="42" t="str">
        <x:v>KPI-105–106</x:v>
      </x:c>
      <x:c r="E122" s="42" t="str">
        <x:v>R54, R58</x:v>
      </x:c>
      <x:c r="F122" s="42" t="str">
        <x:v>Partially built</x:v>
      </x:c>
      <x:c r="G122" s="43" t="str">
        <x:v>Current assignment decline/cancellation lookup exists; immutable reason history, attribution and effective-dated framework change remain open.</x:v>
      </x:c>
      <x:c r="H122" s="142"/>
    </x:row>
    <x:row r="123" ht="39.599998474121094" hidden="0" customHeight="1">
      <x:c r="A123" s="41" t="str">
        <x:v>GOLD-GAP-007</x:v>
      </x:c>
      <x:c r="B123" s="42" t="str">
        <x:v>Payments</x:v>
      </x:c>
      <x:c r="C123" s="42" t="str">
        <x:v>Payment method and IPA payment status</x:v>
      </x:c>
      <x:c r="D123" s="42" t="str">
        <x:v>KPI-108–109</x:v>
      </x:c>
      <x:c r="E123" s="42" t="str">
        <x:v>R62</x:v>
      </x:c>
      <x:c r="F123" s="42" t="str">
        <x:v>Open data gap</x:v>
      </x:c>
      <x:c r="G123" s="43" t="str">
        <x:v>Payment/invoice facts absent. Weekly/lifetime cost calculations are estimates, not actual spend.</x:v>
      </x:c>
      <x:c r="H123" s="142"/>
    </x:row>
    <x:row r="124" ht="52.79999923706055" hidden="0" customHeight="1">
      <x:c r="A124" s="41" t="str">
        <x:v>GOLD-GAP-008</x:v>
      </x:c>
      <x:c r="B124" s="42" t="str">
        <x:v>Provider messages</x:v>
      </x:c>
      <x:c r="C124" s="42" t="str">
        <x:v>Paired response-time and unread-priority KPIs</x:v>
      </x:c>
      <x:c r="D124" s="42" t="str">
        <x:v>KPI-111–112</x:v>
      </x:c>
      <x:c r="E124" s="42" t="str">
        <x:v>R14</x:v>
      </x:c>
      <x:c r="F124" s="136" t="str">
        <x:v>Partially built</x:v>
      </x:c>
      <x:c r="G124" s="43" t="str">
        <x:v>Detailed message/read fields exist; author-role classification, paired responses, priority and unread semantics remain open.</x:v>
      </x:c>
      <x:c r="H124" s="142"/>
    </x:row>
    <x:row r="125" ht="52.79999923706055" hidden="0" customHeight="1">
      <x:c r="A125" s="41" t="str">
        <x:v>GOLD-GAP-009</x:v>
      </x:c>
      <x:c r="B125" s="42" t="str">
        <x:v>Referral updates</x:v>
      </x:c>
      <x:c r="C125" s="42" t="str">
        <x:v>Durable updates and notification delivery</x:v>
      </x:c>
      <x:c r="D125" s="42" t="str">
        <x:v>KPI-115</x:v>
      </x:c>
      <x:c r="E125" s="42" t="str">
        <x:v>R19</x:v>
      </x:c>
      <x:c r="F125" s="42" t="str">
        <x:v>Proxy only</x:v>
      </x:c>
      <x:c r="G125" s="43" t="str">
        <x:v>Derived lifecycle events exist; full update audit history and notification outcomes are not proven.</x:v>
      </x:c>
      <x:c r="H125" s="142"/>
    </x:row>
    <x:row r="126" ht="66" hidden="0" customHeight="1">
      <x:c r="A126" s="44" t="str">
        <x:v>GOLD-GAP-010</x:v>
      </x:c>
      <x:c r="B126" s="45" t="str">
        <x:v>Categories/support needs</x:v>
      </x:c>
      <x:c r="C126" s="45" t="str">
        <x:v>Category membership and support needs</x:v>
      </x:c>
      <x:c r="D126" s="45" t="str">
        <x:v>WIP addition</x:v>
      </x:c>
      <x:c r="E126" s="45" t="str">
        <x:v>R13, R26, R51</x:v>
      </x:c>
      <x:c r="F126" s="45" t="str">
        <x:v>Partially built</x:v>
      </x:c>
      <x:c r="G126" s="46" t="str">
        <x:v>Current referral/home category bridges exist. Person support-needs bridge and historical membership are absent from WIP.</x:v>
      </x:c>
      <x:c r="H126" s="142"/>
    </x:row>
    <x:row r="127" ht="14.5" hidden="0" customHeight="1">
      <x:c r="A127" s="142"/>
      <x:c r="B127" s="142"/>
      <x:c r="C127" s="142"/>
      <x:c r="D127" s="142"/>
      <x:c r="E127" s="142"/>
      <x:c r="F127" s="142"/>
      <x:c r="G127" s="142"/>
      <x:c r="H127" s="142"/>
    </x:row>
    <x:row r="128" ht="39.599998474121094" hidden="0" customHeight="1">
      <x:c r="A128" s="142" t="str">
        <x:v>Additional business measures already defined in WIP</x:v>
      </x:c>
      <x:c r="B128" s="142"/>
      <x:c r="C128" s="142"/>
      <x:c r="D128" s="142"/>
      <x:c r="E128" s="142"/>
      <x:c r="F128" s="142"/>
      <x:c r="G128" s="142"/>
      <x:c r="H128" s="142"/>
    </x:row>
    <x:row r="129" ht="132" hidden="0" customHeight="1">
      <x:c r="A129" s="142" t="str">
        <x:v>New catalogue entries, not new calculations. Requirement associations are proposed for owner approval. Helper measures remain in the full model inventory.</x:v>
      </x:c>
      <x:c r="B129" s="142"/>
      <x:c r="C129" s="142"/>
      <x:c r="D129" s="142"/>
      <x:c r="E129" s="142"/>
      <x:c r="F129" s="142"/>
      <x:c r="G129" s="142"/>
      <x:c r="H129" s="142"/>
    </x:row>
    <x:row r="130" ht="14.5" hidden="0" customHeight="1">
      <x:c r="A130" s="19" t="str">
        <x:v>Gold KPI ID</x:v>
      </x:c>
      <x:c r="B130" s="19" t="str">
        <x:v>Business area</x:v>
      </x:c>
      <x:c r="C130" s="19" t="str">
        <x:v>DAX measure</x:v>
      </x:c>
      <x:c r="D130" s="19" t="str">
        <x:v>Catalogue change</x:v>
      </x:c>
      <x:c r="E130" s="19" t="str">
        <x:v>Requirement IDs</x:v>
      </x:c>
      <x:c r="F130" s="19" t="str">
        <x:v>WIP source tables</x:v>
      </x:c>
      <x:c r="G130" s="19" t="str">
        <x:v>Implementation status</x:v>
      </x:c>
      <x:c r="H130" s="19" t="str">
        <x:v>Business value / limitation</x:v>
      </x:c>
    </x:row>
    <x:row r="131" ht="14.5" hidden="0" customHeight="1">
      <x:c r="A131" s="38" t="str">
        <x:v>GOLD-KPI-110</x:v>
      </x:c>
      <x:c r="B131" s="39" t="str">
        <x:v>Demographics</x:v>
      </x:c>
      <x:c r="C131" s="39" t="str">
        <x:v>Male Referrals</x:v>
      </x:c>
      <x:c r="D131" s="39" t="str">
        <x:v>WIP addition</x:v>
      </x:c>
      <x:c r="E131" s="39" t="str">
        <x:v>R51 (proposed)</x:v>
      </x:c>
      <x:c r="F131" s="39" t="str">
        <x:v>dim_person; fact_referral</x:v>
      </x:c>
      <x:c r="G131" s="39" t="str">
        <x:v>Built; UAT pending</x:v>
      </x:c>
      <x:c r="H131" s="40" t="str">
        <x:v>Gender-based referral analysis; reconcile unknowns and validate access controls.</x:v>
      </x:c>
    </x:row>
    <x:row r="132" ht="14.5" hidden="0" customHeight="1">
      <x:c r="A132" s="38" t="str">
        <x:v>GOLD-KPI-111</x:v>
      </x:c>
      <x:c r="B132" s="39" t="str">
        <x:v>Demographics</x:v>
      </x:c>
      <x:c r="C132" s="39" t="str">
        <x:v>Female Referrals</x:v>
      </x:c>
      <x:c r="D132" s="39" t="str">
        <x:v>WIP addition</x:v>
      </x:c>
      <x:c r="E132" s="39" t="str">
        <x:v>R51 (proposed)</x:v>
      </x:c>
      <x:c r="F132" s="39" t="str">
        <x:v>dim_person; fact_referral</x:v>
      </x:c>
      <x:c r="G132" s="39" t="str">
        <x:v>Built; UAT pending</x:v>
      </x:c>
      <x:c r="H132" s="40" t="str">
        <x:v>Gender-based referral analysis; reconcile unknowns and validate access controls.</x:v>
      </x:c>
    </x:row>
    <x:row r="133" ht="14.5" hidden="0" customHeight="1">
      <x:c r="A133" s="38" t="str">
        <x:v>GOLD-KPI-112</x:v>
      </x:c>
      <x:c r="B133" s="39" t="str">
        <x:v>Demographics</x:v>
      </x:c>
      <x:c r="C133" s="39" t="str">
        <x:v>Other Gender Referrals</x:v>
      </x:c>
      <x:c r="D133" s="39" t="str">
        <x:v>WIP addition</x:v>
      </x:c>
      <x:c r="E133" s="39" t="str">
        <x:v>R51 (proposed)</x:v>
      </x:c>
      <x:c r="F133" s="39" t="str">
        <x:v>dim_person; fact_referral</x:v>
      </x:c>
      <x:c r="G133" s="39" t="str">
        <x:v>Built; UAT pending</x:v>
      </x:c>
      <x:c r="H133" s="40" t="str">
        <x:v>Gender-based referral analysis; reconcile unknowns and validate access controls.</x:v>
      </x:c>
    </x:row>
    <x:row r="134" ht="14.5" hidden="0" customHeight="1">
      <x:c r="A134" s="38" t="str">
        <x:v>GOLD-KPI-113</x:v>
      </x:c>
      <x:c r="B134" s="39" t="str">
        <x:v>Demographics</x:v>
      </x:c>
      <x:c r="C134" s="39" t="str">
        <x:v>Total Gendered Referrals</x:v>
      </x:c>
      <x:c r="D134" s="39" t="str">
        <x:v>WIP addition</x:v>
      </x:c>
      <x:c r="E134" s="39" t="str">
        <x:v>R51 (proposed)</x:v>
      </x:c>
      <x:c r="F134" s="39" t="str">
        <x:v>dim_person; fact_referral</x:v>
      </x:c>
      <x:c r="G134" s="39" t="str">
        <x:v>Built; UAT pending</x:v>
      </x:c>
      <x:c r="H134" s="40" t="str">
        <x:v>Gender-based referral analysis; reconcile unknowns and validate access controls.</x:v>
      </x:c>
    </x:row>
    <x:row r="135" ht="26.399999618530273" hidden="0" customHeight="1">
      <x:c r="A135" s="38" t="str">
        <x:v>GOLD-KPI-114</x:v>
      </x:c>
      <x:c r="B135" s="39" t="str">
        <x:v>IPA signatures</x:v>
      </x:c>
      <x:c r="C135" s="39" t="str">
        <x:v>IPA Completed</x:v>
      </x:c>
      <x:c r="D135" s="39" t="str">
        <x:v>WIP addition</x:v>
      </x:c>
      <x:c r="E135" s="39" t="str">
        <x:v>R15, R35, R62 (proposed)</x:v>
      </x:c>
      <x:c r="F135" s="39" t="str">
        <x:v>fact_ipa</x:v>
      </x:c>
      <x:c r="G135" s="39" t="str">
        <x:v>Built; UAT pending</x:v>
      </x:c>
      <x:c r="H135" s="40" t="str">
        <x:v>IPA-grain completion/signing backlog; completed includes closed signed records; pending excludes closed unsigned records.</x:v>
      </x:c>
    </x:row>
    <x:row r="136" ht="26.399999618530273" hidden="0" customHeight="1">
      <x:c r="A136" s="38" t="str">
        <x:v>GOLD-KPI-115</x:v>
      </x:c>
      <x:c r="B136" s="39" t="str">
        <x:v>IPA signatures</x:v>
      </x:c>
      <x:c r="C136" s="39" t="str">
        <x:v>IPAs Pending Completion</x:v>
      </x:c>
      <x:c r="D136" s="39" t="str">
        <x:v>WIP addition</x:v>
      </x:c>
      <x:c r="E136" s="39" t="str">
        <x:v>R15, R35, R62 (proposed)</x:v>
      </x:c>
      <x:c r="F136" s="39" t="str">
        <x:v>fact_ipa</x:v>
      </x:c>
      <x:c r="G136" s="39" t="str">
        <x:v>Built; UAT pending</x:v>
      </x:c>
      <x:c r="H136" s="40" t="str">
        <x:v>IPA-grain completion/signing backlog; completed includes closed signed records; pending excludes closed unsigned records.</x:v>
      </x:c>
    </x:row>
    <x:row r="137" ht="26.399999618530273" hidden="0" customHeight="1">
      <x:c r="A137" s="38" t="str">
        <x:v>GOLD-KPI-116</x:v>
      </x:c>
      <x:c r="B137" s="39" t="str">
        <x:v>IPA signatures</x:v>
      </x:c>
      <x:c r="C137" s="39" t="str">
        <x:v>IPAs Signed by Provider</x:v>
      </x:c>
      <x:c r="D137" s="39" t="str">
        <x:v>WIP addition</x:v>
      </x:c>
      <x:c r="E137" s="39" t="str">
        <x:v>R15, R35, R62 (proposed)</x:v>
      </x:c>
      <x:c r="F137" s="39" t="str">
        <x:v>fact_ipa</x:v>
      </x:c>
      <x:c r="G137" s="39" t="str">
        <x:v>Built; UAT pending</x:v>
      </x:c>
      <x:c r="H137" s="40" t="str">
        <x:v>IPA-grain completion/signing backlog; completed includes closed signed records; pending excludes closed unsigned records.</x:v>
      </x:c>
    </x:row>
    <x:row r="138" ht="26.399999618530273" hidden="0" customHeight="1">
      <x:c r="A138" s="38" t="str">
        <x:v>GOLD-KPI-117</x:v>
      </x:c>
      <x:c r="B138" s="39" t="str">
        <x:v>IPA signatures</x:v>
      </x:c>
      <x:c r="C138" s="39" t="str">
        <x:v>IPAs Signed by Local Authority</x:v>
      </x:c>
      <x:c r="D138" s="39" t="str">
        <x:v>WIP addition</x:v>
      </x:c>
      <x:c r="E138" s="39" t="str">
        <x:v>R15, R35, R62 (proposed)</x:v>
      </x:c>
      <x:c r="F138" s="39" t="str">
        <x:v>fact_ipa</x:v>
      </x:c>
      <x:c r="G138" s="39" t="str">
        <x:v>Built; UAT pending</x:v>
      </x:c>
      <x:c r="H138" s="40" t="str">
        <x:v>IPA-grain completion/signing backlog; completed includes closed signed records; pending excludes closed unsigned records.</x:v>
      </x:c>
    </x:row>
    <x:row r="139" ht="14.5" hidden="0" customHeight="1">
      <x:c r="A139" s="38" t="str">
        <x:v>GOLD-KPI-118</x:v>
      </x:c>
      <x:c r="B139" s="39" t="str">
        <x:v>Snapshot trend</x:v>
      </x:c>
      <x:c r="C139" s="39" t="str">
        <x:v>Snapshot referrals previous month</x:v>
      </x:c>
      <x:c r="D139" s="39" t="str">
        <x:v>WIP addition</x:v>
      </x:c>
      <x:c r="E139" s="39" t="str">
        <x:v>R24, R51, R52 (proposed)</x:v>
      </x:c>
      <x:c r="F139" s="39" t="str">
        <x:v>dim_snapshot_month; fact_referral_snapshot</x:v>
      </x:c>
      <x:c r="G139" s="39" t="str">
        <x:v>Built; UAT pending</x:v>
      </x:c>
      <x:c r="H139" s="40" t="str">
        <x:v>Compare retained month-end state with the prior calendar month; missing prior data remains blank.</x:v>
      </x:c>
    </x:row>
    <x:row r="140" ht="14.5" hidden="0" customHeight="1">
      <x:c r="A140" s="38" t="str">
        <x:v>GOLD-KPI-119</x:v>
      </x:c>
      <x:c r="B140" s="39" t="str">
        <x:v>Snapshot trend</x:v>
      </x:c>
      <x:c r="C140" s="39" t="str">
        <x:v>Snapshot referrals MoM change</x:v>
      </x:c>
      <x:c r="D140" s="39" t="str">
        <x:v>WIP addition</x:v>
      </x:c>
      <x:c r="E140" s="39" t="str">
        <x:v>R24, R51, R52 (proposed)</x:v>
      </x:c>
      <x:c r="F140" s="39" t="str">
        <x:v>dim_snapshot_month; fact_referral_snapshot</x:v>
      </x:c>
      <x:c r="G140" s="39" t="str">
        <x:v>Built; UAT pending</x:v>
      </x:c>
      <x:c r="H140" s="40" t="str">
        <x:v>Compare retained month-end state with the prior calendar month; missing prior data remains blank.</x:v>
      </x:c>
    </x:row>
    <x:row r="141" ht="14.5" hidden="0" customHeight="1">
      <x:c r="A141" s="38" t="str">
        <x:v>GOLD-KPI-120</x:v>
      </x:c>
      <x:c r="B141" s="39" t="str">
        <x:v>Snapshot trend</x:v>
      </x:c>
      <x:c r="C141" s="39" t="str">
        <x:v>Snapshot referrals MoM percent</x:v>
      </x:c>
      <x:c r="D141" s="39" t="str">
        <x:v>WIP addition</x:v>
      </x:c>
      <x:c r="E141" s="39" t="str">
        <x:v>R24, R51, R52 (proposed)</x:v>
      </x:c>
      <x:c r="F141" s="39" t="str">
        <x:v>dim_snapshot_month; fact_referral_snapshot</x:v>
      </x:c>
      <x:c r="G141" s="39" t="str">
        <x:v>Built; UAT pending</x:v>
      </x:c>
      <x:c r="H141" s="40" t="str">
        <x:v>Compare retained month-end state with the prior calendar month; missing prior data remains blank.</x:v>
      </x:c>
    </x:row>
    <x:row r="142" ht="26.399999618530273" hidden="0" customHeight="1">
      <x:c r="A142" s="38" t="str">
        <x:v>GOLD-KPI-121</x:v>
      </x:c>
      <x:c r="B142" s="39" t="str">
        <x:v>Closure flow</x:v>
      </x:c>
      <x:c r="C142" s="39" t="str">
        <x:v>Referrals closed during month</x:v>
      </x:c>
      <x:c r="D142" s="39" t="str">
        <x:v>WIP addition</x:v>
      </x:c>
      <x:c r="E142" s="39" t="str">
        <x:v>R24, R51 (proposed)</x:v>
      </x:c>
      <x:c r="F142" s="39" t="str">
        <x:v>dim_date; fact_referral</x:v>
      </x:c>
      <x:c r="G142" s="39" t="str">
        <x:v>Built; UAT pending</x:v>
      </x:c>
      <x:c r="H142" s="40" t="str">
        <x:v>Distinct referrals by closure date in month; a flow measure, not closed state at snapshot. Closure date is derived.</x:v>
      </x:c>
    </x:row>
    <x:row r="143" ht="26.399999618530273" hidden="0" customHeight="1">
      <x:c r="A143" s="38" t="str">
        <x:v>GOLD-KPI-122</x:v>
      </x:c>
      <x:c r="B143" s="39" t="str">
        <x:v>Referral exploration</x:v>
      </x:c>
      <x:c r="C143" s="39" t="str">
        <x:v>Matching referrals</x:v>
      </x:c>
      <x:c r="D143" s="39" t="str">
        <x:v>WIP addition</x:v>
      </x:c>
      <x:c r="E143" s="39" t="str">
        <x:v>R13, R24, R25 (proposed)</x:v>
      </x:c>
      <x:c r="F143" s="39" t="str">
        <x:v>Referral Category; bridge_referral_framework_category; fact_offer; fact_referral</x:v>
      </x:c>
      <x:c r="G143" s="39" t="str">
        <x:v>Built; UAT pending</x:v>
      </x:c>
      <x:c r="H143" s="40" t="str">
        <x:v>Distinct referrals after category and matching-offer filters; category totals are not additive.</x:v>
      </x:c>
    </x:row>
    <x:row r="144" ht="26.399999618530273" hidden="0" customHeight="1">
      <x:c r="A144" s="38" t="str">
        <x:v>GOLD-KPI-123</x:v>
      </x:c>
      <x:c r="B144" s="39" t="str">
        <x:v>Referral journey</x:v>
      </x:c>
      <x:c r="C144" s="39" t="str">
        <x:v>Journey referrals 1</x:v>
      </x:c>
      <x:c r="D144" s="39" t="str">
        <x:v>WIP addition</x:v>
      </x:c>
      <x:c r="E144" s="39" t="str">
        <x:v>R24, R25, R35, R51 (proposed)</x:v>
      </x:c>
      <x:c r="F144" s="39" t="str">
        <x:v>Referral Category; bridge_referral_framework_category; fact_offer; fact_referral</x:v>
      </x:c>
      <x:c r="G144" s="39" t="str">
        <x:v>Built; UAT pending</x:v>
      </x:c>
      <x:c r="H144" s="40" t="str">
        <x:v>Referral created. One current stage per referral at refresh. Closed status overrides milestones; counts are not historic funnel conversion.</x:v>
      </x:c>
    </x:row>
    <x:row r="145" ht="26.399999618530273" hidden="0" customHeight="1">
      <x:c r="A145" s="38" t="str">
        <x:v>GOLD-KPI-124</x:v>
      </x:c>
      <x:c r="B145" s="39" t="str">
        <x:v>Referral journey</x:v>
      </x:c>
      <x:c r="C145" s="39" t="str">
        <x:v>Journey referrals 2</x:v>
      </x:c>
      <x:c r="D145" s="39" t="str">
        <x:v>WIP addition</x:v>
      </x:c>
      <x:c r="E145" s="39" t="str">
        <x:v>R24, R25, R35, R51 (proposed)</x:v>
      </x:c>
      <x:c r="F145" s="39" t="str">
        <x:v>Referral Category; bridge_referral_framework_category; fact_offer; fact_referral</x:v>
      </x:c>
      <x:c r="G145" s="39" t="str">
        <x:v>Built; UAT pending</x:v>
      </x:c>
      <x:c r="H145" s="40" t="str">
        <x:v>Provider search. One current stage per referral at refresh. Closed status overrides milestones; counts are not historic funnel conversion.</x:v>
      </x:c>
    </x:row>
    <x:row r="146" ht="26.399999618530273" hidden="0" customHeight="1">
      <x:c r="A146" s="38" t="str">
        <x:v>GOLD-KPI-125</x:v>
      </x:c>
      <x:c r="B146" s="39" t="str">
        <x:v>Referral journey</x:v>
      </x:c>
      <x:c r="C146" s="39" t="str">
        <x:v>Journey referrals 3</x:v>
      </x:c>
      <x:c r="D146" s="39" t="str">
        <x:v>WIP addition</x:v>
      </x:c>
      <x:c r="E146" s="39" t="str">
        <x:v>R24, R25, R35, R51 (proposed)</x:v>
      </x:c>
      <x:c r="F146" s="39" t="str">
        <x:v>Referral Category; bridge_referral_framework_category; fact_offer; fact_referral</x:v>
      </x:c>
      <x:c r="G146" s="39" t="str">
        <x:v>Built; UAT pending</x:v>
      </x:c>
      <x:c r="H146" s="40" t="str">
        <x:v>Offers received. One current stage per referral at refresh. Closed status overrides milestones; counts are not historic funnel conversion.</x:v>
      </x:c>
    </x:row>
    <x:row r="147" ht="26.399999618530273" hidden="0" customHeight="1">
      <x:c r="A147" s="38" t="str">
        <x:v>GOLD-KPI-126</x:v>
      </x:c>
      <x:c r="B147" s="39" t="str">
        <x:v>Referral journey</x:v>
      </x:c>
      <x:c r="C147" s="39" t="str">
        <x:v>Journey referrals 4</x:v>
      </x:c>
      <x:c r="D147" s="39" t="str">
        <x:v>WIP addition</x:v>
      </x:c>
      <x:c r="E147" s="39" t="str">
        <x:v>R24, R25, R35, R51 (proposed)</x:v>
      </x:c>
      <x:c r="F147" s="39" t="str">
        <x:v>Referral Category; bridge_referral_framework_category; fact_offer; fact_referral</x:v>
      </x:c>
      <x:c r="G147" s="39" t="str">
        <x:v>Built; UAT pending</x:v>
      </x:c>
      <x:c r="H147" s="40" t="str">
        <x:v>Offer accepted. One current stage per referral at refresh. Closed status overrides milestones; counts are not historic funnel conversion.</x:v>
      </x:c>
    </x:row>
    <x:row r="148" ht="26.399999618530273" hidden="0" customHeight="1">
      <x:c r="A148" s="38" t="str">
        <x:v>GOLD-KPI-127</x:v>
      </x:c>
      <x:c r="B148" s="39" t="str">
        <x:v>Referral journey</x:v>
      </x:c>
      <x:c r="C148" s="39" t="str">
        <x:v>Journey referrals 5</x:v>
      </x:c>
      <x:c r="D148" s="39" t="str">
        <x:v>WIP addition</x:v>
      </x:c>
      <x:c r="E148" s="39" t="str">
        <x:v>R24, R25, R35, R51 (proposed)</x:v>
      </x:c>
      <x:c r="F148" s="39" t="str">
        <x:v>Referral Category; bridge_referral_framework_category; fact_offer; fact_referral</x:v>
      </x:c>
      <x:c r="G148" s="39" t="str">
        <x:v>Built; UAT pending</x:v>
      </x:c>
      <x:c r="H148" s="40" t="str">
        <x:v>IPA created. One current stage per referral at refresh. Closed status overrides milestones; counts are not historic funnel conversion.</x:v>
      </x:c>
    </x:row>
    <x:row r="149" ht="26.399999618530273" hidden="0" customHeight="1">
      <x:c r="A149" s="38" t="str">
        <x:v>GOLD-KPI-128</x:v>
      </x:c>
      <x:c r="B149" s="39" t="str">
        <x:v>Referral journey</x:v>
      </x:c>
      <x:c r="C149" s="39" t="str">
        <x:v>Journey referrals 6</x:v>
      </x:c>
      <x:c r="D149" s="39" t="str">
        <x:v>WIP addition</x:v>
      </x:c>
      <x:c r="E149" s="39" t="str">
        <x:v>R24, R25, R35, R51 (proposed)</x:v>
      </x:c>
      <x:c r="F149" s="39" t="str">
        <x:v>Referral Category; bridge_referral_framework_category; fact_offer; fact_referral</x:v>
      </x:c>
      <x:c r="G149" s="39" t="str">
        <x:v>Built; UAT pending</x:v>
      </x:c>
      <x:c r="H149" s="40" t="str">
        <x:v>IPA signed. One current stage per referral at refresh. Closed status overrides milestones; counts are not historic funnel conversion.</x:v>
      </x:c>
    </x:row>
    <x:row r="150" ht="26.399999618530273" hidden="0" customHeight="1">
      <x:c r="A150" s="38" t="str">
        <x:v>GOLD-KPI-129</x:v>
      </x:c>
      <x:c r="B150" s="39" t="str">
        <x:v>Referral journey</x:v>
      </x:c>
      <x:c r="C150" s="39" t="str">
        <x:v>Journey referrals 7</x:v>
      </x:c>
      <x:c r="D150" s="39" t="str">
        <x:v>WIP addition</x:v>
      </x:c>
      <x:c r="E150" s="39" t="str">
        <x:v>R24, R25, R35, R51 (proposed)</x:v>
      </x:c>
      <x:c r="F150" s="39" t="str">
        <x:v>Referral Category; bridge_referral_framework_category; fact_offer; fact_referral</x:v>
      </x:c>
      <x:c r="G150" s="39" t="str">
        <x:v>Built; UAT pending</x:v>
      </x:c>
      <x:c r="H150" s="40" t="str">
        <x:v>Closed / cancelled / withdrawn. One current stage per referral at refresh. Closed status overrides milestones; counts are not historic funnel conversion.</x:v>
      </x:c>
    </x:row>
    <x:row r="151" ht="26.399999618530273" hidden="0" customHeight="1">
      <x:c r="A151" s="38" t="str">
        <x:v>GOLD-KPI-130</x:v>
      </x:c>
      <x:c r="B151" s="39" t="str">
        <x:v>Referral journey</x:v>
      </x:c>
      <x:c r="C151" s="39" t="str">
        <x:v>Journey referrals 8</x:v>
      </x:c>
      <x:c r="D151" s="39" t="str">
        <x:v>WIP addition</x:v>
      </x:c>
      <x:c r="E151" s="39" t="str">
        <x:v>R24, R25, R35, R51 (proposed)</x:v>
      </x:c>
      <x:c r="F151" s="39" t="str">
        <x:v>Referral Category; bridge_referral_framework_category; fact_offer; fact_referral</x:v>
      </x:c>
      <x:c r="G151" s="39" t="str">
        <x:v>Built; UAT pending</x:v>
      </x:c>
      <x:c r="H151" s="40" t="str">
        <x:v>Needs review. One current stage per referral at refresh. Closed status overrides milestones; counts are not historic funnel conversion.</x:v>
      </x:c>
    </x:row>
    <x:row r="152" ht="26.399999618530273" hidden="0" customHeight="1">
      <x:c r="A152" s="38" t="str">
        <x:v>GOLD-KPI-131</x:v>
      </x:c>
      <x:c r="B152" s="39" t="str">
        <x:v>Provider journey</x:v>
      </x:c>
      <x:c r="C152" s="39" t="str">
        <x:v>Journey providers 0</x:v>
      </x:c>
      <x:c r="D152" s="39" t="str">
        <x:v>WIP addition</x:v>
      </x:c>
      <x:c r="E152" s="39" t="str">
        <x:v>R24, R26, R28, R35 (proposed)</x:v>
      </x:c>
      <x:c r="F152" s="39" t="str">
        <x:v>dim_provider; dim_provider_home; fact_ipa; fact_offer</x:v>
      </x:c>
      <x:c r="G152" s="39" t="str">
        <x:v>Built; UAT pending</x:v>
      </x:c>
      <x:c r="H152" s="40" t="str">
        <x:v>Assigned / draft / unclear. Distinct provider at furthest evidenced stage in current cohort; not additive offer counts. No browsing evidence.</x:v>
      </x:c>
    </x:row>
    <x:row r="153" ht="26.399999618530273" hidden="0" customHeight="1">
      <x:c r="A153" s="38" t="str">
        <x:v>GOLD-KPI-132</x:v>
      </x:c>
      <x:c r="B153" s="39" t="str">
        <x:v>Provider journey</x:v>
      </x:c>
      <x:c r="C153" s="39" t="str">
        <x:v>Journey providers 1</x:v>
      </x:c>
      <x:c r="D153" s="39" t="str">
        <x:v>WIP addition</x:v>
      </x:c>
      <x:c r="E153" s="39" t="str">
        <x:v>R24, R26, R28, R35 (proposed)</x:v>
      </x:c>
      <x:c r="F153" s="39" t="str">
        <x:v>dim_provider; dim_provider_home; fact_ipa; fact_offer</x:v>
      </x:c>
      <x:c r="G153" s="39" t="str">
        <x:v>Built; UAT pending</x:v>
      </x:c>
      <x:c r="H153" s="40" t="str">
        <x:v>Message activity only. Distinct provider at furthest evidenced stage in current cohort; not additive offer counts. No browsing evidence.</x:v>
      </x:c>
    </x:row>
    <x:row r="154" ht="26.399999618530273" hidden="0" customHeight="1">
      <x:c r="A154" s="38" t="str">
        <x:v>GOLD-KPI-133</x:v>
      </x:c>
      <x:c r="B154" s="39" t="str">
        <x:v>Provider journey</x:v>
      </x:c>
      <x:c r="C154" s="39" t="str">
        <x:v>Journey providers 2</x:v>
      </x:c>
      <x:c r="D154" s="39" t="str">
        <x:v>WIP addition</x:v>
      </x:c>
      <x:c r="E154" s="39" t="str">
        <x:v>R24, R26, R28, R35 (proposed)</x:v>
      </x:c>
      <x:c r="F154" s="39" t="str">
        <x:v>dim_provider; dim_provider_home; fact_ipa; fact_offer</x:v>
      </x:c>
      <x:c r="G154" s="39" t="str">
        <x:v>Built; UAT pending</x:v>
      </x:c>
      <x:c r="H154" s="40" t="str">
        <x:v>Offers made. Distinct provider at furthest evidenced stage in current cohort; not additive offer counts. No browsing evidence.</x:v>
      </x:c>
    </x:row>
    <x:row r="155" ht="26.399999618530273" hidden="0" customHeight="1">
      <x:c r="A155" s="38" t="str">
        <x:v>GOLD-KPI-134</x:v>
      </x:c>
      <x:c r="B155" s="39" t="str">
        <x:v>Provider journey</x:v>
      </x:c>
      <x:c r="C155" s="39" t="str">
        <x:v>Journey providers 3</x:v>
      </x:c>
      <x:c r="D155" s="39" t="str">
        <x:v>WIP addition</x:v>
      </x:c>
      <x:c r="E155" s="39" t="str">
        <x:v>R24, R26, R28, R35 (proposed)</x:v>
      </x:c>
      <x:c r="F155" s="39" t="str">
        <x:v>dim_provider; dim_provider_home; fact_ipa; fact_offer</x:v>
      </x:c>
      <x:c r="G155" s="39" t="str">
        <x:v>Built; UAT pending</x:v>
      </x:c>
      <x:c r="H155" s="40" t="str">
        <x:v>Offer accepted. Distinct provider at furthest evidenced stage in current cohort; not additive offer counts. No browsing evidence.</x:v>
      </x:c>
    </x:row>
    <x:row r="156" ht="26.399999618530273" hidden="0" customHeight="1">
      <x:c r="A156" s="38" t="str">
        <x:v>GOLD-KPI-135</x:v>
      </x:c>
      <x:c r="B156" s="39" t="str">
        <x:v>Provider journey</x:v>
      </x:c>
      <x:c r="C156" s="39" t="str">
        <x:v>Journey providers 5</x:v>
      </x:c>
      <x:c r="D156" s="39" t="str">
        <x:v>WIP addition</x:v>
      </x:c>
      <x:c r="E156" s="39" t="str">
        <x:v>R24, R26, R28, R35 (proposed)</x:v>
      </x:c>
      <x:c r="F156" s="39" t="str">
        <x:v>dim_provider; dim_provider_home; fact_ipa; fact_offer</x:v>
      </x:c>
      <x:c r="G156" s="39" t="str">
        <x:v>Built; UAT pending</x:v>
      </x:c>
      <x:c r="H156" s="40" t="str">
        <x:v>Provider signed. Distinct provider at furthest evidenced stage in current cohort; not additive offer counts. No browsing evidence.</x:v>
      </x:c>
    </x:row>
    <x:row r="157" ht="14.5" hidden="0" customHeight="1">
      <x:c r="A157" s="38" t="str">
        <x:v>GOLD-KPI-136</x:v>
      </x:c>
      <x:c r="B157" s="39" t="str">
        <x:v>Provider journey</x:v>
      </x:c>
      <x:c r="C157" s="39" t="str">
        <x:v>Journey providers both signed</x:v>
      </x:c>
      <x:c r="D157" s="39" t="str">
        <x:v>WIP addition</x:v>
      </x:c>
      <x:c r="E157" s="39" t="str">
        <x:v>R35, R62 (proposed)</x:v>
      </x:c>
      <x:c r="F157" s="39" t="str">
        <x:v>dim_provider; fact_ipa; fact_offer</x:v>
      </x:c>
      <x:c r="G157" s="39" t="str">
        <x:v>Built; UAT pending</x:v>
      </x:c>
      <x:c r="H157" s="40" t="str">
        <x:v>Providers with both-signed IPA evidence; subset of provider-signed, not a further stage.</x:v>
      </x:c>
    </x:row>
    <x:row r="158" ht="26.399999618530273" hidden="0" customHeight="1">
      <x:c r="A158" s="38" t="str">
        <x:v>GOLD-KPI-137</x:v>
      </x:c>
      <x:c r="B158" s="39" t="str">
        <x:v>Provider performance</x:v>
      </x:c>
      <x:c r="C158" s="39" t="str">
        <x:v>Provider Response Rate</x:v>
      </x:c>
      <x:c r="D158" s="39" t="str">
        <x:v>WIP addition</x:v>
      </x:c>
      <x:c r="E158" s="39" t="str">
        <x:v>R26, R51 (proposed)</x:v>
      </x:c>
      <x:c r="F158" s="39" t="str">
        <x:v>fact_provider_kpi_monthly</x:v>
      </x:c>
      <x:c r="G158" s="39" t="str">
        <x:v>Built; UAT pending</x:v>
      </x:c>
      <x:c r="H158" s="40" t="str">
        <x:v>Assignment-cohort component based on qualifying offers/reasons. Not a message SLA, composite score or suitability rating.</x:v>
      </x:c>
    </x:row>
    <x:row r="159" ht="26.399999618530273" hidden="0" customHeight="1">
      <x:c r="A159" s="38" t="str">
        <x:v>GOLD-KPI-138</x:v>
      </x:c>
      <x:c r="B159" s="39" t="str">
        <x:v>Provider performance</x:v>
      </x:c>
      <x:c r="C159" s="39" t="str">
        <x:v>Provider Average Response Hours</x:v>
      </x:c>
      <x:c r="D159" s="39" t="str">
        <x:v>WIP addition</x:v>
      </x:c>
      <x:c r="E159" s="39" t="str">
        <x:v>R26, R51 (proposed)</x:v>
      </x:c>
      <x:c r="F159" s="39" t="str">
        <x:v>fact_provider_kpi_monthly</x:v>
      </x:c>
      <x:c r="G159" s="39" t="str">
        <x:v>Built; UAT pending</x:v>
      </x:c>
      <x:c r="H159" s="40" t="str">
        <x:v>Assignment-cohort component based on qualifying offers/reasons. Not a message SLA, composite score or suitability rating.</x:v>
      </x:c>
    </x:row>
    <x:row r="160" ht="26.399999618530273" hidden="0" customHeight="1">
      <x:c r="A160" s="38" t="str">
        <x:v>GOLD-KPI-139</x:v>
      </x:c>
      <x:c r="B160" s="39" t="str">
        <x:v>Provider performance</x:v>
      </x:c>
      <x:c r="C160" s="39" t="str">
        <x:v>Provider Offer Conversion Rate</x:v>
      </x:c>
      <x:c r="D160" s="39" t="str">
        <x:v>WIP addition</x:v>
      </x:c>
      <x:c r="E160" s="39" t="str">
        <x:v>R26, R51 (proposed)</x:v>
      </x:c>
      <x:c r="F160" s="39" t="str">
        <x:v>fact_provider_kpi_monthly</x:v>
      </x:c>
      <x:c r="G160" s="39" t="str">
        <x:v>Built; UAT pending</x:v>
      </x:c>
      <x:c r="H160" s="40" t="str">
        <x:v>Assignment-cohort component based on qualifying offers/reasons. Not a message SLA, composite score or suitability rating.</x:v>
      </x:c>
    </x:row>
    <x:row r="161" ht="26.399999618530273" hidden="0" customHeight="1">
      <x:c r="A161" s="38" t="str">
        <x:v>GOLD-KPI-140</x:v>
      </x:c>
      <x:c r="B161" s="39" t="str">
        <x:v>Provider performance</x:v>
      </x:c>
      <x:c r="C161" s="39" t="str">
        <x:v>Provider Target Placement Rate</x:v>
      </x:c>
      <x:c r="D161" s="39" t="str">
        <x:v>WIP addition</x:v>
      </x:c>
      <x:c r="E161" s="39" t="str">
        <x:v>R26, R51 (proposed)</x:v>
      </x:c>
      <x:c r="F161" s="39" t="str">
        <x:v>fact_provider_kpi_monthly</x:v>
      </x:c>
      <x:c r="G161" s="39" t="str">
        <x:v>Built; UAT pending</x:v>
      </x:c>
      <x:c r="H161" s="40" t="str">
        <x:v>Assignment-cohort component based on qualifying offers/reasons. Not a message SLA, composite score or suitability rating.</x:v>
      </x:c>
    </x:row>
    <x:row r="162" ht="14.5" hidden="0" customHeight="1">
      <x:c r="A162" s="38" t="str">
        <x:v>GOLD-KPI-141</x:v>
      </x:c>
      <x:c r="B162" s="39" t="str">
        <x:v>Location coverage</x:v>
      </x:c>
      <x:c r="C162" s="39" t="str">
        <x:v>Preferred-city distance coverage</x:v>
      </x:c>
      <x:c r="D162" s="39" t="str">
        <x:v>WIP addition</x:v>
      </x:c>
      <x:c r="E162" s="39" t="str">
        <x:v>R13, R51 (proposed)</x:v>
      </x:c>
      <x:c r="F162" s="39" t="str">
        <x:v>fact_offer</x:v>
      </x:c>
      <x:c r="G162" s="39" t="str">
        <x:v>Built; UAT pending</x:v>
      </x:c>
      <x:c r="H162" s="40" t="str">
        <x:v>Share of offers with preference-city distance evidence. Missing coordinates are not zero distance.</x:v>
      </x:c>
    </x:row>
    <x:row r="163" ht="26.399999618530273" hidden="0" customHeight="1">
      <x:c r="A163" s="38" t="str">
        <x:v>GOLD-KPI-142</x:v>
      </x:c>
      <x:c r="B163" s="39" t="str">
        <x:v>Location distance</x:v>
      </x:c>
      <x:c r="C163" s="39" t="str">
        <x:v>Median preferred-city distance km</x:v>
      </x:c>
      <x:c r="D163" s="39" t="str">
        <x:v>WIP addition</x:v>
      </x:c>
      <x:c r="E163" s="39" t="str">
        <x:v>R13, R51 (proposed)</x:v>
      </x:c>
      <x:c r="F163" s="39" t="str">
        <x:v>fact_offer</x:v>
      </x:c>
      <x:c r="G163" s="39" t="str">
        <x:v>Built; UAT pending</x:v>
      </x:c>
      <x:c r="H163" s="40" t="str">
        <x:v>City-centroid to postcode straight-line estimate, not child-address or road distance; approved coordinates required.</x:v>
      </x:c>
    </x:row>
    <x:row r="164" ht="14.5" hidden="0" customHeight="1">
      <x:c r="A164" s="38" t="str">
        <x:v>GOLD-KPI-143</x:v>
      </x:c>
      <x:c r="B164" s="39" t="str">
        <x:v>Placement supply</x:v>
      </x:c>
      <x:c r="C164" s="39" t="str">
        <x:v>Homes Offered</x:v>
      </x:c>
      <x:c r="D164" s="39" t="str">
        <x:v>WIP addition</x:v>
      </x:c>
      <x:c r="E164" s="39" t="str">
        <x:v>R26, R51, R93 (proposed)</x:v>
      </x:c>
      <x:c r="F164" s="39" t="str">
        <x:v>fact_offer</x:v>
      </x:c>
      <x:c r="G164" s="39" t="str">
        <x:v>Built; UAT pending</x:v>
      </x:c>
      <x:c r="H164" s="40" t="str">
        <x:v>Distinct offered homes in current context; not spare capacity or available beds.</x:v>
      </x:c>
    </x:row>
    <x:row r="165" ht="14.5" hidden="0" customHeight="1">
      <x:c r="A165" s="38" t="str">
        <x:v>GOLD-KPI-144</x:v>
      </x:c>
      <x:c r="B165" s="39" t="str">
        <x:v>Urgency</x:v>
      </x:c>
      <x:c r="C165" s="39" t="str">
        <x:v>Critical Overdue Referrals</x:v>
      </x:c>
      <x:c r="D165" s="39" t="str">
        <x:v>WIP addition</x:v>
      </x:c>
      <x:c r="E165" s="39" t="str">
        <x:v>R16, R24 (proposed)</x:v>
      </x:c>
      <x:c r="F165" s="39" t="str">
        <x:v>fact_referral</x:v>
      </x:c>
      <x:c r="G165" s="39" t="str">
        <x:v>Built; UAT pending</x:v>
      </x:c>
      <x:c r="H165" s="40" t="str">
        <x:v>Operational overdue/critical cohort; validate urgency rule with owner before escalation.</x:v>
      </x:c>
    </x:row>
    <x:row r="166" ht="14.5" hidden="0" customHeight="1">
      <x:c r="A166"/>
      <x:c r="B166"/>
      <x:c r="C166"/>
      <x:c r="D166"/>
      <x:c r="E166"/>
      <x:c r="F166"/>
      <x:c r="G166"/>
      <x:c r="H166"/>
    </x:row>
    <x:row r="167" ht="14.5" hidden="0" customHeight="1">
      <x:c r="A167"/>
      <x:c r="B167"/>
      <x:c r="C167"/>
      <x:c r="D167"/>
      <x:c r="E167"/>
      <x:c r="F167"/>
      <x:c r="G167"/>
      <x:c r="H167"/>
    </x:row>
    <x:row r="168" ht="14.5" hidden="0" customHeight="1">
      <x:c r="A168"/>
      <x:c r="B168"/>
      <x:c r="C168"/>
      <x:c r="D168"/>
      <x:c r="E168"/>
      <x:c r="F168"/>
      <x:c r="G168"/>
      <x:c r="H168"/>
    </x:row>
    <x:row r="169" ht="14.5" hidden="0" customHeight="1">
      <x:c r="A169"/>
      <x:c r="B169"/>
      <x:c r="C169"/>
      <x:c r="D169"/>
      <x:c r="E169"/>
      <x:c r="F169"/>
      <x:c r="G169"/>
      <x:c r="H169"/>
    </x:row>
    <x:row r="170"/>
    <x:row r="171"/>
    <x:row r="172" ht="14.5" hidden="0" customHeight="1">
      <x:c r="A172"/>
    </x:row>
    <x:row r="173" ht="26.399999618530273" hidden="0" customHeight="1">
      <x:c r="A173"/>
      <x:c r="B173"/>
      <x:c r="C173"/>
      <x:c r="D173"/>
      <x:c r="E173"/>
      <x:c r="F173"/>
      <x:c r="G173"/>
    </x:row>
    <x:row r="174" ht="52.79999923706055" hidden="0" customHeight="1">
      <x:c r="A174"/>
      <x:c r="B174"/>
      <x:c r="C174"/>
      <x:c r="D174"/>
      <x:c r="E174"/>
      <x:c r="F174"/>
      <x:c r="G174"/>
    </x:row>
    <x:row r="175" ht="66" hidden="0" customHeight="1">
      <x:c r="A175"/>
      <x:c r="B175"/>
      <x:c r="C175"/>
      <x:c r="D175"/>
      <x:c r="E175"/>
      <x:c r="F175"/>
      <x:c r="G175"/>
    </x:row>
    <x:row r="176" ht="52.79999923706055" hidden="0" customHeight="1">
      <x:c r="A176"/>
      <x:c r="B176"/>
      <x:c r="C176"/>
      <x:c r="D176"/>
      <x:c r="E176"/>
      <x:c r="F176"/>
      <x:c r="G176"/>
    </x:row>
    <x:row r="177" ht="52.79999923706055" hidden="0" customHeight="1">
      <x:c r="A177"/>
      <x:c r="B177"/>
      <x:c r="C177"/>
      <x:c r="D177"/>
      <x:c r="E177"/>
      <x:c r="F177"/>
      <x:c r="G177"/>
    </x:row>
    <x:row r="178" ht="52.79999923706055" hidden="0" customHeight="1">
      <x:c r="A178"/>
      <x:c r="B178"/>
      <x:c r="C178"/>
      <x:c r="D178"/>
      <x:c r="E178"/>
      <x:c r="F178"/>
      <x:c r="G178"/>
    </x:row>
    <x:row r="179" ht="66" hidden="0" customHeight="1">
      <x:c r="A179"/>
      <x:c r="B179"/>
      <x:c r="C179"/>
      <x:c r="D179"/>
      <x:c r="E179"/>
      <x:c r="F179"/>
      <x:c r="G179"/>
    </x:row>
    <x:row r="180" ht="39.599998474121094" hidden="0" customHeight="1">
      <x:c r="A180"/>
      <x:c r="B180"/>
      <x:c r="C180"/>
      <x:c r="D180"/>
      <x:c r="E180"/>
      <x:c r="F180"/>
      <x:c r="G180"/>
    </x:row>
    <x:row r="181" ht="52.79999923706055" hidden="0" customHeight="1">
      <x:c r="A181"/>
      <x:c r="B181"/>
      <x:c r="C181"/>
      <x:c r="D181"/>
      <x:c r="E181"/>
      <x:c r="F181"/>
      <x:c r="G181"/>
    </x:row>
    <x:row r="182" ht="92.4000015258789" hidden="0" customHeight="1">
      <x:c r="A182"/>
      <x:c r="B182"/>
      <x:c r="C182"/>
      <x:c r="D182"/>
      <x:c r="E182"/>
      <x:c r="F182"/>
      <x:c r="G182"/>
    </x:row>
    <x:row r="183" ht="52.79999923706055" hidden="0" customHeight="1">
      <x:c r="A183"/>
      <x:c r="B183"/>
      <x:c r="C183"/>
      <x:c r="D183"/>
      <x:c r="E183"/>
      <x:c r="F183"/>
      <x:c r="G183"/>
    </x:row>
  </x:sheetData>
  <x:mergeCells>
    <x:mergeCell ref="A1:H1"/>
    <x:mergeCell ref="A2:H2"/>
    <x:mergeCell ref="A115:G115"/>
  </x:mergeCells>
  <x:conditionalFormatting sqref="G5:G92">
    <x:cfRule type="containsText" dxfId="0" priority="1" operator="containsText" text="Ready"/>
    <x:cfRule type="containsText" dxfId="1" priority="2" operator="containsText" text="Proxy"/>
    <x:cfRule type="containsText" dxfId="2" priority="3" operator="containsText" text="Needs Gold data"/>
  </x:conditionalFormatting>
  <x:conditionalFormatting sqref="F97:F106">
    <x:cfRule type="containsText" dxfId="3" priority="4" operator="containsText" text="Ready"/>
    <x:cfRule type="containsText" dxfId="4" priority="5" operator="containsText" text="Proxy"/>
    <x:cfRule type="containsText" dxfId="5" priority="6" operator="containsText" text="Needs Gold data"/>
  </x:conditionalFormatting>
  <x:conditionalFormatting sqref="G5:G169">
    <x:cfRule type="containsText" dxfId="9" priority="7" operator="containsText" text="Ready"/>
    <x:cfRule type="containsText" dxfId="10" priority="8" operator="containsText" text="Proxy"/>
    <x:cfRule type="containsText" dxfId="11" priority="9" operator="containsText" text="Needs Gold data"/>
  </x:conditionalFormatting>
  <x:conditionalFormatting sqref="F174:F183">
    <x:cfRule type="containsText" dxfId="12" priority="10" operator="containsText" text="Ready"/>
    <x:cfRule type="containsText" dxfId="13" priority="11" operator="containsText" text="Proxy"/>
    <x:cfRule type="containsText" dxfId="14" priority="12" operator="containsText" text="Needs Gold data"/>
  </x:conditionalFormatting>
  <x:conditionalFormatting sqref="G5:G112">
    <x:cfRule type="containsText" dxfId="27" priority="19" operator="containsText" text="Ready"/>
    <x:cfRule type="containsText" dxfId="28" priority="20" operator="containsText" text="Proxy"/>
    <x:cfRule type="containsText" dxfId="29" priority="21" operator="containsText" text="Needs Gold data"/>
  </x:conditionalFormatting>
  <x:conditionalFormatting sqref="F117:F126">
    <x:cfRule type="containsText" dxfId="30" priority="22" operator="containsText" text="Ready"/>
    <x:cfRule type="containsText" dxfId="31" priority="23" operator="containsText" text="Proxy"/>
    <x:cfRule type="containsText" dxfId="32" priority="24" operator="containsText" text="Needs Gold data"/>
  </x:conditionalFormatting>
  <x:pageMargins left="0.7" right="0.7" top="0.75" bottom="0.75" header="0.3" footer="0.3"/>
  <x:tableParts count="3">
    <x:tablePart xmlns:r="http://schemas.openxmlformats.org/officeDocument/2006/relationships" r:id="R552d0675c4c34ce0"/>
    <x:tablePart xmlns:r="http://schemas.openxmlformats.org/officeDocument/2006/relationships" r:id="R64b96a0a2ab64e11"/>
    <x:tablePart xmlns:r="http://schemas.openxmlformats.org/officeDocument/2006/relationships" r:id="Rc44ea6f8c44d469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34" hidden="0" customWidth="1"/>
    <x:col min="3" max="3" width="46" hidden="0" customWidth="1"/>
    <x:col min="4" max="4" width="54" hidden="0" customWidth="1"/>
    <x:col min="5" max="5" width="35" hidden="0" customWidth="1"/>
    <x:col min="6" max="6" width="45" hidden="0" customWidth="1"/>
    <x:col min="7" max="7" width="25" hidden="0" customWidth="1"/>
    <x:col min="8" max="8" width="64" hidden="0" customWidth="1"/>
    <x:col min="9" max="9" width="26" hidden="0" customWidth="1"/>
  </x:cols>
  <x:sheetData>
    <x:row r="1" ht="19.200000762939453" hidden="0" customHeight="1">
      <x:c r="A1" s="116" t="str">
        <x:v>Requirement source-file coverage and Gold promotion status</x:v>
      </x:c>
      <x:c r="B1"/>
      <x:c r="C1"/>
      <x:c r="D1"/>
      <x:c r="E1"/>
      <x:c r="F1"/>
      <x:c r="G1"/>
      <x:c r="H1"/>
      <x:c r="I1"/>
    </x:row>
    <x:row r="2" ht="42" hidden="0" customHeight="1">
      <x:c r="A2" s="139" t="str">
        <x:v>Reviewed 30 September 2026 against the WIP model and active Gold code. Built means repository implementation, not successful deployment, refresh or business acceptance.</x:v>
      </x:c>
      <x:c r="B2" s="139"/>
      <x:c r="C2" s="139"/>
      <x:c r="D2" s="139"/>
      <x:c r="E2" s="139"/>
      <x:c r="F2" s="139"/>
      <x:c r="G2" s="139"/>
      <x:c r="H2" s="139"/>
      <x:c r="I2" s="139"/>
    </x:row>
    <x:row r="3">
      <x:c r="A3" s="142"/>
      <x:c r="B3" s="142"/>
      <x:c r="C3" s="142"/>
      <x:c r="D3" s="142"/>
      <x:c r="E3" s="142"/>
      <x:c r="F3" s="142"/>
      <x:c r="G3" s="142"/>
      <x:c r="H3" s="142"/>
      <x:c r="I3" s="142"/>
    </x:row>
    <x:row r="4" ht="15" hidden="0" customHeight="1">
      <x:c r="A4" s="19" t="str">
        <x:v>Requirement / capability</x:v>
      </x:c>
      <x:c r="B4" s="19" t="str">
        <x:v>Required source entity / extract</x:v>
      </x:c>
      <x:c r="C4" s="19" t="str">
        <x:v>Expected Bronze → Silver table</x:v>
      </x:c>
      <x:c r="D4" s="19" t="str">
        <x:v>Fields needed</x:v>
      </x:c>
      <x:c r="E4" s="19" t="str">
        <x:v>Source / Silver evidence</x:v>
      </x:c>
      <x:c r="F4" s="19" t="str">
        <x:v>Current Gold publication</x:v>
      </x:c>
      <x:c r="G4" s="19" t="str">
        <x:v>Gold coverage</x:v>
      </x:c>
      <x:c r="H4" s="19" t="str">
        <x:v>Action / conclusion</x:v>
      </x:c>
      <x:c r="I4" s="146" t="str">
        <x:v>KPI DAX eligibility</x:v>
      </x:c>
    </x:row>
    <x:row r="5" ht="26.399999618530273" hidden="0" customHeight="1">
      <x:c r="A5" s="38" t="str">
        <x:v>Referral core</x:v>
      </x:c>
      <x:c r="B5" s="39" t="str">
        <x:v>referral</x:v>
      </x:c>
      <x:c r="C5" s="39" t="str">
        <x:v>bronze.referral → silver.referral</x:v>
      </x:c>
      <x:c r="D5" s="39" t="str">
        <x:v>referral_id, referral_created_date, required_start_date, referral_status, referral_modified_date</x:v>
      </x:c>
      <x:c r="E5" s="39" t="str">
        <x:v>Contracted and used</x:v>
      </x:c>
      <x:c r="F5" s="39" t="str">
        <x:v>gold.fact_referral; gold.fact_referral_snapshot; dim_referral_status; dim_placement_type</x:v>
      </x:c>
      <x:c r="G5" s="39" t="str">
        <x:v>Published in Gold</x:v>
      </x:c>
      <x:c r="H5" s="40" t="str">
        <x:v>Core referral KPIs and snapshots are supported.</x:v>
      </x:c>
      <x:c r="I5" s="147" t="str">
        <x:v>Yes — Gold field</x:v>
      </x:c>
    </x:row>
    <x:row r="6" ht="26.399999618530273" hidden="0" customHeight="1">
      <x:c r="A6" s="41" t="str">
        <x:v>Referral-provider engagement</x:v>
      </x:c>
      <x:c r="B6" s="42" t="str">
        <x:v>referral_provider</x:v>
      </x:c>
      <x:c r="C6" s="42" t="str">
        <x:v>bronze.referral_provider → silver.referral_provider</x:v>
      </x:c>
      <x:c r="D6" s="42" t="str">
        <x:v>referral_provider_id, referral_id, provider_id, is_excluded, is_declined, is_cancelled, is_closed</x:v>
      </x:c>
      <x:c r="E6" s="42" t="str">
        <x:v>Contracted and used</x:v>
      </x:c>
      <x:c r="F6" s="42" t="str">
        <x:v>gold.fact_referral_provider</x:v>
      </x:c>
      <x:c r="G6" s="42" t="str">
        <x:v>Published in Gold</x:v>
      </x:c>
      <x:c r="H6" s="43" t="str">
        <x:v>Provider assignment and decline-rate measures are supported.</x:v>
      </x:c>
      <x:c r="I6" s="147" t="str">
        <x:v>Yes — Gold field</x:v>
      </x:c>
    </x:row>
    <x:row r="7" ht="26.399999618530273" hidden="0" customHeight="1">
      <x:c r="A7" s="41" t="str">
        <x:v>Provider offers</x:v>
      </x:c>
      <x:c r="B7" s="42" t="str">
        <x:v>offer</x:v>
      </x:c>
      <x:c r="C7" s="42" t="str">
        <x:v>bronze.offer → silver.offer</x:v>
      </x:c>
      <x:c r="D7" s="42" t="str">
        <x:v>offer_id, referral_provider_id, offer_status, offer_date, last_modified_date, fees, decline reasons</x:v>
      </x:c>
      <x:c r="E7" s="42" t="str">
        <x:v>Contracted and used</x:v>
      </x:c>
      <x:c r="F7" s="42" t="str">
        <x:v>gold.fact_offer</x:v>
      </x:c>
      <x:c r="G7" s="42" t="str">
        <x:v>Published in Gold</x:v>
      </x:c>
      <x:c r="H7" s="43" t="str">
        <x:v>Offer, decision, age, cost and rejection-reason measures are supported.</x:v>
      </x:c>
      <x:c r="I7" s="147" t="str">
        <x:v>Yes — Gold field</x:v>
      </x:c>
    </x:row>
    <x:row r="8" ht="15" hidden="0" customHeight="1">
      <x:c r="A8" s="41" t="str">
        <x:v>IPA core</x:v>
      </x:c>
      <x:c r="B8" s="42" t="str">
        <x:v>ipa</x:v>
      </x:c>
      <x:c r="C8" s="42" t="str">
        <x:v>bronze.ipa → silver.ipa</x:v>
      </x:c>
      <x:c r="D8" s="42" t="str">
        <x:v>IPA IDs, dates, signature flags and costs</x:v>
      </x:c>
      <x:c r="E8" s="42" t="str">
        <x:v>Selected in active Gold code</x:v>
      </x:c>
      <x:c r="F8" s="42" t="str">
        <x:v>gold.fact_ipa</x:v>
      </x:c>
      <x:c r="G8" s="42" t="str">
        <x:v>Built in repository</x:v>
      </x:c>
      <x:c r="H8" s="43" t="str">
        <x:v>Use fact_ipa, not retired fct_ipa/fact_placement. Refresh and reconcile.</x:v>
      </x:c>
      <x:c r="I8" s="147" t="str">
        <x:v>Yes; validate runtime</x:v>
      </x:c>
    </x:row>
    <x:row r="9" ht="26.399999618530273" hidden="0" customHeight="1">
      <x:c r="A9" s="41" t="str">
        <x:v>IPA signatures</x:v>
      </x:c>
      <x:c r="B9" s="42" t="str">
        <x:v>ipa</x:v>
      </x:c>
      <x:c r="C9" s="42" t="str">
        <x:v>bronze.ipa → silver.ipa</x:v>
      </x:c>
      <x:c r="D9" s="42" t="str">
        <x:v>signed_by_provider; signed_by_local_authority; is_ipa_completed; is_ipa_pending</x:v>
      </x:c>
      <x:c r="E9" s="42" t="str">
        <x:v>Gold fact_ipa SQL selects both flags</x:v>
      </x:c>
      <x:c r="F9" s="42" t="str">
        <x:v>gold.fact_ipa</x:v>
      </x:c>
      <x:c r="G9" s="42" t="str">
        <x:v>Built in repository</x:v>
      </x:c>
      <x:c r="H9" s="43" t="str">
        <x:v>IPA-level signature reporting is implemented; exact signature event history is not supplied.</x:v>
      </x:c>
      <x:c r="I9" s="147" t="str">
        <x:v>Yes; validate runtime</x:v>
      </x:c>
    </x:row>
    <x:row r="10" ht="15" hidden="0" customHeight="1">
      <x:c r="A10" s="41" t="str">
        <x:v>IPA payment and invoice</x:v>
      </x:c>
      <x:c r="B10" s="42" t="str">
        <x:v>ipa / finance source</x:v>
      </x:c>
      <x:c r="C10" s="42" t="str">
        <x:v>Source contract requires finance confirmation</x:v>
      </x:c>
      <x:c r="D10" s="42" t="str">
        <x:v>payment method, invoice, payment status, actual cost</x:v>
      </x:c>
      <x:c r="E10" s="42" t="str">
        <x:v>Estimated weekly cost only in WIP</x:v>
      </x:c>
      <x:c r="F10" s="42" t="str">
        <x:v>gold.fact_ipa estimated_weekly_cost</x:v>
      </x:c>
      <x:c r="G10" s="42" t="str">
        <x:v>Partial</x:v>
      </x:c>
      <x:c r="H10" s="43" t="str">
        <x:v>Approved finance facts still required; lifetime cost is an estimate.</x:v>
      </x:c>
      <x:c r="I10" s="147" t="str">
        <x:v>No payment KPI</x:v>
      </x:c>
    </x:row>
    <x:row r="11" ht="15" hidden="0" customHeight="1">
      <x:c r="A11" s="41" t="str">
        <x:v>Child demographics</x:v>
      </x:c>
      <x:c r="B11" s="42" t="str">
        <x:v>referral_person</x:v>
      </x:c>
      <x:c r="C11" s="42" t="str">
        <x:v>bronze.referral_person → silver.referral_person</x:v>
      </x:c>
      <x:c r="D11" s="42" t="str">
        <x:v>person_id; gender_clean; age; ethnicity</x:v>
      </x:c>
      <x:c r="E11" s="42" t="str">
        <x:v>Selected by Gold dimensions</x:v>
      </x:c>
      <x:c r="F11" s="42" t="str">
        <x:v>gold.dim_person; fact_referral.person_id</x:v>
      </x:c>
      <x:c r="G11" s="42" t="str">
        <x:v>Built in repository</x:v>
      </x:c>
      <x:c r="H11" s="43" t="str">
        <x:v>Validate linkage, nulls and safeguarding/RLS. Full name is not available.</x:v>
      </x:c>
      <x:c r="I11" s="147" t="str">
        <x:v>Yes; validate runtime</x:v>
      </x:c>
    </x:row>
    <x:row r="12" ht="15" hidden="0" customHeight="1">
      <x:c r="A12" s="41" t="str">
        <x:v>Child support needs</x:v>
      </x:c>
      <x:c r="B12" s="42" t="str">
        <x:v>referral_person_support_needs</x:v>
      </x:c>
      <x:c r="C12" s="42" t="str">
        <x:v>bronze → silver.referral_person_support_needs</x:v>
      </x:c>
      <x:c r="D12" s="42" t="str">
        <x:v>person_id; support_need</x:v>
      </x:c>
      <x:c r="E12" s="42" t="str">
        <x:v>Source contract contains bridge</x:v>
      </x:c>
      <x:c r="F12" s="42" t="str">
        <x:v>No WIP support-needs table</x:v>
      </x:c>
      <x:c r="G12" s="42" t="str">
        <x:v>Not in WIP model</x:v>
      </x:c>
      <x:c r="H12" s="43" t="str">
        <x:v>Promote and govern a support-needs bridge; category is not an equivalent.</x:v>
      </x:c>
      <x:c r="I12" s="147" t="str">
        <x:v>No support-needs KPI</x:v>
      </x:c>
    </x:row>
    <x:row r="13" ht="26.399999618530273" hidden="0" customHeight="1">
      <x:c r="A13" s="41" t="str">
        <x:v>Referral categories</x:v>
      </x:c>
      <x:c r="B13" s="42" t="str">
        <x:v>referral_category + framework_category</x:v>
      </x:c>
      <x:c r="C13" s="42" t="str">
        <x:v>silver.referral_category; framework_category</x:v>
      </x:c>
      <x:c r="D13" s="42" t="str">
        <x:v>referral_id; framework_category_id</x:v>
      </x:c>
      <x:c r="E13" s="42" t="str">
        <x:v>Gold bridge and model import exist</x:v>
      </x:c>
      <x:c r="F13" s="42" t="str">
        <x:v>gold.bridge_referral_framework_category; dim_framework_category</x:v>
      </x:c>
      <x:c r="G13" s="42" t="str">
        <x:v>Built current state</x:v>
      </x:c>
      <x:c r="H13" s="43" t="str">
        <x:v>Use category-aware distinct counts. Current bridges do not prove historical membership.</x:v>
      </x:c>
      <x:c r="I13" s="147" t="str">
        <x:v>Yes; current state</x:v>
      </x:c>
    </x:row>
    <x:row r="14" ht="26.399999618530273" hidden="0" customHeight="1">
      <x:c r="A14" s="41" t="str">
        <x:v>Provider messages</x:v>
      </x:c>
      <x:c r="B14" s="42" t="str">
        <x:v>referral_provider_message</x:v>
      </x:c>
      <x:c r="C14" s="42" t="str">
        <x:v>silver.referral_provider_message</x:v>
      </x:c>
      <x:c r="D14" s="42" t="str">
        <x:v>message_id; assignment key; text; created/read timestamps; creator</x:v>
      </x:c>
      <x:c r="E14" s="42" t="str">
        <x:v>Selected by Gold dimensions</x:v>
      </x:c>
      <x:c r="F14" s="42" t="str">
        <x:v>gold.dim_referral_provider_message; fact_referral_lifecycle_event</x:v>
      </x:c>
      <x:c r="G14" s="42" t="str">
        <x:v>Built current records</x:v>
      </x:c>
      <x:c r="H14" s="43" t="str">
        <x:v>Message detail exists; Provider Messages Sent remains lifecycle-based. Authorship/SLA not approved.</x:v>
      </x:c>
      <x:c r="I14" s="147" t="str">
        <x:v>Yes; limited semantics</x:v>
      </x:c>
    </x:row>
    <x:row r="15" ht="26.399999618530273" hidden="0" customHeight="1">
      <x:c r="A15" s="41" t="str">
        <x:v>Message read status</x:v>
      </x:c>
      <x:c r="B15" s="42" t="str">
        <x:v>Message source and status capture</x:v>
      </x:c>
      <x:c r="C15" s="42" t="str">
        <x:v>Current message dimension; separate status contract needs review</x:v>
      </x:c>
      <x:c r="D15" s="42" t="str">
        <x:v>reader; read timestamp; priority; author role; response pairing</x:v>
      </x:c>
      <x:c r="E15" s="42" t="str">
        <x:v>Current read fields exist, not a complete unread-priority model</x:v>
      </x:c>
      <x:c r="F15" s="42" t="str">
        <x:v>dim_referral_provider_message read fields</x:v>
      </x:c>
      <x:c r="G15" s="42" t="str">
        <x:v>Partial</x:v>
      </x:c>
      <x:c r="H15" s="43" t="str">
        <x:v>Do not infer unread from null without an approved rule or invent priority.</x:v>
      </x:c>
      <x:c r="I15" s="147" t="str">
        <x:v>No unread-priority KPI</x:v>
      </x:c>
    </x:row>
    <x:row r="16" ht="26.399999618530273" hidden="0" customHeight="1">
      <x:c r="A16" s="41" t="str">
        <x:v>Decline and cancellation reasons</x:v>
      </x:c>
      <x:c r="B16" s="42" t="str">
        <x:v>referral_provider_decline_reason / cancel_reason</x:v>
      </x:c>
      <x:c r="C16" s="42" t="str">
        <x:v>Conformed Silver reason tables</x:v>
      </x:c>
      <x:c r="D16" s="42" t="str">
        <x:v>assignment ID; reason; reason type; created date</x:v>
      </x:c>
      <x:c r="E16" s="42" t="str">
        <x:v>Gold combines current reasons with prefixed keys</x:v>
      </x:c>
      <x:c r="F16" s="42" t="str">
        <x:v>gold.dim_referral_provider_reject_reason</x:v>
      </x:c>
      <x:c r="G16" s="42" t="str">
        <x:v>Built current records</x:v>
      </x:c>
      <x:c r="H16" s="43" t="str">
        <x:v>Validate joins and completeness. Full immutable history and attribution remain unproven.</x:v>
      </x:c>
      <x:c r="I16" s="147" t="str">
        <x:v>Yes; current reasons</x:v>
      </x:c>
    </x:row>
    <x:row r="17" ht="26.399999618530273" hidden="0" customHeight="1">
      <x:c r="A17" s="41" t="str">
        <x:v>Provider documents</x:v>
      </x:c>
      <x:c r="B17" s="42" t="str">
        <x:v>provider_submission_docs</x:v>
      </x:c>
      <x:c r="C17" s="42" t="str">
        <x:v>bronze.provider_submission_docs → silver.provider_submission_docs</x:v>
      </x:c>
      <x:c r="D17" s="42" t="str">
        <x:v>document_id, home_id, document_type, expiry_date, next_review_date</x:v>
      </x:c>
      <x:c r="E17" s="42" t="str">
        <x:v>Contracted and used</x:v>
      </x:c>
      <x:c r="F17" s="42" t="str">
        <x:v>gold.dim_provider_submission_document</x:v>
      </x:c>
      <x:c r="G17" s="42" t="str">
        <x:v>Published in Gold</x:v>
      </x:c>
      <x:c r="H17" s="43" t="str">
        <x:v>Expiry and expired-document measures are supported.</x:v>
      </x:c>
      <x:c r="I17" s="147" t="str">
        <x:v>Yes — Gold field</x:v>
      </x:c>
    </x:row>
    <x:row r="18" ht="26.399999618530273" hidden="0" customHeight="1">
      <x:c r="A18" s="41" t="str">
        <x:v>Document compliance / blocking</x:v>
      </x:c>
      <x:c r="B18" s="42" t="str">
        <x:v>Required-document policy and provider exclusion outcome</x:v>
      </x:c>
      <x:c r="C18" s="42" t="str">
        <x:v>No confirmed source entity in the active contract</x:v>
      </x:c>
      <x:c r="D18" s="42" t="str">
        <x:v>Expected document set, compliance result, blocked/excluded decision</x:v>
      </x:c>
      <x:c r="E18" s="42" t="str">
        <x:v>Not supplied</x:v>
      </x:c>
      <x:c r="F18" s="42" t="str">
        <x:v>—</x:v>
      </x:c>
      <x:c r="G18" s="42" t="str">
        <x:v>New source required</x:v>
      </x:c>
      <x:c r="H18" s="43" t="str">
        <x:v>Document dates alone cannot prove compliance or provider blocking; obtain the policy/decision data first.</x:v>
      </x:c>
      <x:c r="I18" s="147" t="str">
        <x:v>No — new policy/outcome source</x:v>
      </x:c>
    </x:row>
    <x:row r="19" ht="15" hidden="0" customHeight="1">
      <x:c r="A19" s="41" t="str">
        <x:v>Out-of-region</x:v>
      </x:c>
      <x:c r="B19" s="42" t="str">
        <x:v>Governed referral origin and destination</x:v>
      </x:c>
      <x:c r="C19" s="42" t="str">
        <x:v>No approved region mapping in WIP</x:v>
      </x:c>
      <x:c r="D19" s="42" t="str">
        <x:v>origin region; placement region; out-of-region rule</x:v>
      </x:c>
      <x:c r="E19" s="42" t="str">
        <x:v>Postcodes/preferred city are not equivalent</x:v>
      </x:c>
      <x:c r="F19" s="42" t="str">
        <x:v>No supported out-of-region KPI</x:v>
      </x:c>
      <x:c r="G19" s="42" t="str">
        <x:v>New evidence required</x:v>
      </x:c>
      <x:c r="H19" s="43" t="str">
        <x:v>Obtain regions and business rule; do not use multiple assignments as proxy.</x:v>
      </x:c>
      <x:c r="I19" s="147" t="str">
        <x:v>No out-of-region KPI</x:v>
      </x:c>
    </x:row>
    <x:row r="20" ht="26.399999618530273" hidden="0" customHeight="1">
      <x:c r="A20" s="44" t="str">
        <x:v>Framework change history</x:v>
      </x:c>
      <x:c r="B20" s="45" t="str">
        <x:v>referral_category_aud (candidate)</x:v>
      </x:c>
      <x:c r="C20" s="45" t="str">
        <x:v>bronze.referral_category_aud → silver.referral_category_aud</x:v>
      </x:c>
      <x:c r="D20" s="45" t="str">
        <x:v>referral_id, framework_category_id, audit/change timestamp</x:v>
      </x:c>
      <x:c r="E20" s="45" t="str">
        <x:v>Capture mapping exists; validate current extract and contract</x:v>
      </x:c>
      <x:c r="F20" s="45" t="str">
        <x:v>—</x:v>
      </x:c>
      <x:c r="G20" s="45" t="str">
        <x:v>Needs contract validation</x:v>
      </x:c>
      <x:c r="H20" s="46" t="str">
        <x:v>Promote a category-history fact only after the audit table and change timestamp are confirmed.</x:v>
      </x:c>
      <x:c r="I20" s="147" t="str">
        <x:v>No — validate then promote audit fact</x:v>
      </x:c>
    </x:row>
    <x:row r="21">
      <x:c r="A21" s="142"/>
      <x:c r="B21" s="142"/>
      <x:c r="C21" s="142"/>
      <x:c r="D21" s="142"/>
      <x:c r="E21" s="142"/>
      <x:c r="F21" s="142"/>
      <x:c r="G21" s="142"/>
      <x:c r="H21" s="142"/>
      <x:c r="I21" s="142"/>
    </x:row>
    <x:row r="22">
      <x:c r="A22" s="142"/>
      <x:c r="B22" s="142"/>
      <x:c r="C22" s="142"/>
      <x:c r="D22" s="142"/>
      <x:c r="E22" s="142"/>
      <x:c r="F22" s="142"/>
      <x:c r="G22" s="142"/>
      <x:c r="H22" s="142"/>
      <x:c r="I22" s="142"/>
    </x:row>
    <x:row r="23" ht="15" hidden="0" customHeight="1">
      <x:c r="A23" s="152" t="str">
        <x:v>How to interpret Gold coverage</x:v>
      </x:c>
      <x:c r="B23" s="142"/>
      <x:c r="C23" s="142"/>
      <x:c r="D23" s="142"/>
      <x:c r="E23" s="142"/>
      <x:c r="F23" s="142"/>
      <x:c r="G23" s="142"/>
      <x:c r="H23" s="142"/>
      <x:c r="I23" s="142"/>
    </x:row>
    <x:row r="24" ht="26.399999618530273" hidden="0" customHeight="1">
      <x:c r="A24" s="153" t="str">
        <x:v>Built in repository</x:v>
      </x:c>
      <x:c r="B24" s="29" t="str">
        <x:v>Gold creation/import definitions exist; target deployment, data population and UAT remain to verify.</x:v>
      </x:c>
      <x:c r="C24" s="30"/>
      <x:c r="D24" s="30"/>
      <x:c r="E24" s="30"/>
      <x:c r="F24" s="30"/>
      <x:c r="G24" s="30"/>
      <x:c r="H24" s="31"/>
      <x:c r="I24" s="142"/>
    </x:row>
    <x:row r="25" ht="39.599998474121094" hidden="0" customHeight="1">
      <x:c r="A25" s="154" t="str">
        <x:v>Partial</x:v>
      </x:c>
      <x:c r="B25" s="32" t="str">
        <x:v>Some fields exist but the complete requested grain, meaning or workflow is unsupported.</x:v>
      </x:c>
      <x:c r="C25" s="33"/>
      <x:c r="D25" s="33"/>
      <x:c r="E25" s="33"/>
      <x:c r="F25" s="33"/>
      <x:c r="G25" s="33"/>
      <x:c r="H25" s="34"/>
      <x:c r="I25" s="142"/>
    </x:row>
    <x:row r="26" ht="39.599998474121094" hidden="0" customHeight="1">
      <x:c r="A26" s="154" t="str">
        <x:v>Not in WIP model</x:v>
      </x:c>
      <x:c r="B26" s="32" t="str">
        <x:v>Source/contract evidence may exist; the requested semantic object or approved KPI is absent.</x:v>
      </x:c>
      <x:c r="C26" s="33"/>
      <x:c r="D26" s="33"/>
      <x:c r="E26" s="33"/>
      <x:c r="F26" s="33"/>
      <x:c r="G26" s="33"/>
      <x:c r="H26" s="34"/>
      <x:c r="I26" s="142"/>
    </x:row>
    <x:row r="27" ht="39.599998474121094" hidden="0" customHeight="1">
      <x:c r="A27" s="154" t="str">
        <x:v>Needs contract validation</x:v>
      </x:c>
      <x:c r="B27" s="32" t="str">
        <x:v>A source capture mapping exists, but extract and contract evidence need validating before Gold is designed.</x:v>
      </x:c>
      <x:c r="C27" s="33"/>
      <x:c r="D27" s="33"/>
      <x:c r="E27" s="33"/>
      <x:c r="F27" s="33"/>
      <x:c r="G27" s="33"/>
      <x:c r="H27" s="34"/>
      <x:c r="I27" s="142"/>
    </x:row>
    <x:row r="28" ht="39.599998474121094" hidden="0" customHeight="1">
      <x:c r="A28" s="155" t="str">
        <x:v>New source required</x:v>
      </x:c>
      <x:c r="B28" s="35" t="str">
        <x:v>No suitable field/entity exists in the active source contract; obtain or agree a new source first.</x:v>
      </x:c>
      <x:c r="C28" s="36"/>
      <x:c r="D28" s="36"/>
      <x:c r="E28" s="36"/>
      <x:c r="F28" s="36"/>
      <x:c r="G28" s="36"/>
      <x:c r="H28" s="37"/>
      <x:c r="I28" s="142"/>
    </x:row>
    <x:row r="31">
      <x:c r="A31" t="str">
        <x:v>Requirement reassessment</x:v>
      </x:c>
      <x:c r="B31" t="str">
        <x:v>Count</x:v>
      </x:c>
    </x:row>
    <x:row r="32">
      <x:c r="A32" t="str">
        <x:v>Partial reporting</x:v>
      </x:c>
      <x:c r="B32" t="n">
        <x:v>31</x:v>
      </x:c>
    </x:row>
    <x:row r="33">
      <x:c r="A33" t="str">
        <x:v>Outside report assessment</x:v>
      </x:c>
      <x:c r="B33" t="n">
        <x:v>24</x:v>
      </x:c>
    </x:row>
    <x:row r="34">
      <x:c r="A34" t="str">
        <x:v>Security acceptance pending</x:v>
      </x:c>
      <x:c r="B34" t="n">
        <x:v>5</x:v>
      </x:c>
    </x:row>
    <x:row r="35">
      <x:c r="A35" t="str">
        <x:v>Built; UAT pending</x:v>
      </x:c>
      <x:c r="B35" t="n">
        <x:v>8</x:v>
      </x:c>
    </x:row>
    <x:row r="36">
      <x:c r="A36" t="str">
        <x:v>Open data gap</x:v>
      </x:c>
      <x:c r="B36" t="n">
        <x:v>3</x:v>
      </x:c>
    </x:row>
    <x:row r="37">
      <x:c r="A37" t="str">
        <x:v>Delivery acceptance pending</x:v>
      </x:c>
      <x:c r="B37" t="n">
        <x:v>9</x:v>
      </x:c>
    </x:row>
    <x:row r="39">
      <x:c r="A39" t="str">
        <x:v>Source: WIP PBIR/TMDL and active Gold Python definitions reviewed 30 September 2026. Current narrative: client documentation/04_Data_and_Reporting/WMPP_CURRENT_STATUS.md.</x:v>
      </x:c>
    </x:row>
  </x:sheetData>
  <x:mergeCells>
    <x:mergeCell ref="A1:H1"/>
    <x:mergeCell ref="A23:H23"/>
    <x:mergeCell ref="A2:I2"/>
  </x:mergeCells>
  <x:conditionalFormatting sqref="G5:G20">
    <x:cfRule type="containsText" dxfId="36" priority="1" operator="containsText" text="Published in Gold"/>
    <x:cfRule type="containsText" dxfId="37" priority="2" operator="containsText" text="Partially promoted"/>
    <x:cfRule type="containsText" dxfId="38" priority="3" operator="containsText" text="Silver available"/>
    <x:cfRule type="containsText" dxfId="39" priority="4" operator="containsText" text="Needs contract validation"/>
    <x:cfRule type="containsText" dxfId="40" priority="5" operator="containsText" text="New source required"/>
  </x:conditionalFormatting>
  <x:conditionalFormatting sqref="A24:A28">
    <x:cfRule type="containsText" dxfId="41" priority="6" operator="containsText" text="Published in Gold"/>
    <x:cfRule type="containsText" dxfId="42" priority="7" operator="containsText" text="Partially promoted"/>
    <x:cfRule type="containsText" dxfId="43" priority="8" operator="containsText" text="Silver available"/>
    <x:cfRule type="containsText" dxfId="44" priority="9" operator="containsText" text="Needs contract validation"/>
    <x:cfRule type="containsText" dxfId="45" priority="10" operator="containsText" text="New source required"/>
  </x:conditionalFormatting>
  <x:conditionalFormatting sqref="I5:I20">
    <x:cfRule type="beginsWith" dxfId="46" priority="11" operator="beginsWith" text="Yes"/>
    <x:cfRule type="beginsWith" dxfId="47" priority="12" operator="beginsWith" text="No"/>
  </x:conditionalFormatting>
  <x:pageMargins left="0.7" right="0.7" top="0.75" bottom="0.75" header="0.3" footer="0.3"/>
  <x:tableParts count="1">
    <x:tablePart xmlns:r="http://schemas.openxmlformats.org/officeDocument/2006/relationships" r:id="R4567fb145c1d4519"/>
  </x:tableParts>
</x:worksheet>
</file>