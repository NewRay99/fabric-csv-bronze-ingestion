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8ae21f4d6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D" sheetId="1" r:id="R36eabce591534a30"/>
    <x:sheet xmlns:r="http://schemas.openxmlformats.org/officeDocument/2006/relationships" name="Table Definition" sheetId="2" r:id="R13203ee1286e4287"/>
    <x:sheet xmlns:r="http://schemas.openxmlformats.org/officeDocument/2006/relationships" name="KPI Definition" sheetId="4" r:id="R6b7a00e0916f4829"/>
    <x:sheet xmlns:r="http://schemas.openxmlformats.org/officeDocument/2006/relationships" name="Gold Source Coverage" sheetId="5" r:id="R384c3250723b4516"/>
  </x:sheets>
</x:workbook>
</file>

<file path=xl/sharedStrings.xml><?xml version="1.0" encoding="utf-8"?>
<x:sst xmlns:x="http://schemas.openxmlformats.org/spreadsheetml/2006/main">
  <x:si>
    <x:t xml:space="preserve">Oiriginal ID</x:t>
  </x:si>
  <x:si>
    <x:t xml:space="preserve">Req ID</x:t>
  </x:si>
  <x:si>
    <x:t xml:space="preserve">Requirement</x:t>
  </x:si>
  <x:si>
    <x:t xml:space="preserve">Stakeholder</x:t>
  </x:si>
  <x:si>
    <x:t xml:space="preserve">Priority</x:t>
  </x:si>
  <x:si>
    <x:t xml:space="preserve">KPI(s)</x:t>
  </x:si>
  <x:si>
    <x:t xml:space="preserve">Status</x:t>
  </x:si>
  <x:si>
    <x:t xml:space="preserve">Gap / Notes</x:t>
  </x:si>
  <x:si>
    <x:t xml:space="preserve">Suggested Action</x:t>
  </x:si>
  <x:si>
    <x:t xml:space="preserve">Notes 30072026</x:t>
  </x:si>
  <x:si>
    <x:t xml:space="preserve">R1</x:t>
  </x:si>
  <x:si>
    <x:t xml:space="preserve">Place children with complex care needs</x:t>
  </x:si>
  <x:si>
    <x:t xml:space="preserve">Placement Officer</x:t>
  </x:si>
  <x:si>
    <x:t xml:space="preserve">High</x:t>
  </x:si>
  <x:si>
    <x:t xml:space="preserve">KPI-01, KPI-08</x:t>
  </x:si>
  <x:si>
    <x:t xml:space="preserve">R2</x:t>
  </x:si>
  <x:si>
    <x:t xml:space="preserve">Consider current incumbent solution</x:t>
  </x:si>
  <x:si>
    <x:t xml:space="preserve">All</x:t>
  </x:si>
  <x:si>
    <x:t xml:space="preserve">Low</x:t>
  </x:si>
  <x:si>
    <x:t xml:space="preserve">—</x:t>
  </x:si>
  <x:si>
    <x:t xml:space="preserve">R3</x:t>
  </x:si>
  <x:si>
    <x:t xml:space="preserve">Single regional platform (cross-boundary)</x:t>
  </x:si>
  <x:si>
    <x:t xml:space="preserve">R4</x:t>
  </x:si>
  <x:si>
    <x:t xml:space="preserve">Open source suitability</x:t>
  </x:si>
  <x:si>
    <x:t xml:space="preserve">R5</x:t>
  </x:si>
  <x:si>
    <x:t xml:space="preserve">Agile / MVP / backlog</x:t>
  </x:si>
  <x:si>
    <x:t xml:space="preserve">R6</x:t>
  </x:si>
  <x:si>
    <x:t xml:space="preserve">COTS preferred over bespoke</x:t>
  </x:si>
  <x:si>
    <x:t xml:space="preserve">R7</x:t>
  </x:si>
  <x:si>
    <x:t xml:space="preserve">APIs across WM IT ecosystem</x:t>
  </x:si>
  <x:si>
    <x:t xml:space="preserve">R8</x:t>
  </x:si>
  <x:si>
    <x:t xml:space="preserve">Open-source API compliance</x:t>
  </x:si>
  <x:si>
    <x:t xml:space="preserve">R9</x:t>
  </x:si>
  <x:si>
    <x:t xml:space="preserve">Form pre-population (referral, OFSTED, auth)</x:t>
  </x:si>
  <x:si>
    <x:t xml:space="preserve">Medium</x:t>
  </x:si>
  <x:si>
    <x:t xml:space="preserve">R11</x:t>
  </x:si>
  <x:si>
    <x:t xml:space="preserve">Publish placement requirements to providers</x:t>
  </x:si>
  <x:si>
    <x:t xml:space="preserve">R12</x:t>
  </x:si>
  <x:si>
    <x:t xml:space="preserve">GDPR / DPA 2018 compliance for vulnerable-child data</x:t>
  </x:si>
  <x:si>
    <x:t xml:space="preserve">R13</x:t>
  </x:si>
  <x:si>
    <x:t xml:space="preserve">Filter by specialisms, placement type, placement status</x:t>
  </x:si>
  <x:si>
    <x:t xml:space="preserve">KPI-26, KPI-34</x:t>
  </x:si>
  <x:si>
    <x:t xml:space="preserve">R14</x:t>
  </x:si>
  <x:si>
    <x:t xml:space="preserve">In-system messaging (auditable, prioritised, urgent)</x:t>
  </x:si>
  <x:si>
    <x:t xml:space="preserve">Medium-&gt;Low</x:t>
  </x:si>
  <x:si>
    <x:t xml:space="preserve">KPI-110, KPI-111, KPI-112</x:t>
  </x:si>
  <x:si>
    <x:t xml:space="preserve">data is available.</x:t>
  </x:si>
  <x:si>
    <x:t xml:space="preserve">R15</x:t>
  </x:si>
  <x:si>
    <x:t xml:space="preserve">Digital info &amp; signatures for IPA</x:t>
  </x:si>
  <x:si>
    <x:t xml:space="preserve">KPI-73, KPI-76, KPI-77</x:t>
  </x:si>
  <x:si>
    <x:t xml:space="preserve">R16</x:t>
  </x:si>
  <x:si>
    <x:t xml:space="preserve">Priority information flagged in placement requests</x:t>
  </x:si>
  <x:si>
    <x:t xml:space="preserve">R17</x:t>
  </x:si>
  <x:si>
    <x:t xml:space="preserve">Placement info immediately available on accept</x:t>
  </x:si>
  <x:si>
    <x:t xml:space="preserve">KPI-75</x:t>
  </x:si>
  <x:si>
    <x:t xml:space="preserve">R18</x:t>
  </x:si>
  <x:si>
    <x:t xml:space="preserve">Emergency placements: same-day, distinct ID, separate reporting &amp; finance</x:t>
  </x:si>
  <x:si>
    <x:t xml:space="preserve">KPI-91, KPI-92, KPI-94</x:t>
  </x:si>
  <x:si>
    <x:t xml:space="preserve">R19</x:t>
  </x:si>
  <x:si>
    <x:t xml:space="preserve">Update referrals; auto-notify providers</x:t>
  </x:si>
  <x:si>
    <x:t xml:space="preserve">KPI-115</x:t>
  </x:si>
  <x:si>
    <x:t xml:space="preserve">R20</x:t>
  </x:si>
  <x:si>
    <x:t xml:space="preserve">Full audit tracking (placements, IPA, signatures, approvals, negotiations)</x:t>
  </x:si>
  <x:si>
    <x:t xml:space="preserve">Commissioner</x:t>
  </x:si>
  <x:si>
    <x:t xml:space="preserve">KPI-113, KPI-114</x:t>
  </x:si>
  <x:si>
    <x:t xml:space="preserve">NEC responsiblility to provide this Feature</x:t>
  </x:si>
  <x:si>
    <x:t xml:space="preserve">R21</x:t>
  </x:si>
  <x:si>
    <x:t xml:space="preserve">Auto-notify unsuccessful providers; optional rejection feedback</x:t>
  </x:si>
  <x:si>
    <x:t xml:space="preserve">R22</x:t>
  </x:si>
  <x:si>
    <x:t xml:space="preserve">Out-of-region placements tagged; finance informed</x:t>
  </x:si>
  <x:si>
    <x:t xml:space="preserve">High-&gt;Medium</x:t>
  </x:si>
  <x:si>
    <x:t xml:space="preserve">KPI-90 (partial), KPI-95, KPI-96</x:t>
  </x:si>
  <x:si>
    <x:t xml:space="preserve">the overlap referral is not related to this requirment</x:t>
  </x:si>
  <x:si>
    <x:t xml:space="preserve">R24</x:t>
  </x:si>
  <x:si>
    <x:t xml:space="preserve">Dashboard: status overview, provider updates, task mgmt, quick updates</x:t>
  </x:si>
  <x:si>
    <x:t xml:space="preserve">KPI-01–KPI-89 (85 measures)</x:t>
  </x:si>
  <x:si>
    <x:t xml:space="preserve">R25</x:t>
  </x:si>
  <x:si>
    <x:t xml:space="preserve">Quickly review detailed placement requests</x:t>
  </x:si>
  <x:si>
    <x:t xml:space="preserve">Provider</x:t>
  </x:si>
  <x:si>
    <x:t xml:space="preserve">KPI-11, KPI-12</x:t>
  </x:si>
  <x:si>
    <x:t xml:space="preserve">R26</x:t>
  </x:si>
  <x:si>
    <x:t xml:space="preserve">Prioritise by match suitability, SOP, existing placements</x:t>
  </x:si>
  <x:si>
    <x:t xml:space="preserve">KPI-19, KPI-20, KPI-37</x:t>
  </x:si>
  <x:si>
    <x:t xml:space="preserve">R27</x:t>
  </x:si>
  <x:si>
    <x:t xml:space="preserve">Request additional info, raise queries, see responses</x:t>
  </x:si>
  <x:si>
    <x:t xml:space="preserve">R28</x:t>
  </x:si>
  <x:si>
    <x:t xml:space="preserve">Accept / reject / request further info</x:t>
  </x:si>
  <x:si>
    <x:t xml:space="preserve">KPI-15, KPI-16, KPI-75</x:t>
  </x:si>
  <x:si>
    <x:t xml:space="preserve">R29</x:t>
  </x:si>
  <x:si>
    <x:t xml:space="preserve">Streamlined offer process</x:t>
  </x:si>
  <x:si>
    <x:t xml:space="preserve">R31</x:t>
  </x:si>
  <x:si>
    <x:t xml:space="preserve">Resolved requests auto-removed from provider views</x:t>
  </x:si>
  <x:si>
    <x:t xml:space="preserve">email notify feature… not considered pfor phase 2</x:t>
  </x:si>
  <x:si>
    <x:t xml:space="preserve">R32</x:t>
  </x:si>
  <x:si>
    <x:t xml:space="preserve">Matching by SOP and care specialisms</x:t>
  </x:si>
  <x:si>
    <x:t xml:space="preserve">R33</x:t>
  </x:si>
  <x:si>
    <x:t xml:space="preserve">Upload and manage placement documentation</x:t>
  </x:si>
  <x:si>
    <x:t xml:space="preserve">R34</x:t>
  </x:si>
  <x:si>
    <x:t xml:space="preserve">Emergency referrals identifiable and prioritised</x:t>
  </x:si>
  <x:si>
    <x:t xml:space="preserve">KPI-91, KPI-94</x:t>
  </x:si>
  <x:si>
    <x:t xml:space="preserve">might be a status field (planned or emergency)</x:t>
  </x:si>
  <x:si>
    <x:t xml:space="preserve">R35</x:t>
  </x:si>
  <x:si>
    <x:t xml:space="preserve">Digitised IPA (review, approvals, signing, audit)</x:t>
  </x:si>
  <x:si>
    <x:t xml:space="preserve">KPI-73–KPI-86</x:t>
  </x:si>
  <x:si>
    <x:t xml:space="preserve">R36</x:t>
  </x:si>
  <x:si>
    <x:t xml:space="preserve">Dedicated view: referrals with outstanding offers / open offers</x:t>
  </x:si>
  <x:si>
    <x:t xml:space="preserve">KPI-10, KPI-29</x:t>
  </x:si>
  <x:si>
    <x:t xml:space="preserve">R38</x:t>
  </x:si>
  <x:si>
    <x:t xml:space="preserve">Record QA assessment outcomes against providers</x:t>
  </x:si>
  <x:si>
    <x:t xml:space="preserve">QA Officer</x:t>
  </x:si>
  <x:si>
    <x:t xml:space="preserve">R39</x:t>
  </x:si>
  <x:si>
    <x:t xml:space="preserve">Desk-based research; identify missing documentation</x:t>
  </x:si>
  <x:si>
    <x:t xml:space="preserve">R41</x:t>
  </x:si>
  <x:si>
    <x:t xml:space="preserve">Apply advisory notices and flags (information notices, safeguarding)</x:t>
  </x:si>
  <x:si>
    <x:t xml:space="preserve">KPI-97, KPI-98, KPI-99</x:t>
  </x:si>
  <x:si>
    <x:t xml:space="preserve">Flags against homes not Provider… should be in a text label</x:t>
  </x:si>
  <x:si>
    <x:t xml:space="preserve">R45</x:t>
  </x:si>
  <x:si>
    <x:t xml:space="preserve">SPOT providers upload registration documentation</x:t>
  </x:si>
  <x:si>
    <x:t xml:space="preserve">R46</x:t>
  </x:si>
  <x:si>
    <x:t xml:space="preserve">QA intelligence for non-framework providers shared appropriately</x:t>
  </x:si>
  <x:si>
    <x:t xml:space="preserve">KPI-46, KPI-47</x:t>
  </x:si>
  <x:si>
    <x:t xml:space="preserve">R47</x:t>
  </x:si>
  <x:si>
    <x:t xml:space="preserve">Monitor documentation expiry; send reminders; highlight missing</x:t>
  </x:si>
  <x:si>
    <x:t xml:space="preserve">KPI-100, KPI-101</x:t>
  </x:si>
  <x:si>
    <x:t xml:space="preserve">documentation will be useful</x:t>
  </x:si>
  <x:si>
    <x:t xml:space="preserve">R48</x:t>
  </x:si>
  <x:si>
    <x:t xml:space="preserve">Providers with incomplete docs excluded from referrals</x:t>
  </x:si>
  <x:si>
    <x:t xml:space="preserve">KPI-102, KPI-103</x:t>
  </x:si>
  <x:si>
    <x:t xml:space="preserve">R49</x:t>
  </x:si>
  <x:si>
    <x:t xml:space="preserve">Easily identify provider due diligence status</x:t>
  </x:si>
  <x:si>
    <x:t xml:space="preserve">KPI-104</x:t>
  </x:si>
  <x:si>
    <x:t xml:space="preserve">R51</x:t>
  </x:si>
  <x:si>
    <x:t xml:space="preserve">Robust data model: placement records, market intelligence, value analysis</x:t>
  </x:si>
  <x:si>
    <x:t xml:space="preserve">KPI-01–KPI-10, KPI-13, KPI-14, KPI-20</x:t>
  </x:si>
  <x:si>
    <x:t xml:space="preserve">R52</x:t>
  </x:si>
  <x:si>
    <x:t xml:space="preserve">Accurate and customisable reporting</x:t>
  </x:si>
  <x:si>
    <x:t xml:space="preserve">KPI-23, KPI-24</x:t>
  </x:si>
  <x:si>
    <x:t xml:space="preserve">R53</x:t>
  </x:si>
  <x:si>
    <x:t xml:space="preserve">Data consistent, exportable, supports bespoke analysis</x:t>
  </x:si>
  <x:si>
    <x:t xml:space="preserve">KPI-88</x:t>
  </x:si>
  <x:si>
    <x:t xml:space="preserve">R54</x:t>
  </x:si>
  <x:si>
    <x:t xml:space="preserve">Capture reasons for declined placements</x:t>
  </x:si>
  <x:si>
    <x:t xml:space="preserve">KPI-34 (partial), KPI-105</x:t>
  </x:si>
  <x:si>
    <x:t xml:space="preserve">R55</x:t>
  </x:si>
  <x:si>
    <x:t xml:space="preserve">RBAC: commissioners access regional data, market-wide trends</x:t>
  </x:si>
  <x:si>
    <x:t xml:space="preserve">R57</x:t>
  </x:si>
  <x:si>
    <x:t xml:space="preserve">Emergency and planned placements separately reportable</x:t>
  </x:si>
  <x:si>
    <x:t xml:space="preserve">KPI-91, KPI-93, KPI-94</x:t>
  </x:si>
  <x:si>
    <x:t xml:space="preserve">Similar to R18</x:t>
  </x:si>
  <x:si>
    <x:t xml:space="preserve">R58</x:t>
  </x:si>
  <x:si>
    <x:t xml:space="preserve">Alert when framework changes during active referrals</x:t>
  </x:si>
  <x:si>
    <x:t xml:space="preserve">KPI-106</x:t>
  </x:si>
  <x:si>
    <x:t xml:space="preserve">***spot proivder are those that arent on the framework…</x:t>
  </x:si>
  <x:si>
    <x:t xml:space="preserve">R59</x:t>
  </x:si>
  <x:si>
    <x:t xml:space="preserve">Bulk provider onboarding supported</x:t>
  </x:si>
  <x:si>
    <x:t xml:space="preserve">KPI-116, KPI-117</x:t>
  </x:si>
  <x:si>
    <x:t xml:space="preserve">R62</x:t>
  </x:si>
  <x:si>
    <x:t xml:space="preserve">View completed placements, access IPAs, extract payment info</x:t>
  </x:si>
  <x:si>
    <x:t xml:space="preserve">Finance Officer</x:t>
  </x:si>
  <x:si>
    <x:t xml:space="preserve">KPI-107, KPI-108, KPI-109</x:t>
  </x:si>
  <x:si>
    <x:t xml:space="preserve">Only completed IPA where both signatures… or completed IPA with 1 signature… IPA with no signatures</x:t>
  </x:si>
  <x:si>
    <x:t xml:space="preserve">R67</x:t>
  </x:si>
  <x:si>
    <x:t xml:space="preserve">Support adding new frameworks</x:t>
  </x:si>
  <x:si>
    <x:t xml:space="preserve">KPI-25, KPI-38</x:t>
  </x:si>
  <x:si>
    <x:t xml:space="preserve">R68</x:t>
  </x:si>
  <x:si>
    <x:t xml:space="preserve">Frameworks configurable: display, hide, isolate by region</x:t>
  </x:si>
  <x:si>
    <x:t xml:space="preserve">R69</x:t>
  </x:si>
  <x:si>
    <x:t xml:space="preserve">Robust analytical data model</x:t>
  </x:si>
  <x:si>
    <x:t xml:space="preserve">R70</x:t>
  </x:si>
  <x:si>
    <x:t xml:space="preserve">Auto-save across workflows</x:t>
  </x:si>
  <x:si>
    <x:t xml:space="preserve">R71</x:t>
  </x:si>
  <x:si>
    <x:t xml:space="preserve">Digitised IPA: review, approvals, signing, full audit</x:t>
  </x:si>
  <x:si>
    <x:t xml:space="preserve">R72</x:t>
  </x:si>
  <x:si>
    <x:t xml:space="preserve">Digitise paper processes: workflow, auditable, trackable, lifecycle</x:t>
  </x:si>
  <x:si>
    <x:t xml:space="preserve">R73</x:t>
  </x:si>
  <x:si>
    <x:t xml:space="preserve">Support future enhancements and Agile delivery</x:t>
  </x:si>
  <x:si>
    <x:t xml:space="preserve">R74</x:t>
  </x:si>
  <x:si>
    <x:t xml:space="preserve">COTS preferred</x:t>
  </x:si>
  <x:si>
    <x:t xml:space="preserve">R75</x:t>
  </x:si>
  <x:si>
    <x:t xml:space="preserve">High availability, scalability, fault tolerance, DR</x:t>
  </x:si>
  <x:si>
    <x:t xml:space="preserve">R76</x:t>
  </x:si>
  <x:si>
    <x:t xml:space="preserve">Access restricted to authorised users</x:t>
  </x:si>
  <x:si>
    <x:t xml:space="preserve">R77</x:t>
  </x:si>
  <x:si>
    <x:t xml:space="preserve">Admin: user management, org onboarding, ownership transfer</x:t>
  </x:si>
  <x:si>
    <x:t xml:space="preserve">R78</x:t>
  </x:si>
  <x:si>
    <x:t xml:space="preserve">RBAC and full auditing mandatory</x:t>
  </x:si>
  <x:si>
    <x:t xml:space="preserve">R79</x:t>
  </x:si>
  <x:si>
    <x:t xml:space="preserve">Break-glass access: controlled, auditable, emergency</x:t>
  </x:si>
  <x:si>
    <x:t xml:space="preserve">R80</x:t>
  </x:si>
  <x:si>
    <x:t xml:space="preserve">Fast document upload/retrieval, RBAC-protected access</x:t>
  </x:si>
  <x:si>
    <x:t xml:space="preserve">R81</x:t>
  </x:si>
  <x:si>
    <x:t xml:space="preserve">WCAG 2.0/2.1/2.2 compliance</x:t>
  </x:si>
  <x:si>
    <x:t xml:space="preserve">R82</x:t>
  </x:si>
  <x:si>
    <x:t xml:space="preserve">Fast response times, scalability, performance reporting</x:t>
  </x:si>
  <x:si>
    <x:t xml:space="preserve">KPI-87</x:t>
  </x:si>
  <x:si>
    <x:t xml:space="preserve">R83</x:t>
  </x:si>
  <x:si>
    <x:t xml:space="preserve">Migrate placements, purchases, providers, OFSTED, frameworks, active placements</x:t>
  </x:si>
  <x:si>
    <x:t xml:space="preserve">R84</x:t>
  </x:si>
  <x:si>
    <x:t xml:space="preserve">Data integrity, retention, export, configurable policies</x:t>
  </x:si>
  <x:si>
    <x:t xml:space="preserve">R85</x:t>
  </x:si>
  <x:si>
    <x:t xml:space="preserve">Deployment: FAQs, user guides, demos, support materials</x:t>
  </x:si>
  <x:si>
    <x:t xml:space="preserve">R86</x:t>
  </x:si>
  <x:si>
    <x:t xml:space="preserve">Device agnostic, browser compatible, mobile friendly</x:t>
  </x:si>
  <x:si>
    <x:t xml:space="preserve">R87</x:t>
  </x:si>
  <x:si>
    <x:t xml:space="preserve">Incident management, issue reporting, SLAs</x:t>
  </x:si>
  <x:si>
    <x:t xml:space="preserve">R88</x:t>
  </x:si>
  <x:si>
    <x:t xml:space="preserve">Modular growth, controlled change, product roadmaps</x:t>
  </x:si>
  <x:si>
    <x:t xml:space="preserve">R89</x:t>
  </x:si>
  <x:si>
    <x:t xml:space="preserve">Stakeholder demos, UAT, formal sign-off</x:t>
  </x:si>
  <x:si>
    <x:t xml:space="preserve">R90</x:t>
  </x:si>
  <x:si>
    <x:t xml:space="preserve">Hosting options, deployment models, cloud strategy</x:t>
  </x:si>
  <x:si>
    <x:t xml:space="preserve">R91</x:t>
  </x:si>
  <x:si>
    <x:t xml:space="preserve">Provider registration: company, services, homes, docs</x:t>
  </x:si>
  <x:si>
    <x:t xml:space="preserve">KPI-40, KPI-41</x:t>
  </x:si>
  <x:si>
    <x:t xml:space="preserve">R92</x:t>
  </x:si>
  <x:si>
    <x:t xml:space="preserve">LA review and approve/reject registrations</x:t>
  </x:si>
  <x:si>
    <x:t xml:space="preserve">R93</x:t>
  </x:si>
  <x:si>
    <x:t xml:space="preserve">Placement officer: provider directory, services, homes, docs</x:t>
  </x:si>
  <x:si>
    <x:t xml:space="preserve">KPI-40–KPI-52</x:t>
  </x:si>
  <x:si>
    <x:t xml:space="preserve">R94</x:t>
  </x:si>
  <x:si>
    <x:t xml:space="preserve">QA: search providers, apply/remove flags</x:t>
  </x:si>
  <x:si>
    <x:t xml:space="preserve">KPI-97, KPI-98 (partial)</x:t>
  </x:si>
  <x:si>
    <x:t xml:space="preserve">R95</x:t>
  </x:si>
  <x:si>
    <x:t xml:space="preserve">Reflect Fostering Framework changes (Q3 2024)</x:t>
  </x:si>
  <x:si>
    <x:t xml:space="preserve">KPI-42, KPI-51</x:t>
  </x:si>
  <x:si>
    <x:t xml:space="preserve">R96</x:t>
  </x:si>
  <x:si>
    <x:t xml:space="preserve">Reflect Residential Framework 2.0 (Spring 2025)</x:t>
  </x:si>
  <x:si>
    <x:t xml:space="preserve">KPI-43, KPI-49</x:t>
  </x:si>
  <x:si>
    <x:t xml:space="preserve">Gold Table</x:t>
  </x:si>
  <x:si>
    <x:t xml:space="preserve">Silver Source</x:t>
  </x:si>
  <x:si>
    <x:t xml:space="preserve">Schema Definition Table</x:t>
  </x:si>
  <x:si>
    <x:t xml:space="preserve">Functional Area</x:t>
  </x:si>
  <x:si>
    <x:t xml:space="preserve">fact_referral_offer</x:t>
  </x:si>
  <x:si>
    <x:t xml:space="preserve">fact_offer</x:t>
  </x:si>
  <x:si>
    <x:t xml:space="preserve">fact_ipa</x:t>
  </x:si>
  <x:si>
    <x:t xml:space="preserve">dim_referral</x:t>
  </x:si>
  <x:si>
    <x:t xml:space="preserve">dim_provider</x:t>
  </x:si>
  <x:si>
    <x:t xml:space="preserve">dim_provider_home</x:t>
  </x:si>
  <x:si>
    <x:t xml:space="preserve">dim_provider_framework</x:t>
  </x:si>
  <x:si>
    <x:t xml:space="preserve">fact_referral_person</x:t>
  </x:si>
  <x:si>
    <x:t xml:space="preserve">fact_referral_category</x:t>
  </x:si>
  <x:si>
    <x:t xml:space="preserve">fact_provider_message</x:t>
  </x:si>
  <x:si>
    <x:t xml:space="preserve">dim_referral_gender</x:t>
  </x:si>
  <x:si>
    <x:t xml:space="preserve">fact_referral_event_log</x:t>
  </x:si>
  <x:si>
    <x:t xml:space="preserve">dim_s3_file_metadata</x:t>
  </x:si>
  <x:si>
    <x:t xml:space="preserve">dim_provider_document</x:t>
  </x:si>
  <x:si>
    <x:t xml:space="preserve">dim_submission_documents</x:t>
  </x:si>
  <x:si>
    <x:t xml:space="preserve">dim_referral_provider_decline_reason</x:t>
  </x:si>
  <x:si>
    <x:t xml:space="preserve">dim_offer_status</x:t>
  </x:si>
</x:sst>
</file>

<file path=xl/styles.xml><?xml version="1.0" encoding="utf-8"?>
<x:styleSheet xmlns:x="http://schemas.openxmlformats.org/spreadsheetml/2006/main">
  <x:numFmts count="1">
    <x:numFmt numFmtId="200" formatCode="dd mmm yyyy"/>
  </x:numFmts>
  <x:fonts count="8">
    <x:font>
      <x:sz val="11"/>
      <x:color theme="1"/>
      <x:name val="Aptos Narrow"/>
      <x:family val="2"/>
      <x:scheme val="minor"/>
    </x:font>
    <x:font>
      <x:sz val="11"/>
      <x:color rgb="FF006100"/>
      <x:name val="Aptos Narrow"/>
      <x:family val="2"/>
      <x:scheme val="minor"/>
    </x:font>
    <x:font>
      <x:sz val="11"/>
      <x:color rgb="FF9C0006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4"/>
      <x:color rgb="FF17365D"/>
      <x:name val="Arial"/>
      <x:family val="2"/>
      <x:scheme val="minor"/>
    </x:font>
    <x:font>
      <x:b/>
      <x:sz val="12"/>
      <x:color rgb="FF17365D"/>
      <x:name val="Arial"/>
      <x:family val="2"/>
      <x:scheme val="minor"/>
    </x:font>
    <x:font>
      <x:sz val="10"/>
      <x:color theme="1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2" borderId="0" applyNumberFormat="0" applyBorder="0" applyAlignment="0" applyProtection="0"/>
    <x:xf numFmtId="0" fontId="2" fillId="3" borderId="0" applyNumberFormat="0" applyBorder="0" applyAlignment="0" applyProtection="0"/>
  </x:cellStyleXfs>
  <x:cellXfs count="36">
    <x:xf numFmtId="0" fontId="0" fillId="0" borderId="0" xfId="0"/>
    <x:xf numFmtId="1" fontId="0" fillId="0" borderId="0" xfId="0" applyNumberFormat="1"/>
    <x:xf numFmtId="0" fontId="3" fillId="0" borderId="0" xfId="0" applyFont="1"/>
    <x:xf numFmtId="0" fontId="1" fillId="2" borderId="0" xfId="1"/>
    <x:xf numFmtId="0" fontId="2" fillId="3" borderId="0" xfId="2"/>
    <x:xf numFmtId="0" fontId="3" fillId="4" borderId="0" xfId="0" applyFont="1" applyFill="1"/>
    <x:xf numFmtId="0" fontId="0" fillId="4" borderId="0" xfId="0" applyFill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4" borderId="0" xfId="0" applyNumberFormat="1" applyFont="1" applyFill="1" applyBorder="1" applyAlignment="1">
      <x:alignment horizontal="right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</x:cellXfs>
  <x:cellStyles count="3">
    <x:cellStyle name="Bad" xfId="2"/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694cd065247ae" /><Relationship Type="http://schemas.openxmlformats.org/officeDocument/2006/relationships/theme" Target="/xl/theme/theme1.xml" Id="Rf37a2a6b17ca426d" /><Relationship Type="http://schemas.openxmlformats.org/officeDocument/2006/relationships/sharedStrings" Target="/xl/sharedStrings.xml" Id="R089134af86354867" /><Relationship Type="http://schemas.openxmlformats.org/officeDocument/2006/relationships/worksheet" Target="/xl/worksheets/sheet1.xml" Id="R36eabce591534a30" /><Relationship Type="http://schemas.openxmlformats.org/officeDocument/2006/relationships/worksheet" Target="/xl/worksheets/sheet2.xml" Id="R13203ee1286e4287" /><Relationship Type="http://schemas.openxmlformats.org/officeDocument/2006/relationships/worksheet" Target="/xl/worksheets/sheet3.xml" Id="R6b7a00e0916f4829" /><Relationship Type="http://schemas.openxmlformats.org/officeDocument/2006/relationships/worksheet" Target="/xl/worksheets/sheet4.xml" Id="R384c3250723b4516" /></Relationships>
</file>

<file path=xl/tables/table1.xml><?xml version="1.0" encoding="utf-8"?>
<x:table xmlns:x="http://schemas.openxmlformats.org/spreadsheetml/2006/main" id="1" name="LegendSourceCoverage" displayName="LegendSourceCoverage" ref="A5:I8" headerRowCount="1" totalsRowCount="0" totalsRowShown="0">
  <x:tableColumns count="9">
    <x:tableColumn id="1" name="Source"/>
    <x:tableColumn id="2" name="Baseline"/>
    <x:tableColumn id="3" name="Tables"/>
    <x:tableColumn id="4" name="Measures"/>
    <x:tableColumn id="5" name="Pages"/>
    <x:tableColumn id="6" name="Snapshot hash"/>
    <x:tableColumn id="7" name="Source location"/>
    <x:tableColumn id="8" name="Status"/>
    <x:tableColumn id="9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gendRequirements" displayName="LegendRequirements" ref="A12:I92" headerRowCount="1" totalsRowCount="0" totalsRowShown="0">
  <x:tableColumns count="9">
    <x:tableColumn id="1" name="Req ID"/>
    <x:tableColumn id="2" name="Requirement"/>
    <x:tableColumn id="3" name="Current assessment"/>
    <x:tableColumn id="4" name="Business evidence"/>
    <x:tableColumn id="5" name="Mission Control contribution"/>
    <x:tableColumn id="6" name="Remaining gap"/>
    <x:tableColumn id="7" name="Action"/>
    <x:tableColumn id="8" name="Scope"/>
    <x:tableColumn id="9" name="Accep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gendBusinessMeasures" displayName="LegendBusinessMeasures" ref="A96:I597" headerRowCount="1" totalsRowCount="0" totalsRowShown="0">
  <x:tableColumns count="9">
    <x:tableColumn id="1" name="Measure"/>
    <x:tableColumn id="2" name="Container"/>
    <x:tableColumn id="3" name="Classification"/>
    <x:tableColumn id="4" name="KPI Definition IDs"/>
    <x:tableColumn id="5" name="Saved page bindings"/>
    <x:tableColumn id="6" name="Physical sources"/>
    <x:tableColumn id="7" name="Current calculation"/>
    <x:tableColumn id="8" name="Full current logic"/>
    <x:tableColumn id="9" name="Verification 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endMissionControl" displayName="LegendMissionControl" ref="A601:I952" headerRowCount="1" totalsRowCount="0" totalsRowShown="0">
  <x:tableColumns count="9">
    <x:tableColumn id="1" name="Measure"/>
    <x:tableColumn id="2" name="Container"/>
    <x:tableColumn id="3" name="Classification"/>
    <x:tableColumn id="4" name="KPI Definition IDs"/>
    <x:tableColumn id="5" name="Saved page bindings"/>
    <x:tableColumn id="6" name="Physical sources"/>
    <x:tableColumn id="7" name="Current calculation"/>
    <x:tableColumn id="8" name="Full current logic"/>
    <x:tableColumn id="9" name="Verification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gendGoldCatalogue" displayName="LegendGoldCatalogue" ref="A956:I1100" headerRowCount="1" totalsRowCount="0" totalsRowShown="0">
  <x:tableColumns count="9">
    <x:tableColumn id="1" name="Gold KPI ID"/>
    <x:tableColumn id="2" name="Business area"/>
    <x:tableColumn id="3" name="DAX measure"/>
    <x:tableColumn id="4" name="Legacy mapping"/>
    <x:tableColumn id="5" name="Requirement IDs"/>
    <x:tableColumn id="6" name="Physical sources"/>
    <x:tableColumn id="7" name="Status"/>
    <x:tableColumn id="8" name="Meaning"/>
    <x:tableColumn id="9" name="Current calcul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gendModelInventory" displayName="LegendModelInventory" ref="A1104:I1211" headerRowCount="1" totalsRowCount="0" totalsRowShown="0">
  <x:tableColumns count="9">
    <x:tableColumn id="1" name="Model"/>
    <x:tableColumn id="2" name="Table"/>
    <x:tableColumn id="3" name="Kind"/>
    <x:tableColumn id="4" name="Physical source"/>
    <x:tableColumn id="5" name="Columns"/>
    <x:tableColumn id="6" name="Measures"/>
    <x:tableColumn id="7" name="Source"/>
    <x:tableColumn id="8" name="Verification"/>
    <x:tableColumn id="9" name="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gendPriorGaps" displayName="LegendPriorGaps" ref="A1215:I1225" headerRowCount="1" totalsRowCount="0" totalsRowShown="0">
  <x:tableColumns count="9">
    <x:tableColumn id="1" name="Gap ID"/>
    <x:tableColumn id="2" name="Business area"/>
    <x:tableColumn id="3" name="KPI / capability"/>
    <x:tableColumn id="4" name="Legacy KPI mapping"/>
    <x:tableColumn id="5" name="Requirement IDs"/>
    <x:tableColumn id="6" name="Status"/>
    <x:tableColumn id="7" name="Reason / next Gold-model change"/>
    <x:tableColumn id="8" name="Review"/>
    <x:tableColumn id="9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650fd4dd53a40fe" /><Relationship Type="http://schemas.openxmlformats.org/officeDocument/2006/relationships/table" Target="/xl/tables/table2.xml" Id="R7c973548103e49ac" /><Relationship Type="http://schemas.openxmlformats.org/officeDocument/2006/relationships/table" Target="/xl/tables/table3.xml" Id="R850aeb40c6454563" /><Relationship Type="http://schemas.openxmlformats.org/officeDocument/2006/relationships/table" Target="/xl/tables/table4.xml" Id="R7e0122d8e89845c3" /><Relationship Type="http://schemas.openxmlformats.org/officeDocument/2006/relationships/table" Target="/xl/tables/table5.xml" Id="Re302f0739c3c46df" /><Relationship Type="http://schemas.openxmlformats.org/officeDocument/2006/relationships/table" Target="/xl/tables/table6.xml" Id="Rbb2db437ac924ef3" /><Relationship Type="http://schemas.openxmlformats.org/officeDocument/2006/relationships/table" Target="/xl/tables/table7.xml" Id="Rf232a4a2693e4019" /></Relationships>
</file>

<file path=xl/worksheets/sheet1.xml><?xml version="1.0" encoding="utf-8"?>
<x:worksheet xmlns:x="http://schemas.openxmlformats.org/spreadsheetml/2006/main">
  <x:sheetFormatPr defaultRowHeight="15"/>
  <x:cols>
    <x:col min="1" max="1" width="10.453125" style="1" customWidth="1"/>
    <x:col min="2" max="2" width="10.7265625" customWidth="1"/>
    <x:col min="3" max="3" width="65.54296875" customWidth="1"/>
    <x:col min="4" max="4" width="17.7265625" customWidth="1"/>
    <x:col min="5" max="5" width="16.54296875" customWidth="1"/>
    <x:col min="6" max="6" width="20.1796875" customWidth="1"/>
    <x:col min="7" max="7" width="21.1796875" customWidth="1"/>
    <x:col min="8" max="8" width="34.54296875" customWidth="1"/>
    <x:col min="9" max="9" width="25.7265625" customWidth="1"/>
    <x:col min="11" max="11" width="15.1796875" customWidth="1"/>
  </x:cols>
  <x:sheetData>
    <x:row r="1" ht="30" customHeight="1">
      <x:c r="A1" s="19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/>
      <x:c r="K1" s="7" t="s">
        <x:v>9</x:v>
      </x:c>
    </x:row>
    <x:row r="2" ht="85" customHeight="1">
      <x:c r="A2" s="11" t="n">
        <x:f t="shared" ref="A2:A65" si="0">VALUE(TRIM(SUBSTITUTE(B2,"R","",1)))</x:f>
        <x:v>1</x:v>
      </x:c>
      <x:c r="B2" s="12" t="s">
        <x:v>10</x:v>
      </x:c>
      <x:c r="C2" s="13" t="s">
        <x:v>11</x:v>
      </x:c>
      <x:c r="D2" s="13" t="s">
        <x:v>12</x:v>
      </x:c>
      <x:c r="E2" s="13" t="s">
        <x:v>13</x:v>
      </x:c>
      <x:c r="F2" s="13" t="s">
        <x:v>14</x:v>
      </x:c>
      <x:c r="G2" s="13" t="str">
        <x:v>Partial reporting</x:v>
      </x:c>
      <x:c r="H2" s="13" t="str">
        <x:v>The report exposes demand and assignments; it does not publish referrals or place children. Support-needs analysis is not in the WIP model. Historical v1 status: ✅ Implemented.</x:v>
      </x:c>
      <x:c r="I2" s="13" t="str">
        <x:v>Validate explorer results and obtain portal-workflow evidence.</x:v>
      </x:c>
      <x:c r="J2" s="13"/>
      <x:c r="K2" s="13"/>
    </x:row>
    <x:row r="3" ht="72" customHeight="1">
      <x:c r="A3" s="11">
        <x:f t="shared" si="0"/>
        <x:v>2</x:v>
      </x:c>
      <x:c r="B3" s="12" t="s">
        <x:v>15</x:v>
      </x:c>
      <x:c r="C3" s="13" t="s">
        <x:v>16</x:v>
      </x:c>
      <x:c r="D3" s="13" t="s">
        <x:v>17</x:v>
      </x:c>
      <x:c r="E3" s="13" t="s">
        <x:v>18</x:v>
      </x:c>
      <x:c r="F3" s="13" t="s">
        <x:v>19</x:v>
      </x:c>
      <x:c r="G3" s="13" t="str">
        <x:v>Outside report assessment</x:v>
      </x:c>
      <x:c r="H3" s="13" t="str">
        <x:v>Architecture, procurement, API or data-entry requirement; a KPI cannot establish compliance. Historical v1 status: ℹ️ Non-functional.</x:v>
      </x:c>
      <x:c r="I3" s="13" t="str">
        <x:v>Retain source-system or project acceptance evidence.</x:v>
      </x:c>
      <x:c r="J3" s="13"/>
      <x:c r="K3" s="13"/>
    </x:row>
    <x:row r="4" ht="72" customHeight="1">
      <x:c r="A4" s="11">
        <x:f t="shared" si="0"/>
        <x:v>3</x:v>
      </x:c>
      <x:c r="B4" s="12" t="s">
        <x:v>20</x:v>
      </x:c>
      <x:c r="C4" s="13" t="s">
        <x:v>21</x:v>
      </x:c>
      <x:c r="D4" s="13" t="s">
        <x:v>17</x:v>
      </x:c>
      <x:c r="E4" s="13" t="s">
        <x:v>13</x:v>
      </x:c>
      <x:c r="F4" s="13" t="s">
        <x:v>19</x:v>
      </x:c>
      <x:c r="G4" s="13" t="str">
        <x:v>Outside report assessment</x:v>
      </x:c>
      <x:c r="H4" s="13" t="str">
        <x:v>Architecture, procurement, API or data-entry requirement; a KPI cannot establish compliance. Historical v1 status: ℹ️ Non-functional.</x:v>
      </x:c>
      <x:c r="I4" s="13" t="str">
        <x:v>Retain source-system or project acceptance evidence.</x:v>
      </x:c>
      <x:c r="J4" s="13"/>
      <x:c r="K4" s="13"/>
    </x:row>
    <x:row r="5" ht="72" customHeight="1">
      <x:c r="A5" s="11">
        <x:f t="shared" si="0"/>
        <x:v>4</x:v>
      </x:c>
      <x:c r="B5" s="12" t="s">
        <x:v>22</x:v>
      </x:c>
      <x:c r="C5" s="13" t="s">
        <x:v>23</x:v>
      </x:c>
      <x:c r="D5" s="13" t="s">
        <x:v>17</x:v>
      </x:c>
      <x:c r="E5" s="13" t="s">
        <x:v>18</x:v>
      </x:c>
      <x:c r="F5" s="13" t="s">
        <x:v>19</x:v>
      </x:c>
      <x:c r="G5" s="13" t="str">
        <x:v>Outside report assessment</x:v>
      </x:c>
      <x:c r="H5" s="13" t="str">
        <x:v>Architecture, procurement, API or data-entry requirement; a KPI cannot establish compliance. Historical v1 status: ℹ️ Non-functional.</x:v>
      </x:c>
      <x:c r="I5" s="13" t="str">
        <x:v>Retain source-system or project acceptance evidence.</x:v>
      </x:c>
      <x:c r="J5" s="13"/>
      <x:c r="K5" s="13"/>
    </x:row>
    <x:row r="6" ht="72" customHeight="1">
      <x:c r="A6" s="11">
        <x:f t="shared" si="0"/>
        <x:v>5</x:v>
      </x:c>
      <x:c r="B6" s="12" t="s">
        <x:v>24</x:v>
      </x:c>
      <x:c r="C6" s="13" t="s">
        <x:v>25</x:v>
      </x:c>
      <x:c r="D6" s="13" t="s">
        <x:v>17</x:v>
      </x:c>
      <x:c r="E6" s="13" t="s">
        <x:v>18</x:v>
      </x:c>
      <x:c r="F6" s="13" t="s">
        <x:v>19</x:v>
      </x:c>
      <x:c r="G6" s="13" t="str">
        <x:v>Outside report assessment</x:v>
      </x:c>
      <x:c r="H6" s="13" t="str">
        <x:v>Architecture, procurement, API or data-entry requirement; a KPI cannot establish compliance. Historical v1 status: ℹ️ Non-functional.</x:v>
      </x:c>
      <x:c r="I6" s="13" t="str">
        <x:v>Retain source-system or project acceptance evidence.</x:v>
      </x:c>
      <x:c r="J6" s="13"/>
      <x:c r="K6" s="13"/>
    </x:row>
    <x:row r="7" ht="72" customHeight="1">
      <x:c r="A7" s="11">
        <x:f t="shared" si="0"/>
        <x:v>6</x:v>
      </x:c>
      <x:c r="B7" s="12" t="s">
        <x:v>26</x:v>
      </x:c>
      <x:c r="C7" s="13" t="s">
        <x:v>27</x:v>
      </x:c>
      <x:c r="D7" s="13" t="s">
        <x:v>17</x:v>
      </x:c>
      <x:c r="E7" s="13" t="s">
        <x:v>18</x:v>
      </x:c>
      <x:c r="F7" s="13" t="s">
        <x:v>19</x:v>
      </x:c>
      <x:c r="G7" s="13" t="str">
        <x:v>Outside report assessment</x:v>
      </x:c>
      <x:c r="H7" s="13" t="str">
        <x:v>Architecture, procurement, API or data-entry requirement; a KPI cannot establish compliance. Historical v1 status: ℹ️ Non-functional.</x:v>
      </x:c>
      <x:c r="I7" s="13" t="str">
        <x:v>Retain source-system or project acceptance evidence.</x:v>
      </x:c>
      <x:c r="J7" s="13"/>
      <x:c r="K7" s="13"/>
    </x:row>
    <x:row r="8" ht="72" customHeight="1">
      <x:c r="A8" s="11">
        <x:f t="shared" si="0"/>
        <x:v>7</x:v>
      </x:c>
      <x:c r="B8" s="12" t="s">
        <x:v>28</x:v>
      </x:c>
      <x:c r="C8" s="13" t="s">
        <x:v>29</x:v>
      </x:c>
      <x:c r="D8" s="13" t="s">
        <x:v>17</x:v>
      </x:c>
      <x:c r="E8" s="13" t="s">
        <x:v>13</x:v>
      </x:c>
      <x:c r="F8" s="13" t="s">
        <x:v>19</x:v>
      </x:c>
      <x:c r="G8" s="13" t="str">
        <x:v>Outside report assessment</x:v>
      </x:c>
      <x:c r="H8" s="13" t="str">
        <x:v>Architecture, procurement, API or data-entry requirement; a KPI cannot establish compliance. Historical v1 status: ℹ️ Non-functional.</x:v>
      </x:c>
      <x:c r="I8" s="13" t="str">
        <x:v>Retain source-system or project acceptance evidence.</x:v>
      </x:c>
      <x:c r="J8" s="13"/>
      <x:c r="K8" s="13"/>
    </x:row>
    <x:row r="9" ht="72" customHeight="1">
      <x:c r="A9" s="11">
        <x:f t="shared" si="0"/>
        <x:v>8</x:v>
      </x:c>
      <x:c r="B9" s="12" t="s">
        <x:v>30</x:v>
      </x:c>
      <x:c r="C9" s="13" t="s">
        <x:v>31</x:v>
      </x:c>
      <x:c r="D9" s="13" t="s">
        <x:v>17</x:v>
      </x:c>
      <x:c r="E9" s="13" t="s">
        <x:v>18</x:v>
      </x:c>
      <x:c r="F9" s="13" t="s">
        <x:v>19</x:v>
      </x:c>
      <x:c r="G9" s="13" t="str">
        <x:v>Outside report assessment</x:v>
      </x:c>
      <x:c r="H9" s="13" t="str">
        <x:v>Architecture, procurement, API or data-entry requirement; a KPI cannot establish compliance. Historical v1 status: ℹ️ Non-functional.</x:v>
      </x:c>
      <x:c r="I9" s="13" t="str">
        <x:v>Retain source-system or project acceptance evidence.</x:v>
      </x:c>
      <x:c r="J9" s="13"/>
      <x:c r="K9" s="13"/>
    </x:row>
    <x:row r="10" ht="59" customHeight="1">
      <x:c r="A10" s="11">
        <x:f t="shared" si="0"/>
        <x:v>9</x:v>
      </x:c>
      <x:c r="B10" s="12" t="s">
        <x:v>32</x:v>
      </x:c>
      <x:c r="C10" s="13" t="s">
        <x:v>33</x:v>
      </x:c>
      <x:c r="D10" s="13" t="s">
        <x:v>12</x:v>
      </x:c>
      <x:c r="E10" s="13" t="s">
        <x:v>34</x:v>
      </x:c>
      <x:c r="F10" s="13" t="s">
        <x:v>19</x:v>
      </x:c>
      <x:c r="G10" s="13" t="str">
        <x:v>Outside report assessment</x:v>
      </x:c>
      <x:c r="H10" s="13" t="str">
        <x:v>Architecture, procurement, API or data-entry requirement; a KPI cannot establish compliance. Historical v1 status: ℹ️ Feature.</x:v>
      </x:c>
      <x:c r="I10" s="13" t="str">
        <x:v>Retain source-system or project acceptance evidence.</x:v>
      </x:c>
      <x:c r="J10" s="13"/>
      <x:c r="K10" s="13"/>
    </x:row>
    <x:row r="11" ht="85" customHeight="1">
      <x:c r="A11" s="11">
        <x:f t="shared" si="0"/>
        <x:v>11</x:v>
      </x:c>
      <x:c r="B11" s="12" t="s">
        <x:v>35</x:v>
      </x:c>
      <x:c r="C11" s="13" t="s">
        <x:v>36</x:v>
      </x:c>
      <x:c r="D11" s="13" t="s">
        <x:v>12</x:v>
      </x:c>
      <x:c r="E11" s="13" t="s">
        <x:v>13</x:v>
      </x:c>
      <x:c r="F11" s="13" t="s">
        <x:v>14</x:v>
      </x:c>
      <x:c r="G11" s="13" t="str">
        <x:v>Partial reporting</x:v>
      </x:c>
      <x:c r="H11" s="13" t="str">
        <x:v>The report exposes demand and assignments; it does not publish referrals or place children. Support-needs analysis is not in the WIP model. Historical v1 status: ✅ Implemented.</x:v>
      </x:c>
      <x:c r="I11" s="13" t="str">
        <x:v>Validate explorer results and obtain portal-workflow evidence.</x:v>
      </x:c>
      <x:c r="J11" s="13"/>
      <x:c r="K11" s="13"/>
    </x:row>
    <x:row r="12" ht="85" customHeight="1">
      <x:c r="A12" s="11">
        <x:f t="shared" si="0"/>
        <x:v>12</x:v>
      </x:c>
      <x:c r="B12" s="12" t="s">
        <x:v>37</x:v>
      </x:c>
      <x:c r="C12" s="13" t="s">
        <x:v>38</x:v>
      </x:c>
      <x:c r="D12" s="13" t="s">
        <x:v>17</x:v>
      </x:c>
      <x:c r="E12" s="13" t="s">
        <x:v>13</x:v>
      </x:c>
      <x:c r="F12" s="13" t="s">
        <x:v>19</x:v>
      </x:c>
      <x:c r="G12" s="13" t="str">
        <x:v>Security acceptance pending</x:v>
      </x:c>
      <x:c r="H12" s="13" t="str">
        <x:v>Role definitions exist, but authorised identity tests, access provisioning, small-cell disclosure and break-glass controls are not signed off. Historical v1 status: ℹ️ Security.</x:v>
      </x:c>
      <x:c r="I12" s="13" t="str">
        <x:v>Approve mappings and disclosure policy; execute role and Service-access tests.</x:v>
      </x:c>
      <x:c r="J12" s="13"/>
      <x:c r="K12" s="13"/>
    </x:row>
    <x:row r="13" ht="59" customHeight="1">
      <x:c r="A13" s="11">
        <x:f t="shared" si="0"/>
        <x:v>13</x:v>
      </x:c>
      <x:c r="B13" s="12" t="s">
        <x:v>39</x:v>
      </x:c>
      <x:c r="C13" s="13" t="s">
        <x:v>40</x:v>
      </x:c>
      <x:c r="D13" s="13" t="s">
        <x:v>12</x:v>
      </x:c>
      <x:c r="E13" s="13" t="s">
        <x:v>34</x:v>
      </x:c>
      <x:c r="F13" s="13" t="s">
        <x:v>41</x:v>
      </x:c>
      <x:c r="G13" s="13" t="str">
        <x:v>Built; UAT pending</x:v>
      </x:c>
      <x:c r="H13" s="13" t="str">
        <x:v>Priority and placement urgency band both remain. Category counts are not additive. Historical v1 status: ✅ Implemented.</x:v>
      </x:c>
      <x:c r="I13" s="13" t="str">
        <x:v>Confirm retained priority field and test combined slicers.</x:v>
      </x:c>
      <x:c r="J13" s="13"/>
      <x:c r="K13" s="13"/>
    </x:row>
    <x:row r="14" ht="85" customHeight="1">
      <x:c r="A14" s="11">
        <x:f t="shared" si="0"/>
        <x:v>14</x:v>
      </x:c>
      <x:c r="B14" s="12" t="s">
        <x:v>42</x:v>
      </x:c>
      <x:c r="C14" s="13" t="s">
        <x:v>43</x:v>
      </x:c>
      <x:c r="D14" s="13" t="s">
        <x:v>12</x:v>
      </x:c>
      <x:c r="E14" s="14" t="s">
        <x:v>44</x:v>
      </x:c>
      <x:c r="F14" s="13" t="s">
        <x:v>45</x:v>
      </x:c>
      <x:c r="G14" s="13" t="str">
        <x:v>Partial reporting</x:v>
      </x:c>
      <x:c r="H14" s="15" t="str">
        <x:v>Message text and read timestamps are available. Provider authorship, paired response time and unread-priority semantics remain unapproved. Historical v1 status: ❌ Missing.</x:v>
      </x:c>
      <x:c r="I14" s="13" t="str">
        <x:v>Approve author and unread rules before message SLA KPIs.</x:v>
      </x:c>
      <x:c r="J14" s="13"/>
      <x:c r="K14" s="13" t="s">
        <x:v>46</x:v>
      </x:c>
    </x:row>
    <x:row r="15" ht="72" customHeight="1">
      <x:c r="A15" s="11">
        <x:f t="shared" si="0"/>
        <x:v>15</x:v>
      </x:c>
      <x:c r="B15" s="12" t="s">
        <x:v>47</x:v>
      </x:c>
      <x:c r="C15" s="13" t="s">
        <x:v>48</x:v>
      </x:c>
      <x:c r="D15" s="13" t="s">
        <x:v>12</x:v>
      </x:c>
      <x:c r="E15" s="13" t="s">
        <x:v>13</x:v>
      </x:c>
      <x:c r="F15" s="13" t="s">
        <x:v>49</x:v>
      </x:c>
      <x:c r="G15" s="13" t="str">
        <x:v>Partial reporting</x:v>
      </x:c>
      <x:c r="H15" s="13" t="str">
        <x:v>IPA-grain signing is implemented; the report does not perform signing, approval or certify a full audit trail. Historical v1 status: ✅ Implemented.</x:v>
      </x:c>
      <x:c r="I15" s="13" t="str">
        <x:v>Reconcile both signatures on the same IPA, closed unsigned IPAs and multiple IPAs per offer.</x:v>
      </x:c>
      <x:c r="J15" s="13"/>
      <x:c r="K15" s="13"/>
    </x:row>
    <x:row r="16" ht="59" customHeight="1">
      <x:c r="A16" s="11">
        <x:f t="shared" si="0"/>
        <x:v>16</x:v>
      </x:c>
      <x:c r="B16" s="12" t="s">
        <x:v>50</x:v>
      </x:c>
      <x:c r="C16" s="13" t="s">
        <x:v>51</x:v>
      </x:c>
      <x:c r="D16" s="13" t="s">
        <x:v>12</x:v>
      </x:c>
      <x:c r="E16" s="13" t="s">
        <x:v>34</x:v>
      </x:c>
      <x:c r="F16" s="13" t="s">
        <x:v>19</x:v>
      </x:c>
      <x:c r="G16" s="13" t="str">
        <x:v>Built; UAT pending</x:v>
      </x:c>
      <x:c r="H16" s="13" t="str">
        <x:v>Priority and placement urgency band both remain. Category counts are not additive. Historical v1 status: ℹ️ Feature.</x:v>
      </x:c>
      <x:c r="I16" s="13" t="str">
        <x:v>Confirm retained priority field and test combined slicers.</x:v>
      </x:c>
      <x:c r="J16" s="13"/>
      <x:c r="K16" s="13"/>
    </x:row>
    <x:row r="17" ht="72" customHeight="1">
      <x:c r="A17" s="11">
        <x:f t="shared" si="0"/>
        <x:v>17</x:v>
      </x:c>
      <x:c r="B17" s="12" t="s">
        <x:v>52</x:v>
      </x:c>
      <x:c r="C17" s="13" t="s">
        <x:v>53</x:v>
      </x:c>
      <x:c r="D17" s="13" t="s">
        <x:v>12</x:v>
      </x:c>
      <x:c r="E17" s="13" t="s">
        <x:v>13</x:v>
      </x:c>
      <x:c r="F17" s="13" t="s">
        <x:v>54</x:v>
      </x:c>
      <x:c r="G17" s="13" t="str">
        <x:v>Partial reporting</x:v>
      </x:c>
      <x:c r="H17" s="13" t="str">
        <x:v>Read-only detail and journey evidence exist. Immediate portal availability or write workflows are not proven. Historical v1 status: ✅ Implemented.</x:v>
      </x:c>
      <x:c r="I17" s="13" t="str">
        <x:v>Test referral drillthrough with known records and confirm portal workflow.</x:v>
      </x:c>
      <x:c r="J17" s="13"/>
      <x:c r="K17" s="13"/>
    </x:row>
    <x:row r="18" ht="85" customHeight="1">
      <x:c r="A18" s="11">
        <x:f t="shared" si="0"/>
        <x:v>18</x:v>
      </x:c>
      <x:c r="B18" s="12" t="s">
        <x:v>55</x:v>
      </x:c>
      <x:c r="C18" s="13" t="s">
        <x:v>56</x:v>
      </x:c>
      <x:c r="D18" s="13" t="s">
        <x:v>12</x:v>
      </x:c>
      <x:c r="E18" s="13" t="s">
        <x:v>13</x:v>
      </x:c>
      <x:c r="F18" s="13" t="s">
        <x:v>57</x:v>
      </x:c>
      <x:c r="G18" s="13" t="str">
        <x:v>Partial reporting</x:v>
      </x:c>
      <x:c r="H18" s="15" t="str">
        <x:v>Emergency uses the Gold same-day-date rule on OPEN/UNDER_OFFER referrals, not a statutory emergency source classification or spot status. Historical v1 status: ❌ Missing.</x:v>
      </x:c>
      <x:c r="I18" s="13" t="str">
        <x:v>Approve emergency definition and finance categorisation; test missing and reversed dates.</x:v>
      </x:c>
      <x:c r="J18" s="13"/>
      <x:c r="K18" s="13"/>
    </x:row>
    <x:row r="19" ht="72" customHeight="1">
      <x:c r="A19" s="11">
        <x:f t="shared" si="0"/>
        <x:v>19</x:v>
      </x:c>
      <x:c r="B19" s="12" t="s">
        <x:v>58</x:v>
      </x:c>
      <x:c r="C19" s="13" t="s">
        <x:v>59</x:v>
      </x:c>
      <x:c r="D19" s="13" t="s">
        <x:v>12</x:v>
      </x:c>
      <x:c r="E19" s="15" t="s">
        <x:v>18</x:v>
      </x:c>
      <x:c r="F19" s="13" t="s">
        <x:v>60</x:v>
      </x:c>
      <x:c r="G19" s="13" t="str">
        <x:v>Partial reporting</x:v>
      </x:c>
      <x:c r="H19" s="13" t="str">
        <x:v>Derived lifecycle events do not provide durable full audit history, exact signature events or notification delivery. Historical v1 status: ❌ Missing.</x:v>
      </x:c>
      <x:c r="I19" s="13" t="str">
        <x:v>Confirm event coverage; source durable changes and notification outcomes.</x:v>
      </x:c>
      <x:c r="J19" s="13"/>
      <x:c r="K19" s="13"/>
    </x:row>
    <x:row r="20" ht="137" customHeight="1">
      <x:c r="A20" s="11">
        <x:f t="shared" si="0"/>
        <x:v>20</x:v>
      </x:c>
      <x:c r="B20" s="12" t="s">
        <x:v>61</x:v>
      </x:c>
      <x:c r="C20" s="13" t="s">
        <x:v>62</x:v>
      </x:c>
      <x:c r="D20" s="13" t="s">
        <x:v>63</x:v>
      </x:c>
      <x:c r="E20" s="13" t="s">
        <x:v>34</x:v>
      </x:c>
      <x:c r="F20" s="13" t="s">
        <x:v>64</x:v>
      </x:c>
      <x:c r="G20" s="13" t="str">
        <x:v>Partial reporting</x:v>
      </x:c>
      <x:c r="H20" s="13" t="str">
        <x:v>Derived lifecycle events do not provide durable full audit history, exact signature events or notification delivery. Mission Control: Operational context only. Pipeline/job execution is not the business placement, signature or notification audit trail. Historical v1 status: ❌ Missing.</x:v>
      </x:c>
      <x:c r="I20" s="13" t="str">
        <x:v>Confirm event coverage; source durable changes and notification outcomes. Validate the Mission Control measures and page filters against known runs; proposed R-to-operational-measure association requires owner approval.</x:v>
      </x:c>
      <x:c r="J20" s="13"/>
      <x:c r="K20" s="15" t="s">
        <x:v>65</x:v>
      </x:c>
    </x:row>
    <x:row r="21" ht="72" customHeight="1">
      <x:c r="A21" s="11">
        <x:f t="shared" si="0"/>
        <x:v>21</x:v>
      </x:c>
      <x:c r="B21" s="12" t="s">
        <x:v>66</x:v>
      </x:c>
      <x:c r="C21" s="13" t="s">
        <x:v>67</x:v>
      </x:c>
      <x:c r="D21" s="13" t="s">
        <x:v>12</x:v>
      </x:c>
      <x:c r="E21" s="13" t="s">
        <x:v>34</x:v>
      </x:c>
      <x:c r="F21" s="13" t="s">
        <x:v>19</x:v>
      </x:c>
      <x:c r="G21" s="13" t="str">
        <x:v>Outside report assessment</x:v>
      </x:c>
      <x:c r="H21" s="13" t="str">
        <x:v>Read-only reporting cannot implement notifications, matching, upload, record editing or operational visibility rules. Historical v1 status: ℹ️ Feature.</x:v>
      </x:c>
      <x:c r="I21" s="13" t="str">
        <x:v>Obtain source-system workflow acceptance separately.</x:v>
      </x:c>
      <x:c r="J21" s="13"/>
      <x:c r="K21" s="13"/>
    </x:row>
    <x:row r="22" ht="98" customHeight="1">
      <x:c r="A22" s="11">
        <x:f t="shared" si="0"/>
        <x:v>22</x:v>
      </x:c>
      <x:c r="B22" s="12" t="s">
        <x:v>68</x:v>
      </x:c>
      <x:c r="C22" s="13" t="s">
        <x:v>69</x:v>
      </x:c>
      <x:c r="D22" s="13" t="s">
        <x:v>12</x:v>
      </x:c>
      <x:c r="E22" s="14" t="s">
        <x:v>70</x:v>
      </x:c>
      <x:c r="F22" s="13" t="s">
        <x:v>71</x:v>
      </x:c>
      <x:c r="G22" s="13" t="str">
        <x:v>Open data gap</x:v>
      </x:c>
      <x:c r="H22" s="13" t="str">
        <x:v>Provider/home postcode and preferred-city distance are not referral-origin or placement-region evidence. Multiple provider assignments is not out-of-region placement. Historical v1 status: ❌ Missing.</x:v>
      </x:c>
      <x:c r="I22" s="13" t="str">
        <x:v>Obtain governed origin/destination region and an approved out-of-region rule.</x:v>
      </x:c>
      <x:c r="J22" s="13"/>
      <x:c r="K22" s="15" t="s">
        <x:v>72</x:v>
      </x:c>
    </x:row>
    <x:row r="23" ht="98" customHeight="1">
      <x:c r="A23" s="11">
        <x:f t="shared" si="0"/>
        <x:v>24</x:v>
      </x:c>
      <x:c r="B23" s="12" t="s">
        <x:v>73</x:v>
      </x:c>
      <x:c r="C23" s="13" t="s">
        <x:v>74</x:v>
      </x:c>
      <x:c r="D23" s="13" t="s">
        <x:v>12</x:v>
      </x:c>
      <x:c r="E23" s="13" t="s">
        <x:v>13</x:v>
      </x:c>
      <x:c r="F23" s="13" t="s">
        <x:v>75</x:v>
      </x:c>
      <x:c r="G23" s="13" t="str">
        <x:v>Partial reporting</x:v>
      </x:c>
      <x:c r="H23" s="13" t="str">
        <x:v>Status, engagement and journey reporting are built. Task management and quick updates are portal functions; newest journey rendering/clicks remain unverified. Historical v1 status: ✅ Implemented.</x:v>
      </x:c>
      <x:c r="I23" s="13" t="str">
        <x:v>Refresh WIP; test stage selectors, filters and drillthrough; review portal tasks separately.</x:v>
      </x:c>
      <x:c r="J23" s="13"/>
      <x:c r="K23" s="13"/>
    </x:row>
    <x:row r="24" ht="72" customHeight="1">
      <x:c r="A24" s="11">
        <x:f t="shared" si="0"/>
        <x:v>25</x:v>
      </x:c>
      <x:c r="B24" s="12" t="s">
        <x:v>76</x:v>
      </x:c>
      <x:c r="C24" s="13" t="s">
        <x:v>77</x:v>
      </x:c>
      <x:c r="D24" s="13" t="s">
        <x:v>78</x:v>
      </x:c>
      <x:c r="E24" s="13" t="s">
        <x:v>13</x:v>
      </x:c>
      <x:c r="F24" s="13" t="s">
        <x:v>79</x:v>
      </x:c>
      <x:c r="G24" s="13" t="str">
        <x:v>Partial reporting</x:v>
      </x:c>
      <x:c r="H24" s="13" t="str">
        <x:v>Read-only detail and journey evidence exist. Immediate portal availability or write workflows are not proven. Historical v1 status: ✅ Implemented.</x:v>
      </x:c>
      <x:c r="I24" s="13" t="str">
        <x:v>Test referral drillthrough with known records and confirm portal workflow.</x:v>
      </x:c>
      <x:c r="J24" s="13"/>
      <x:c r="K24" s="13"/>
    </x:row>
    <x:row r="25" ht="72" customHeight="1">
      <x:c r="A25" s="11">
        <x:f t="shared" si="0"/>
        <x:v>26</x:v>
      </x:c>
      <x:c r="B25" s="12" t="s">
        <x:v>80</x:v>
      </x:c>
      <x:c r="C25" s="13" t="s">
        <x:v>81</x:v>
      </x:c>
      <x:c r="D25" s="13" t="s">
        <x:v>78</x:v>
      </x:c>
      <x:c r="E25" s="13" t="s">
        <x:v>13</x:v>
      </x:c>
      <x:c r="F25" s="13" t="s">
        <x:v>82</x:v>
      </x:c>
      <x:c r="G25" s="13" t="str">
        <x:v>Partial reporting</x:v>
      </x:c>
      <x:c r="H25" s="13" t="str">
        <x:v>Provider and offer analysis exists; no approved suitability score or automatic matching algorithm is implemented. Historical v1 status: ✅ Implemented.</x:v>
      </x:c>
      <x:c r="I25" s="13" t="str">
        <x:v>Validate provider cohort attribution and agree any scoring policy.</x:v>
      </x:c>
      <x:c r="J25" s="13"/>
      <x:c r="K25" s="13"/>
    </x:row>
    <x:row r="26" ht="85" customHeight="1">
      <x:c r="A26" s="11">
        <x:f t="shared" si="0"/>
        <x:v>27</x:v>
      </x:c>
      <x:c r="B26" s="12" t="s">
        <x:v>83</x:v>
      </x:c>
      <x:c r="C26" s="13" t="s">
        <x:v>84</x:v>
      </x:c>
      <x:c r="D26" s="13" t="s">
        <x:v>78</x:v>
      </x:c>
      <x:c r="E26" s="13" t="s">
        <x:v>34</x:v>
      </x:c>
      <x:c r="F26" s="13" t="s">
        <x:v>19</x:v>
      </x:c>
      <x:c r="G26" s="13" t="str">
        <x:v>Partial reporting</x:v>
      </x:c>
      <x:c r="H26" s="13" t="str">
        <x:v>Message text and read timestamps are available. Provider authorship, paired response time and unread-priority semantics remain unapproved. Historical v1 status: ℹ️ Feature.</x:v>
      </x:c>
      <x:c r="I26" s="13" t="str">
        <x:v>Approve author and unread rules before message SLA KPIs.</x:v>
      </x:c>
      <x:c r="J26" s="13"/>
      <x:c r="K26" s="13"/>
    </x:row>
    <x:row r="27" ht="72" customHeight="1">
      <x:c r="A27" s="11">
        <x:f t="shared" si="0"/>
        <x:v>28</x:v>
      </x:c>
      <x:c r="B27" s="12" t="s">
        <x:v>85</x:v>
      </x:c>
      <x:c r="C27" s="13" t="s">
        <x:v>86</x:v>
      </x:c>
      <x:c r="D27" s="13" t="s">
        <x:v>78</x:v>
      </x:c>
      <x:c r="E27" s="13" t="s">
        <x:v>13</x:v>
      </x:c>
      <x:c r="F27" s="13" t="s">
        <x:v>87</x:v>
      </x:c>
      <x:c r="G27" s="13" t="str">
        <x:v>Partial reporting</x:v>
      </x:c>
      <x:c r="H27" s="13" t="str">
        <x:v>Offer decisions are reportable. Accept/reject/request-information actions are not performed by Power BI. Historical v1 status: ✅ Implemented.</x:v>
      </x:c>
      <x:c r="I27" s="13" t="str">
        <x:v>Reconcile offer statuses and test the source workflow.</x:v>
      </x:c>
      <x:c r="J27" s="13"/>
      <x:c r="K27" s="13"/>
    </x:row>
    <x:row r="28" ht="72" customHeight="1">
      <x:c r="A28" s="11">
        <x:f t="shared" si="0"/>
        <x:v>29</x:v>
      </x:c>
      <x:c r="B28" s="12" t="s">
        <x:v>88</x:v>
      </x:c>
      <x:c r="C28" s="13" t="s">
        <x:v>89</x:v>
      </x:c>
      <x:c r="D28" s="13" t="s">
        <x:v>78</x:v>
      </x:c>
      <x:c r="E28" s="13" t="s">
        <x:v>34</x:v>
      </x:c>
      <x:c r="F28" s="13" t="s">
        <x:v>19</x:v>
      </x:c>
      <x:c r="G28" s="13" t="str">
        <x:v>Outside report assessment</x:v>
      </x:c>
      <x:c r="H28" s="13" t="str">
        <x:v>Read-only reporting cannot implement notifications, matching, upload, record editing or operational visibility rules. Historical v1 status: ℹ️ Feature.</x:v>
      </x:c>
      <x:c r="I28" s="13" t="str">
        <x:v>Obtain source-system workflow acceptance separately.</x:v>
      </x:c>
      <x:c r="J28" s="13"/>
      <x:c r="K28" s="13"/>
    </x:row>
    <x:row r="29" ht="72" customHeight="1">
      <x:c r="A29" s="11">
        <x:f t="shared" si="0"/>
        <x:v>31</x:v>
      </x:c>
      <x:c r="B29" s="12" t="s">
        <x:v>90</x:v>
      </x:c>
      <x:c r="C29" s="13" t="s">
        <x:v>91</x:v>
      </x:c>
      <x:c r="D29" s="13" t="s">
        <x:v>78</x:v>
      </x:c>
      <x:c r="E29" s="14" t="s">
        <x:v>44</x:v>
      </x:c>
      <x:c r="F29" s="13" t="s">
        <x:v>19</x:v>
      </x:c>
      <x:c r="G29" s="13" t="str">
        <x:v>Outside report assessment</x:v>
      </x:c>
      <x:c r="H29" s="13" t="str">
        <x:v>Read-only reporting cannot implement notifications, matching, upload, record editing or operational visibility rules. Historical v1 status: ❌ Missing.</x:v>
      </x:c>
      <x:c r="I29" s="13" t="str">
        <x:v>Obtain source-system workflow acceptance separately.</x:v>
      </x:c>
      <x:c r="J29" s="13"/>
      <x:c r="K29" s="16" t="s">
        <x:v>92</x:v>
      </x:c>
    </x:row>
    <x:row r="30" ht="72" customHeight="1">
      <x:c r="A30" s="11">
        <x:f t="shared" si="0"/>
        <x:v>32</x:v>
      </x:c>
      <x:c r="B30" s="12" t="s">
        <x:v>93</x:v>
      </x:c>
      <x:c r="C30" s="13" t="s">
        <x:v>94</x:v>
      </x:c>
      <x:c r="D30" s="13" t="s">
        <x:v>78</x:v>
      </x:c>
      <x:c r="E30" s="13" t="s">
        <x:v>34</x:v>
      </x:c>
      <x:c r="F30" s="13" t="s">
        <x:v>19</x:v>
      </x:c>
      <x:c r="G30" s="13" t="str">
        <x:v>Outside report assessment</x:v>
      </x:c>
      <x:c r="H30" s="13" t="str">
        <x:v>Read-only reporting cannot implement notifications, matching, upload, record editing or operational visibility rules. Historical v1 status: ℹ️ Feature.</x:v>
      </x:c>
      <x:c r="I30" s="13" t="str">
        <x:v>Obtain source-system workflow acceptance separately.</x:v>
      </x:c>
      <x:c r="J30" s="13"/>
      <x:c r="K30" s="13"/>
    </x:row>
    <x:row r="31" ht="72" customHeight="1">
      <x:c r="A31" s="11">
        <x:f t="shared" si="0"/>
        <x:v>33</x:v>
      </x:c>
      <x:c r="B31" s="12" t="s">
        <x:v>95</x:v>
      </x:c>
      <x:c r="C31" s="13" t="s">
        <x:v>96</x:v>
      </x:c>
      <x:c r="D31" s="13" t="s">
        <x:v>78</x:v>
      </x:c>
      <x:c r="E31" s="13" t="s">
        <x:v>34</x:v>
      </x:c>
      <x:c r="F31" s="13" t="s">
        <x:v>19</x:v>
      </x:c>
      <x:c r="G31" s="13" t="str">
        <x:v>Outside report assessment</x:v>
      </x:c>
      <x:c r="H31" s="13" t="str">
        <x:v>Read-only reporting cannot implement notifications, matching, upload, record editing or operational visibility rules. Historical v1 status: ℹ️ Feature.</x:v>
      </x:c>
      <x:c r="I31" s="13" t="str">
        <x:v>Obtain source-system workflow acceptance separately.</x:v>
      </x:c>
      <x:c r="J31" s="13"/>
      <x:c r="K31" s="13"/>
    </x:row>
    <x:row r="32" ht="85" customHeight="1">
      <x:c r="A32" s="11">
        <x:f t="shared" si="0"/>
        <x:v>34</x:v>
      </x:c>
      <x:c r="B32" s="12" t="s">
        <x:v>97</x:v>
      </x:c>
      <x:c r="C32" s="13" t="s">
        <x:v>98</x:v>
      </x:c>
      <x:c r="D32" s="13" t="s">
        <x:v>78</x:v>
      </x:c>
      <x:c r="E32" s="13" t="s">
        <x:v>13</x:v>
      </x:c>
      <x:c r="F32" s="13" t="s">
        <x:v>99</x:v>
      </x:c>
      <x:c r="G32" s="13" t="str">
        <x:v>Partial reporting</x:v>
      </x:c>
      <x:c r="H32" s="13" t="str">
        <x:v>Emergency uses the Gold same-day-date rule on OPEN/UNDER_OFFER referrals, not a statutory emergency source classification or spot status. Historical v1 status: ❌ Missing.</x:v>
      </x:c>
      <x:c r="I32" s="13" t="str">
        <x:v>Approve emergency definition and finance categorisation; test missing and reversed dates.</x:v>
      </x:c>
      <x:c r="J32" s="13"/>
      <x:c r="K32" s="15" t="s">
        <x:v>100</x:v>
      </x:c>
    </x:row>
    <x:row r="33" ht="72" customHeight="1">
      <x:c r="A33" s="11">
        <x:f t="shared" si="0"/>
        <x:v>35</x:v>
      </x:c>
      <x:c r="B33" s="12" t="s">
        <x:v>101</x:v>
      </x:c>
      <x:c r="C33" s="13" t="s">
        <x:v>102</x:v>
      </x:c>
      <x:c r="D33" s="13" t="s">
        <x:v>78</x:v>
      </x:c>
      <x:c r="E33" s="13" t="s">
        <x:v>13</x:v>
      </x:c>
      <x:c r="F33" s="13" t="s">
        <x:v>103</x:v>
      </x:c>
      <x:c r="G33" s="13" t="str">
        <x:v>Partial reporting</x:v>
      </x:c>
      <x:c r="H33" s="13" t="str">
        <x:v>IPA-grain signing is implemented; the report does not perform signing, approval or certify a full audit trail. Historical v1 status: ✅ Implemented.</x:v>
      </x:c>
      <x:c r="I33" s="13" t="str">
        <x:v>Reconcile both signatures on the same IPA, closed unsigned IPAs and multiple IPAs per offer.</x:v>
      </x:c>
      <x:c r="J33" s="13"/>
      <x:c r="K33" s="13"/>
    </x:row>
    <x:row r="34" ht="72" customHeight="1">
      <x:c r="A34" s="11">
        <x:f t="shared" si="0"/>
        <x:v>36</x:v>
      </x:c>
      <x:c r="B34" s="12" t="s">
        <x:v>104</x:v>
      </x:c>
      <x:c r="C34" s="13" t="s">
        <x:v>105</x:v>
      </x:c>
      <x:c r="D34" s="13" t="s">
        <x:v>78</x:v>
      </x:c>
      <x:c r="E34" s="13" t="s">
        <x:v>13</x:v>
      </x:c>
      <x:c r="F34" s="13" t="s">
        <x:v>106</x:v>
      </x:c>
      <x:c r="G34" s="13" t="str">
        <x:v>Built; UAT pending</x:v>
      </x:c>
      <x:c r="H34" s="13" t="str">
        <x:v>Pending/open offer views and provider filters are built; runtime reconciliation remains outstanding. Historical v1 status: ✅ Implemented.</x:v>
      </x:c>
      <x:c r="I34" s="13" t="str">
        <x:v>Check provider, home and status filters against known offers.</x:v>
      </x:c>
      <x:c r="J34" s="13"/>
      <x:c r="K34" s="13"/>
    </x:row>
    <x:row r="35" ht="72" customHeight="1">
      <x:c r="A35" s="11">
        <x:f t="shared" si="0"/>
        <x:v>38</x:v>
      </x:c>
      <x:c r="B35" s="12" t="s">
        <x:v>107</x:v>
      </x:c>
      <x:c r="C35" s="13" t="s">
        <x:v>108</x:v>
      </x:c>
      <x:c r="D35" s="13" t="s">
        <x:v>109</x:v>
      </x:c>
      <x:c r="E35" s="13" t="s">
        <x:v>34</x:v>
      </x:c>
      <x:c r="F35" s="13" t="s">
        <x:v>19</x:v>
      </x:c>
      <x:c r="G35" s="13" t="str">
        <x:v>Outside report assessment</x:v>
      </x:c>
      <x:c r="H35" s="13" t="str">
        <x:v>Read-only reporting cannot implement notifications, matching, upload, record editing or operational visibility rules. Historical v1 status: ℹ️ Data entry.</x:v>
      </x:c>
      <x:c r="I35" s="13" t="str">
        <x:v>Obtain source-system workflow acceptance separately.</x:v>
      </x:c>
      <x:c r="J35" s="13"/>
      <x:c r="K35" s="13"/>
    </x:row>
    <x:row r="36" ht="72" customHeight="1">
      <x:c r="A36" s="11">
        <x:f t="shared" si="0"/>
        <x:v>39</x:v>
      </x:c>
      <x:c r="B36" s="12" t="s">
        <x:v>110</x:v>
      </x:c>
      <x:c r="C36" s="13" t="s">
        <x:v>111</x:v>
      </x:c>
      <x:c r="D36" s="13" t="s">
        <x:v>109</x:v>
      </x:c>
      <x:c r="E36" s="13" t="s">
        <x:v>34</x:v>
      </x:c>
      <x:c r="F36" s="13" t="s">
        <x:v>19</x:v>
      </x:c>
      <x:c r="G36" s="13" t="str">
        <x:v>Outside report assessment</x:v>
      </x:c>
      <x:c r="H36" s="13" t="str">
        <x:v>Read-only reporting cannot implement notifications, matching, upload, record editing or operational visibility rules. Historical v1 status: ℹ️ Feature.</x:v>
      </x:c>
      <x:c r="I36" s="13" t="str">
        <x:v>Obtain source-system workflow acceptance separately.</x:v>
      </x:c>
      <x:c r="J36" s="13"/>
      <x:c r="K36" s="13"/>
    </x:row>
    <x:row r="37" ht="72" customHeight="1">
      <x:c r="A37" s="11">
        <x:f t="shared" si="0"/>
        <x:v>41</x:v>
      </x:c>
      <x:c r="B37" s="12" t="s">
        <x:v>112</x:v>
      </x:c>
      <x:c r="C37" s="13" t="s">
        <x:v>113</x:v>
      </x:c>
      <x:c r="D37" s="13" t="s">
        <x:v>109</x:v>
      </x:c>
      <x:c r="E37" s="15" t="s">
        <x:v>70</x:v>
      </x:c>
      <x:c r="F37" s="13" t="s">
        <x:v>114</x:v>
      </x:c>
      <x:c r="G37" s="13" t="str">
        <x:v>Partial reporting</x:v>
      </x:c>
      <x:c r="H37" s="13" t="str">
        <x:v>Current flags are reportable. Historical flag types and application/removal workflow are not proven. Historical v1 status: ❌ Missing.</x:v>
      </x:c>
      <x:c r="I37" s="13" t="str">
        <x:v>Confirm flag scope and obtain historical classification and portal evidence.</x:v>
      </x:c>
      <x:c r="J37" s="13"/>
      <x:c r="K37" s="15" t="s">
        <x:v>115</x:v>
      </x:c>
    </x:row>
    <x:row r="38" ht="72" customHeight="1">
      <x:c r="A38" s="11">
        <x:f t="shared" si="0"/>
        <x:v>45</x:v>
      </x:c>
      <x:c r="B38" s="12" t="s">
        <x:v>116</x:v>
      </x:c>
      <x:c r="C38" s="13" t="s">
        <x:v>117</x:v>
      </x:c>
      <x:c r="D38" s="13" t="s">
        <x:v>109</x:v>
      </x:c>
      <x:c r="E38" s="13" t="s">
        <x:v>34</x:v>
      </x:c>
      <x:c r="F38" s="13" t="s">
        <x:v>19</x:v>
      </x:c>
      <x:c r="G38" s="13" t="str">
        <x:v>Outside report assessment</x:v>
      </x:c>
      <x:c r="H38" s="13" t="str">
        <x:v>Read-only reporting cannot implement notifications, matching, upload, record editing or operational visibility rules. Historical v1 status: ℹ️ Feature.</x:v>
      </x:c>
      <x:c r="I38" s="13" t="str">
        <x:v>Obtain source-system workflow acceptance separately.</x:v>
      </x:c>
      <x:c r="J38" s="13"/>
      <x:c r="K38" s="13"/>
    </x:row>
    <x:row r="39" ht="72" customHeight="1">
      <x:c r="A39" s="11">
        <x:f t="shared" si="0"/>
        <x:v>46</x:v>
      </x:c>
      <x:c r="B39" s="12" t="s">
        <x:v>118</x:v>
      </x:c>
      <x:c r="C39" s="13" t="s">
        <x:v>119</x:v>
      </x:c>
      <x:c r="D39" s="13" t="s">
        <x:v>109</x:v>
      </x:c>
      <x:c r="E39" s="13" t="s">
        <x:v>34</x:v>
      </x:c>
      <x:c r="F39" s="13" t="s">
        <x:v>120</x:v>
      </x:c>
      <x:c r="G39" s="13" t="str">
        <x:v>Partial reporting</x:v>
      </x:c>
      <x:c r="H39" s="13" t="str">
        <x:v>Non-framework visibility exists; cross-organisation QA sharing requires role and disclosure acceptance. Historical v1 status: ✅ Implemented.</x:v>
      </x:c>
      <x:c r="I39" s="13" t="str">
        <x:v>Test provider scope and authorised sharing.</x:v>
      </x:c>
      <x:c r="J39" s="13"/>
      <x:c r="K39" s="13"/>
    </x:row>
    <x:row r="40" ht="72" customHeight="1">
      <x:c r="A40" s="11">
        <x:f t="shared" si="0"/>
        <x:v>47</x:v>
      </x:c>
      <x:c r="B40" s="12" t="s">
        <x:v>121</x:v>
      </x:c>
      <x:c r="C40" s="13" t="s">
        <x:v>122</x:v>
      </x:c>
      <x:c r="D40" s="13" t="s">
        <x:v>109</x:v>
      </x:c>
      <x:c r="E40" s="14" t="s">
        <x:v>13</x:v>
      </x:c>
      <x:c r="F40" s="13" t="s">
        <x:v>123</x:v>
      </x:c>
      <x:c r="G40" s="13" t="str">
        <x:v>Partial reporting</x:v>
      </x:c>
      <x:c r="H40" s="13" t="str">
        <x:v>Document dates support monitoring, not reminder delivery or missing-required-document detection. Historical v1 status: ❌ Missing.</x:v>
      </x:c>
      <x:c r="I40" s="13" t="str">
        <x:v>Validate document dates and obtain reminder and expected-document rules.</x:v>
      </x:c>
      <x:c r="J40" s="13"/>
      <x:c r="K40" s="15" t="s">
        <x:v>124</x:v>
      </x:c>
    </x:row>
    <x:row r="41" ht="72" customHeight="1">
      <x:c r="A41" s="11">
        <x:f t="shared" si="0"/>
        <x:v>48</x:v>
      </x:c>
      <x:c r="B41" s="12" t="s">
        <x:v>125</x:v>
      </x:c>
      <x:c r="C41" s="13" t="s">
        <x:v>126</x:v>
      </x:c>
      <x:c r="D41" s="13" t="s">
        <x:v>109</x:v>
      </x:c>
      <x:c r="E41" s="13" t="s">
        <x:v>13</x:v>
      </x:c>
      <x:c r="F41" s="13" t="s">
        <x:v>127</x:v>
      </x:c>
      <x:c r="G41" s="13" t="str">
        <x:v>Open data gap</x:v>
      </x:c>
      <x:c r="H41" s="13" t="str">
        <x:v>No governed expected-document denominator or blocked-provider decision exists. Expiry alone cannot prove compliance. Historical v1 status: ❌ Missing.</x:v>
      </x:c>
      <x:c r="I41" s="13" t="str">
        <x:v>Supply policy and decision outcomes.</x:v>
      </x:c>
      <x:c r="J41" s="13"/>
      <x:c r="K41" s="15" t="s">
        <x:v>124</x:v>
      </x:c>
    </x:row>
    <x:row r="42" ht="72" customHeight="1">
      <x:c r="A42" s="11">
        <x:f t="shared" si="0"/>
        <x:v>49</x:v>
      </x:c>
      <x:c r="B42" s="12" t="s">
        <x:v>128</x:v>
      </x:c>
      <x:c r="C42" s="13" t="s">
        <x:v>129</x:v>
      </x:c>
      <x:c r="D42" s="13" t="s">
        <x:v>109</x:v>
      </x:c>
      <x:c r="E42" s="13" t="s">
        <x:v>34</x:v>
      </x:c>
      <x:c r="F42" s="13" t="s">
        <x:v>130</x:v>
      </x:c>
      <x:c r="G42" s="13" t="str">
        <x:v>Partial reporting</x:v>
      </x:c>
      <x:c r="H42" s="13" t="str">
        <x:v>Current provider approval state is reportable; it does not certify due diligence, bulk-job success or registration workflow. Historical v1 status: ❌ Missing.</x:v>
      </x:c>
      <x:c r="I42" s="13" t="str">
        <x:v>Approve proxy label and obtain workflow/compliance evidence.</x:v>
      </x:c>
      <x:c r="J42" s="13"/>
      <x:c r="K42" s="13"/>
    </x:row>
    <x:row r="43" ht="72" customHeight="1">
      <x:c r="A43" s="11">
        <x:f t="shared" si="0"/>
        <x:v>51</x:v>
      </x:c>
      <x:c r="B43" s="12" t="s">
        <x:v>131</x:v>
      </x:c>
      <x:c r="C43" s="13" t="s">
        <x:v>132</x:v>
      </x:c>
      <x:c r="D43" s="13" t="s">
        <x:v>63</x:v>
      </x:c>
      <x:c r="E43" s="13" t="s">
        <x:v>13</x:v>
      </x:c>
      <x:c r="F43" s="13" t="s">
        <x:v>133</x:v>
      </x:c>
      <x:c r="G43" s="13" t="str">
        <x:v>Built; UAT pending</x:v>
      </x:c>
      <x:c r="H43" s="13" t="str">
        <x:v>Saved-file definitions exist. Full refreshed DAX reconciliation, data completeness and business acceptance remain open. Historical v1 status: ✅ Implemented.</x:v>
      </x:c>
      <x:c r="I43" s="13" t="str">
        <x:v>Run refresh, data-quality, cohort, snapshot and role reconciliation before release.</x:v>
      </x:c>
      <x:c r="J43" s="13"/>
      <x:c r="K43" s="13"/>
    </x:row>
    <x:row r="44" ht="72" customHeight="1">
      <x:c r="A44" s="11">
        <x:f t="shared" si="0"/>
        <x:v>52</x:v>
      </x:c>
      <x:c r="B44" s="12" t="s">
        <x:v>134</x:v>
      </x:c>
      <x:c r="C44" s="13" t="s">
        <x:v>135</x:v>
      </x:c>
      <x:c r="D44" s="13" t="s">
        <x:v>63</x:v>
      </x:c>
      <x:c r="E44" s="13" t="s">
        <x:v>13</x:v>
      </x:c>
      <x:c r="F44" s="13" t="s">
        <x:v>136</x:v>
      </x:c>
      <x:c r="G44" s="13" t="str">
        <x:v>Built; UAT pending</x:v>
      </x:c>
      <x:c r="H44" s="13" t="str">
        <x:v>Saved-file definitions exist. Full refreshed DAX reconciliation, data completeness and business acceptance remain open. Historical v1 status: ✅ Implemented.</x:v>
      </x:c>
      <x:c r="I44" s="13" t="str">
        <x:v>Run refresh, data-quality, cohort, snapshot and role reconciliation before release.</x:v>
      </x:c>
      <x:c r="J44" s="13"/>
      <x:c r="K44" s="13"/>
    </x:row>
    <x:row r="45" ht="150" customHeight="1">
      <x:c r="A45" s="11">
        <x:f t="shared" si="0"/>
        <x:v>53</x:v>
      </x:c>
      <x:c r="B45" s="12" t="s">
        <x:v>137</x:v>
      </x:c>
      <x:c r="C45" s="13" t="s">
        <x:v>138</x:v>
      </x:c>
      <x:c r="D45" s="13" t="s">
        <x:v>63</x:v>
      </x:c>
      <x:c r="E45" s="13" t="s">
        <x:v>34</x:v>
      </x:c>
      <x:c r="F45" s="13" t="s">
        <x:v>139</x:v>
      </x:c>
      <x:c r="G45" s="13" t="str">
        <x:v>Built; UAT pending</x:v>
      </x:c>
      <x:c r="H45" s="13" t="str">
        <x:v>Saved-file definitions exist. Full refreshed DAX reconciliation, data completeness and business acceptance remain open. Mission Control: Partial operational support. DQ results, rejected keys, lineage and load metrics support consistency; export rights and reconciliation still need acceptance. Historical v1 status: ✅ Implemented.</x:v>
      </x:c>
      <x:c r="I45" s="13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J45" s="13"/>
      <x:c r="K45" s="13"/>
    </x:row>
    <x:row r="46" ht="85" customHeight="1">
      <x:c r="A46" s="11">
        <x:f t="shared" si="0"/>
        <x:v>54</x:v>
      </x:c>
      <x:c r="B46" s="12" t="s">
        <x:v>140</x:v>
      </x:c>
      <x:c r="C46" s="13" t="s">
        <x:v>141</x:v>
      </x:c>
      <x:c r="D46" s="13" t="s">
        <x:v>63</x:v>
      </x:c>
      <x:c r="E46" s="13" t="s">
        <x:v>13</x:v>
      </x:c>
      <x:c r="F46" s="13" t="s">
        <x:v>142</x:v>
      </x:c>
      <x:c r="G46" s="13" t="str">
        <x:v>Partial reporting</x:v>
      </x:c>
      <x:c r="H46" s="13" t="str">
        <x:v>Current assignment-level decline/cancellation reasons are present. Complete immutable reason history and business attribution are not established. Historical v1 status: ⚠️ Partial.</x:v>
      </x:c>
      <x:c r="I46" s="13" t="str">
        <x:v>Validate reason completeness, joins and historical coverage; agree classifications.</x:v>
      </x:c>
      <x:c r="J46" s="13"/>
      <x:c r="K46" s="13"/>
    </x:row>
    <x:row r="47" ht="85" customHeight="1">
      <x:c r="A47" s="11">
        <x:f t="shared" si="0"/>
        <x:v>55</x:v>
      </x:c>
      <x:c r="B47" s="12" t="s">
        <x:v>143</x:v>
      </x:c>
      <x:c r="C47" s="13" t="s">
        <x:v>144</x:v>
      </x:c>
      <x:c r="D47" s="13" t="s">
        <x:v>63</x:v>
      </x:c>
      <x:c r="E47" s="13" t="s">
        <x:v>34</x:v>
      </x:c>
      <x:c r="F47" s="13" t="s">
        <x:v>19</x:v>
      </x:c>
      <x:c r="G47" s="13" t="str">
        <x:v>Security acceptance pending</x:v>
      </x:c>
      <x:c r="H47" s="13" t="str">
        <x:v>Role definitions exist, but authorised identity tests, access provisioning, small-cell disclosure and break-glass controls are not signed off. Historical v1 status: ℹ️ Security.</x:v>
      </x:c>
      <x:c r="I47" s="13" t="str">
        <x:v>Approve mappings and disclosure policy; execute role and Service-access tests.</x:v>
      </x:c>
      <x:c r="J47" s="13"/>
      <x:c r="K47" s="13"/>
    </x:row>
    <x:row r="48" ht="85" customHeight="1">
      <x:c r="A48" s="11">
        <x:f t="shared" si="0"/>
        <x:v>57</x:v>
      </x:c>
      <x:c r="B48" s="12" t="s">
        <x:v>145</x:v>
      </x:c>
      <x:c r="C48" s="13" t="s">
        <x:v>146</x:v>
      </x:c>
      <x:c r="D48" s="13" t="s">
        <x:v>63</x:v>
      </x:c>
      <x:c r="E48" s="13" t="s">
        <x:v>13</x:v>
      </x:c>
      <x:c r="F48" s="13" t="s">
        <x:v>147</x:v>
      </x:c>
      <x:c r="G48" s="13" t="str">
        <x:v>Partial reporting</x:v>
      </x:c>
      <x:c r="H48" s="13" t="str">
        <x:v>Emergency uses the Gold same-day-date rule on OPEN/UNDER_OFFER referrals, not a statutory emergency source classification or spot status. Historical v1 status: ❌ Missing.</x:v>
      </x:c>
      <x:c r="I48" s="13" t="str">
        <x:v>Approve emergency definition and finance categorisation; test missing and reversed dates.</x:v>
      </x:c>
      <x:c r="J48" s="13"/>
      <x:c r="K48" s="15" t="s">
        <x:v>148</x:v>
      </x:c>
    </x:row>
    <x:row r="49" ht="72" customHeight="1">
      <x:c r="A49" s="11">
        <x:f t="shared" si="0"/>
        <x:v>58</x:v>
      </x:c>
      <x:c r="B49" s="12" t="s">
        <x:v>149</x:v>
      </x:c>
      <x:c r="C49" s="13" t="s">
        <x:v>150</x:v>
      </x:c>
      <x:c r="D49" s="13" t="s">
        <x:v>63</x:v>
      </x:c>
      <x:c r="E49" s="13" t="s">
        <x:v>13</x:v>
      </x:c>
      <x:c r="F49" s="13" t="s">
        <x:v>151</x:v>
      </x:c>
      <x:c r="G49" s="13" t="str">
        <x:v>Open data gap</x:v>
      </x:c>
      <x:c r="H49" s="13" t="str">
        <x:v>Current category membership does not record framework changes during active referrals or alert delivery. Historical v1 status: ❌ Missing.</x:v>
      </x:c>
      <x:c r="I49" s="13" t="str">
        <x:v>Obtain effective-dated change events and notification evidence.</x:v>
      </x:c>
      <x:c r="J49" s="13"/>
      <x:c r="K49" s="15" t="s">
        <x:v>152</x:v>
      </x:c>
    </x:row>
    <x:row r="50" ht="72" customHeight="1">
      <x:c r="A50" s="11">
        <x:f t="shared" si="0"/>
        <x:v>59</x:v>
      </x:c>
      <x:c r="B50" s="12" t="s">
        <x:v>153</x:v>
      </x:c>
      <x:c r="C50" s="13" t="s">
        <x:v>154</x:v>
      </x:c>
      <x:c r="D50" s="13" t="s">
        <x:v>63</x:v>
      </x:c>
      <x:c r="E50" s="13" t="s">
        <x:v>18</x:v>
      </x:c>
      <x:c r="F50" s="13" t="s">
        <x:v>155</x:v>
      </x:c>
      <x:c r="G50" s="13" t="str">
        <x:v>Partial reporting</x:v>
      </x:c>
      <x:c r="H50" s="13" t="str">
        <x:v>Current provider approval state is reportable; it does not certify due diligence, bulk-job success or registration workflow. Historical v1 status: ❌ Missing.</x:v>
      </x:c>
      <x:c r="I50" s="13" t="str">
        <x:v>Approve proxy label and obtain workflow/compliance evidence.</x:v>
      </x:c>
      <x:c r="J50" s="13"/>
      <x:c r="K50" s="13"/>
    </x:row>
    <x:row r="51" ht="111" customHeight="1">
      <x:c r="A51" s="11">
        <x:f t="shared" si="0"/>
        <x:v>62</x:v>
      </x:c>
      <x:c r="B51" s="12" t="s">
        <x:v>156</x:v>
      </x:c>
      <x:c r="C51" s="13" t="s">
        <x:v>157</x:v>
      </x:c>
      <x:c r="D51" s="13" t="s">
        <x:v>158</x:v>
      </x:c>
      <x:c r="E51" s="13" t="s">
        <x:v>13</x:v>
      </x:c>
      <x:c r="F51" s="16" t="s">
        <x:v>159</x:v>
      </x:c>
      <x:c r="G51" s="13" t="str">
        <x:v>Partial reporting</x:v>
      </x:c>
      <x:c r="H51" s="13" t="str">
        <x:v>Weekly and lifetime costs are estimates. Payment method, invoice/payment status and actual spend are absent; lifetime-cost formula needs boundary/filter review. Historical v1 status: ❌ Missing.</x:v>
      </x:c>
      <x:c r="I51" s="13" t="str">
        <x:v>Approve finance definitions and provide payment facts; do not label estimates as spend.</x:v>
      </x:c>
      <x:c r="J51" s="13"/>
      <x:c r="K51" s="15" t="s">
        <x:v>160</x:v>
      </x:c>
    </x:row>
    <x:row r="52" ht="85" customHeight="1">
      <x:c r="A52" s="11">
        <x:f t="shared" si="0"/>
        <x:v>67</x:v>
      </x:c>
      <x:c r="B52" s="12" t="s">
        <x:v>161</x:v>
      </x:c>
      <x:c r="C52" s="13" t="s">
        <x:v>162</x:v>
      </x:c>
      <x:c r="D52" s="13" t="s">
        <x:v>17</x:v>
      </x:c>
      <x:c r="E52" s="13" t="s">
        <x:v>34</x:v>
      </x:c>
      <x:c r="F52" s="13" t="s">
        <x:v>163</x:v>
      </x:c>
      <x:c r="G52" s="13" t="str">
        <x:v>Partial reporting</x:v>
      </x:c>
      <x:c r="H52" s="13" t="str">
        <x:v>Current reference/category reporting exists; framework configuration workflows and specific release contents need business verification. Historical v1 status: ✅ Implemented.</x:v>
      </x:c>
      <x:c r="I52" s="13" t="str">
        <x:v>Reconcile framework versions and all categories, then confirm portal configuration.</x:v>
      </x:c>
      <x:c r="J52" s="13"/>
      <x:c r="K52" s="13"/>
    </x:row>
    <x:row r="53" ht="85" customHeight="1">
      <x:c r="A53" s="11">
        <x:f t="shared" si="0"/>
        <x:v>68</x:v>
      </x:c>
      <x:c r="B53" s="12" t="s">
        <x:v>164</x:v>
      </x:c>
      <x:c r="C53" s="13" t="s">
        <x:v>165</x:v>
      </x:c>
      <x:c r="D53" s="13" t="s">
        <x:v>17</x:v>
      </x:c>
      <x:c r="E53" s="13" t="s">
        <x:v>34</x:v>
      </x:c>
      <x:c r="F53" s="13" t="s">
        <x:v>163</x:v>
      </x:c>
      <x:c r="G53" s="13" t="str">
        <x:v>Partial reporting</x:v>
      </x:c>
      <x:c r="H53" s="13" t="str">
        <x:v>Current reference/category reporting exists; framework configuration workflows and specific release contents need business verification. Historical v1 status: ✅ Implemented.</x:v>
      </x:c>
      <x:c r="I53" s="13" t="str">
        <x:v>Reconcile framework versions and all categories, then confirm portal configuration.</x:v>
      </x:c>
      <x:c r="J53" s="13"/>
      <x:c r="K53" s="13"/>
    </x:row>
    <x:row r="54" ht="150" customHeight="1">
      <x:c r="A54" s="11">
        <x:f t="shared" si="0"/>
        <x:v>69</x:v>
      </x:c>
      <x:c r="B54" s="12" t="s">
        <x:v>166</x:v>
      </x:c>
      <x:c r="C54" s="13" t="s">
        <x:v>167</x:v>
      </x:c>
      <x:c r="D54" s="13" t="s">
        <x:v>17</x:v>
      </x:c>
      <x:c r="E54" s="13" t="s">
        <x:v>13</x:v>
      </x:c>
      <x:c r="F54" s="13" t="s">
        <x:v>19</x:v>
      </x:c>
      <x:c r="G54" s="13" t="str">
        <x:v>Built; UAT pending</x:v>
      </x:c>
      <x:c r="H54" s="13" t="str">
        <x:v>Saved-file definitions exist. Full refreshed DAX reconciliation, data completeness and business acceptance remain open. Mission Control: Supporting design evidence. Governed contract/schema and lineage imports support model controls; robustness and performance need runtime tests. Historical v1 status: ℹ️ Non-functional.</x:v>
      </x:c>
      <x:c r="I54" s="13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J54" s="13"/>
      <x:c r="K54" s="13"/>
    </x:row>
    <x:row r="55" ht="72" customHeight="1">
      <x:c r="A55" s="11">
        <x:f t="shared" si="0"/>
        <x:v>70</x:v>
      </x:c>
      <x:c r="B55" s="12" t="s">
        <x:v>168</x:v>
      </x:c>
      <x:c r="C55" s="13" t="s">
        <x:v>169</x:v>
      </x:c>
      <x:c r="D55" s="13" t="s">
        <x:v>17</x:v>
      </x:c>
      <x:c r="E55" s="13" t="s">
        <x:v>18</x:v>
      </x:c>
      <x:c r="F55" s="13" t="s">
        <x:v>19</x:v>
      </x:c>
      <x:c r="G55" s="13" t="str">
        <x:v>Outside report assessment</x:v>
      </x:c>
      <x:c r="H55" s="13" t="str">
        <x:v>Read-only reporting cannot implement notifications, matching, upload, record editing or operational visibility rules. Historical v1 status: ℹ️ Feature.</x:v>
      </x:c>
      <x:c r="I55" s="13" t="str">
        <x:v>Obtain source-system workflow acceptance separately.</x:v>
      </x:c>
      <x:c r="J55" s="13"/>
      <x:c r="K55" s="13"/>
    </x:row>
    <x:row r="56" ht="72" customHeight="1">
      <x:c r="A56" s="11">
        <x:f t="shared" si="0"/>
        <x:v>71</x:v>
      </x:c>
      <x:c r="B56" s="12" t="s">
        <x:v>170</x:v>
      </x:c>
      <x:c r="C56" s="13" t="s">
        <x:v>171</x:v>
      </x:c>
      <x:c r="D56" s="13" t="s">
        <x:v>78</x:v>
      </x:c>
      <x:c r="E56" s="13" t="s">
        <x:v>13</x:v>
      </x:c>
      <x:c r="F56" s="13" t="s">
        <x:v>103</x:v>
      </x:c>
      <x:c r="G56" s="13" t="str">
        <x:v>Partial reporting</x:v>
      </x:c>
      <x:c r="H56" s="13" t="str">
        <x:v>IPA-grain signing is implemented; the report does not perform signing, approval or certify a full audit trail. Historical v1 status: ✅ Implemented.</x:v>
      </x:c>
      <x:c r="I56" s="13" t="str">
        <x:v>Reconcile both signatures on the same IPA, closed unsigned IPAs and multiple IPAs per offer.</x:v>
      </x:c>
      <x:c r="J56" s="13"/>
      <x:c r="K56" s="13"/>
    </x:row>
    <x:row r="57" ht="72" customHeight="1">
      <x:c r="A57" s="11">
        <x:f t="shared" si="0"/>
        <x:v>72</x:v>
      </x:c>
      <x:c r="B57" s="12" t="s">
        <x:v>172</x:v>
      </x:c>
      <x:c r="C57" s="13" t="s">
        <x:v>173</x:v>
      </x:c>
      <x:c r="D57" s="13" t="s">
        <x:v>17</x:v>
      </x:c>
      <x:c r="E57" s="13" t="s">
        <x:v>34</x:v>
      </x:c>
      <x:c r="F57" s="13" t="s">
        <x:v>19</x:v>
      </x:c>
      <x:c r="G57" s="13" t="str">
        <x:v>Outside report assessment</x:v>
      </x:c>
      <x:c r="H57" s="13" t="str">
        <x:v>Read-only reporting cannot implement notifications, matching, upload, record editing or operational visibility rules. Historical v1 status: ℹ️ Feature.</x:v>
      </x:c>
      <x:c r="I57" s="13" t="str">
        <x:v>Obtain source-system workflow acceptance separately.</x:v>
      </x:c>
      <x:c r="J57" s="13"/>
      <x:c r="K57" s="13"/>
    </x:row>
    <x:row r="58" ht="59" customHeight="1">
      <x:c r="A58" s="11">
        <x:f t="shared" si="0"/>
        <x:v>73</x:v>
      </x:c>
      <x:c r="B58" s="12" t="s">
        <x:v>174</x:v>
      </x:c>
      <x:c r="C58" s="13" t="s">
        <x:v>175</x:v>
      </x:c>
      <x:c r="D58" s="13" t="s">
        <x:v>17</x:v>
      </x:c>
      <x:c r="E58" s="13" t="s">
        <x:v>18</x:v>
      </x:c>
      <x:c r="F58" s="13" t="s">
        <x:v>19</x:v>
      </x:c>
      <x:c r="G58" s="13" t="str">
        <x:v>Outside report assessment</x:v>
      </x:c>
      <x:c r="H58" s="13" t="str">
        <x:v>Design and roadmap evidence is separate from KPI coverage or production acceptance. Historical v1 status: ℹ️ Non-functional.</x:v>
      </x:c>
      <x:c r="I58" s="13" t="str">
        <x:v>Confirm architecture/procurement and hosting decisions.</x:v>
      </x:c>
      <x:c r="J58" s="13"/>
      <x:c r="K58" s="13"/>
    </x:row>
    <x:row r="59" ht="59" customHeight="1">
      <x:c r="A59" s="11">
        <x:f t="shared" si="0"/>
        <x:v>74</x:v>
      </x:c>
      <x:c r="B59" s="12" t="s">
        <x:v>176</x:v>
      </x:c>
      <x:c r="C59" s="13" t="s">
        <x:v>177</x:v>
      </x:c>
      <x:c r="D59" s="13" t="s">
        <x:v>17</x:v>
      </x:c>
      <x:c r="E59" s="13" t="s">
        <x:v>18</x:v>
      </x:c>
      <x:c r="F59" s="13" t="s">
        <x:v>19</x:v>
      </x:c>
      <x:c r="G59" s="13" t="str">
        <x:v>Outside report assessment</x:v>
      </x:c>
      <x:c r="H59" s="13" t="str">
        <x:v>Design and roadmap evidence is separate from KPI coverage or production acceptance. Historical v1 status: ℹ️ Non-functional.</x:v>
      </x:c>
      <x:c r="I59" s="13" t="str">
        <x:v>Confirm architecture/procurement and hosting decisions.</x:v>
      </x:c>
      <x:c r="J59" s="13"/>
      <x:c r="K59" s="13"/>
    </x:row>
    <x:row r="60" ht="150" customHeight="1">
      <x:c r="A60" s="11">
        <x:f t="shared" si="0"/>
        <x:v>75</x:v>
      </x:c>
      <x:c r="B60" s="12" t="s">
        <x:v>178</x:v>
      </x:c>
      <x:c r="C60" s="13" t="s">
        <x:v>179</x:v>
      </x:c>
      <x:c r="D60" s="13" t="s">
        <x:v>17</x:v>
      </x:c>
      <x:c r="E60" s="13" t="s">
        <x:v>13</x:v>
      </x:c>
      <x:c r="F60" s="13" t="s">
        <x:v>19</x:v>
      </x:c>
      <x:c r="G60" s="13" t="str">
        <x:v>Delivery acceptance pending</x:v>
      </x:c>
      <x:c r="H60" s="13" t="str">
        <x:v>Report/model files do not establish availability, accessibility, SLA, device compatibility, migration completeness, retention or formal sign-off. Mission Control: Partial operational support. Run status and timing support operations; availability, scalability, DR/RTO/RPO and failover are not proven. Historical v1 status: ℹ️ Non-functional.</x:v>
      </x:c>
      <x:c r="I60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0" s="13"/>
      <x:c r="K60" s="13"/>
    </x:row>
    <x:row r="61" ht="85" customHeight="1">
      <x:c r="A61" s="11">
        <x:f t="shared" si="0"/>
        <x:v>76</x:v>
      </x:c>
      <x:c r="B61" s="12" t="s">
        <x:v>180</x:v>
      </x:c>
      <x:c r="C61" s="13" t="s">
        <x:v>181</x:v>
      </x:c>
      <x:c r="D61" s="13" t="s">
        <x:v>17</x:v>
      </x:c>
      <x:c r="E61" s="13" t="s">
        <x:v>13</x:v>
      </x:c>
      <x:c r="F61" s="13" t="s">
        <x:v>19</x:v>
      </x:c>
      <x:c r="G61" s="13" t="str">
        <x:v>Security acceptance pending</x:v>
      </x:c>
      <x:c r="H61" s="13" t="str">
        <x:v>Role definitions exist, but authorised identity tests, access provisioning, small-cell disclosure and break-glass controls are not signed off. Historical v1 status: ℹ️ Security.</x:v>
      </x:c>
      <x:c r="I61" s="13" t="str">
        <x:v>Approve mappings and disclosure policy; execute role and Service-access tests.</x:v>
      </x:c>
      <x:c r="J61" s="13"/>
      <x:c r="K61" s="13"/>
    </x:row>
    <x:row r="62" ht="72" customHeight="1">
      <x:c r="A62" s="11">
        <x:f t="shared" si="0"/>
        <x:v>77</x:v>
      </x:c>
      <x:c r="B62" s="12" t="s">
        <x:v>182</x:v>
      </x:c>
      <x:c r="C62" s="13" t="s">
        <x:v>183</x:v>
      </x:c>
      <x:c r="D62" s="13" t="s">
        <x:v>17</x:v>
      </x:c>
      <x:c r="E62" s="13" t="s">
        <x:v>34</x:v>
      </x:c>
      <x:c r="F62" s="13" t="s">
        <x:v>19</x:v>
      </x:c>
      <x:c r="G62" s="13" t="str">
        <x:v>Outside report assessment</x:v>
      </x:c>
      <x:c r="H62" s="13" t="str">
        <x:v>Read-only reporting cannot implement notifications, matching, upload, record editing or operational visibility rules. Historical v1 status: ℹ️ Feature.</x:v>
      </x:c>
      <x:c r="I62" s="13" t="str">
        <x:v>Obtain source-system workflow acceptance separately.</x:v>
      </x:c>
      <x:c r="J62" s="13"/>
      <x:c r="K62" s="13"/>
    </x:row>
    <x:row r="63" ht="85" customHeight="1">
      <x:c r="A63" s="11">
        <x:f t="shared" si="0"/>
        <x:v>78</x:v>
      </x:c>
      <x:c r="B63" s="12" t="s">
        <x:v>184</x:v>
      </x:c>
      <x:c r="C63" s="13" t="s">
        <x:v>185</x:v>
      </x:c>
      <x:c r="D63" s="13" t="s">
        <x:v>17</x:v>
      </x:c>
      <x:c r="E63" s="13" t="s">
        <x:v>13</x:v>
      </x:c>
      <x:c r="F63" s="13" t="s">
        <x:v>19</x:v>
      </x:c>
      <x:c r="G63" s="13" t="str">
        <x:v>Security acceptance pending</x:v>
      </x:c>
      <x:c r="H63" s="13" t="str">
        <x:v>Role definitions exist, but authorised identity tests, access provisioning, small-cell disclosure and break-glass controls are not signed off. Historical v1 status: ℹ️ Security.</x:v>
      </x:c>
      <x:c r="I63" s="13" t="str">
        <x:v>Approve mappings and disclosure policy; execute role and Service-access tests.</x:v>
      </x:c>
      <x:c r="J63" s="13"/>
      <x:c r="K63" s="13"/>
    </x:row>
    <x:row r="64" ht="85" customHeight="1">
      <x:c r="A64" s="11">
        <x:f t="shared" si="0"/>
        <x:v>79</x:v>
      </x:c>
      <x:c r="B64" s="12" t="s">
        <x:v>186</x:v>
      </x:c>
      <x:c r="C64" s="13" t="s">
        <x:v>187</x:v>
      </x:c>
      <x:c r="D64" s="13" t="s">
        <x:v>17</x:v>
      </x:c>
      <x:c r="E64" s="13" t="s">
        <x:v>34</x:v>
      </x:c>
      <x:c r="F64" s="13" t="s">
        <x:v>19</x:v>
      </x:c>
      <x:c r="G64" s="13" t="str">
        <x:v>Security acceptance pending</x:v>
      </x:c>
      <x:c r="H64" s="13" t="str">
        <x:v>Role definitions exist, but authorised identity tests, access provisioning, small-cell disclosure and break-glass controls are not signed off. Historical v1 status: ℹ️ Security.</x:v>
      </x:c>
      <x:c r="I64" s="13" t="str">
        <x:v>Approve mappings and disclosure policy; execute role and Service-access tests.</x:v>
      </x:c>
      <x:c r="J64" s="13"/>
      <x:c r="K64" s="13"/>
    </x:row>
    <x:row r="65" ht="72" customHeight="1">
      <x:c r="A65" s="11">
        <x:f t="shared" si="0"/>
        <x:v>80</x:v>
      </x:c>
      <x:c r="B65" s="12" t="s">
        <x:v>188</x:v>
      </x:c>
      <x:c r="C65" s="13" t="s">
        <x:v>189</x:v>
      </x:c>
      <x:c r="D65" s="13" t="s">
        <x:v>17</x:v>
      </x:c>
      <x:c r="E65" s="13" t="s">
        <x:v>34</x:v>
      </x:c>
      <x:c r="F65" s="13" t="s">
        <x:v>19</x:v>
      </x:c>
      <x:c r="G65" s="13" t="str">
        <x:v>Outside report assessment</x:v>
      </x:c>
      <x:c r="H65" s="13" t="str">
        <x:v>Read-only reporting cannot implement notifications, matching, upload, record editing or operational visibility rules. Historical v1 status: ℹ️ Feature.</x:v>
      </x:c>
      <x:c r="I65" s="13" t="str">
        <x:v>Obtain source-system workflow acceptance separately.</x:v>
      </x:c>
      <x:c r="J65" s="13"/>
      <x:c r="K65" s="13"/>
    </x:row>
    <x:row r="66" ht="85" customHeight="1">
      <x:c r="A66" s="11" t="n">
        <x:f t="shared" ref="A66:A81" si="1">VALUE(TRIM(SUBSTITUTE(B66,"R","",1)))</x:f>
        <x:v>81</x:v>
      </x:c>
      <x:c r="B66" s="12" t="s">
        <x:v>190</x:v>
      </x:c>
      <x:c r="C66" s="13" t="s">
        <x:v>191</x:v>
      </x:c>
      <x:c r="D66" s="13" t="s">
        <x:v>17</x:v>
      </x:c>
      <x:c r="E66" s="13" t="s">
        <x:v>34</x:v>
      </x:c>
      <x:c r="F66" s="13" t="s">
        <x:v>19</x:v>
      </x:c>
      <x:c r="G66" s="13" t="str">
        <x:v>Delivery acceptance pending</x:v>
      </x:c>
      <x:c r="H66" s="13" t="str">
        <x:v>Report/model files do not establish availability, accessibility, SLA, device compatibility, migration completeness, retention or formal sign-off. Historical v1 status: ℹ️ Non-functional.</x:v>
      </x:c>
      <x:c r="I66" s="13" t="str">
        <x:v>Complete the requirement-specific acceptance evidence; freshness is not an SLA measurement.</x:v>
      </x:c>
      <x:c r="J66" s="13"/>
      <x:c r="K66" s="13"/>
    </x:row>
    <x:row r="67" ht="163" customHeight="1">
      <x:c r="A67" s="11">
        <x:f t="shared" si="1"/>
        <x:v>82</x:v>
      </x:c>
      <x:c r="B67" s="12" t="s">
        <x:v>192</x:v>
      </x:c>
      <x:c r="C67" s="13" t="s">
        <x:v>193</x:v>
      </x:c>
      <x:c r="D67" s="13" t="s">
        <x:v>17</x:v>
      </x:c>
      <x:c r="E67" s="13" t="s">
        <x:v>34</x:v>
      </x:c>
      <x:c r="F67" s="13" t="s">
        <x:v>194</x:v>
      </x:c>
      <x:c r="G67" s="13" t="str">
        <x:v>Delivery acceptance pending</x:v>
      </x:c>
      <x:c r="H67" s="13" t="str">
        <x:v>Report/model files do not establish availability, accessibility, SLA, device compatibility, migration completeness, retention or formal sign-off. Mission Control: Partial operational support. Pipeline duration, throughput and prior-run benchmarks exist; these do not measure portal/report response latency or certify an SLA. Historical v1 status: ✅ Implemented.</x:v>
      </x:c>
      <x:c r="I67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7" s="13"/>
      <x:c r="K67" s="13"/>
    </x:row>
    <x:row r="68" ht="163" customHeight="1">
      <x:c r="A68" s="11">
        <x:f t="shared" si="1"/>
        <x:v>83</x:v>
      </x:c>
      <x:c r="B68" s="12" t="s">
        <x:v>195</x:v>
      </x:c>
      <x:c r="C68" s="13" t="s">
        <x:v>196</x:v>
      </x:c>
      <x:c r="D68" s="13" t="s">
        <x:v>17</x:v>
      </x:c>
      <x:c r="E68" s="13" t="s">
        <x:v>13</x:v>
      </x:c>
      <x:c r="F68" s="13" t="s">
        <x:v>19</x:v>
      </x:c>
      <x:c r="G68" s="13" t="str">
        <x:v>Delivery acceptance pending</x:v>
      </x:c>
      <x:c r="H68" s="13" t="str">
        <x:v>Report/model files do not establish availability, accessibility, SLA, device compatibility, migration completeness, retention or formal sign-off. Mission Control: Partial operational support. Archive/replay controls and load rows provide migration evidence, not complete source-to-target migration acceptance. Historical v1 status: ℹ️ Non-functional.</x:v>
      </x:c>
      <x:c r="I68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8" s="13"/>
      <x:c r="K68" s="13"/>
    </x:row>
    <x:row r="69" ht="163" customHeight="1">
      <x:c r="A69" s="11">
        <x:f t="shared" si="1"/>
        <x:v>84</x:v>
      </x:c>
      <x:c r="B69" s="12" t="s">
        <x:v>197</x:v>
      </x:c>
      <x:c r="C69" s="13" t="s">
        <x:v>198</x:v>
      </x:c>
      <x:c r="D69" s="13" t="s">
        <x:v>17</x:v>
      </x:c>
      <x:c r="E69" s="13" t="s">
        <x:v>13</x:v>
      </x:c>
      <x:c r="F69" s="13" t="s">
        <x:v>19</x:v>
      </x:c>
      <x:c r="G69" s="13" t="str">
        <x:v>Delivery acceptance pending</x:v>
      </x:c>
      <x:c r="H69" s="13" t="str">
        <x:v>Report/model files do not establish availability, accessibility, SLA, device compatibility, migration completeness, retention or formal sign-off. Mission Control: Partial operational support. DQ/RI exceptions, drift, lineage and retained domain evidence exist; retention/export policy and security acceptance remain open. Historical v1 status: ℹ️ Non-functional.</x:v>
      </x:c>
      <x:c r="I69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69" s="13"/>
      <x:c r="K69" s="13"/>
    </x:row>
    <x:row r="70" ht="163" customHeight="1">
      <x:c r="A70" s="11">
        <x:f t="shared" si="1"/>
        <x:v>85</x:v>
      </x:c>
      <x:c r="B70" s="12" t="s">
        <x:v>199</x:v>
      </x:c>
      <x:c r="C70" s="13" t="s">
        <x:v>200</x:v>
      </x:c>
      <x:c r="D70" s="13" t="s">
        <x:v>17</x:v>
      </x:c>
      <x:c r="E70" s="13" t="s">
        <x:v>18</x:v>
      </x:c>
      <x:c r="F70" s="13" t="s">
        <x:v>19</x:v>
      </x:c>
      <x:c r="G70" s="13" t="str">
        <x:v>Delivery acceptance pending</x:v>
      </x:c>
      <x:c r="H70" s="13" t="str">
        <x:v>Report/model files do not establish availability, accessibility, SLA, device compatibility, migration completeness, retention or formal sign-off. Mission Control: Supporting documentation evidence. Operational pages and runbooks support handover; FAQs, user training, support readiness and client approval remain separate. Historical v1 status: ℹ️ Non-functional.</x:v>
      </x:c>
      <x:c r="I70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70" s="13"/>
      <x:c r="K70" s="13"/>
    </x:row>
    <x:row r="71" ht="137" customHeight="1">
      <x:c r="A71" s="11">
        <x:f t="shared" si="1"/>
        <x:v>86</x:v>
      </x:c>
      <x:c r="B71" s="12" t="s">
        <x:v>201</x:v>
      </x:c>
      <x:c r="C71" s="13" t="s">
        <x:v>202</x:v>
      </x:c>
      <x:c r="D71" s="13" t="s">
        <x:v>17</x:v>
      </x:c>
      <x:c r="E71" s="13" t="s">
        <x:v>34</x:v>
      </x:c>
      <x:c r="F71" s="13" t="s">
        <x:v>19</x:v>
      </x:c>
      <x:c r="G71" s="13" t="str">
        <x:v>Delivery acceptance pending</x:v>
      </x:c>
      <x:c r="H71" s="13" t="str">
        <x:v>Report/model files do not establish availability, accessibility, SLA, device compatibility, migration completeness, retention or formal sign-off. Phone-layout definitions are present; actual device/browser behaviour and accessibility still need client tests. Historical v1 status: ℹ️ Non-functional.</x:v>
      </x:c>
      <x:c r="I71" s="13" t="str">
        <x:v>Complete the requirement-specific acceptance evidence; freshness is not an SLA measurement.</x:v>
      </x:c>
      <x:c r="J71" s="13"/>
      <x:c r="K71" s="13"/>
    </x:row>
    <x:row r="72" ht="176" customHeight="1">
      <x:c r="A72" s="11">
        <x:f t="shared" si="1"/>
        <x:v>87</x:v>
      </x:c>
      <x:c r="B72" s="12" t="s">
        <x:v>203</x:v>
      </x:c>
      <x:c r="C72" s="13" t="s">
        <x:v>204</x:v>
      </x:c>
      <x:c r="D72" s="13" t="s">
        <x:v>17</x:v>
      </x:c>
      <x:c r="E72" s="13" t="s">
        <x:v>34</x:v>
      </x:c>
      <x:c r="F72" s="13" t="s">
        <x:v>19</x:v>
      </x:c>
      <x:c r="G72" s="13" t="str">
        <x:v>Delivery acceptance pending</x:v>
      </x:c>
      <x:c r="H72" s="13" t="str">
        <x:v>Report/model files do not establish availability, accessibility, SLA, device compatibility, migration completeness, retention or formal sign-off. Mission Control: Partial operational support. Failures, error detail and reload queues support incident triage; notification delivery, ticket workflow and SLA ownership are not implemented by these cards. Historical v1 status: ℹ️ Non-functional.</x:v>
      </x:c>
      <x:c r="I72" s="13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J72" s="13"/>
      <x:c r="K72" s="13"/>
    </x:row>
    <x:row r="73" ht="137" customHeight="1">
      <x:c r="A73" s="11">
        <x:f t="shared" si="1"/>
        <x:v>88</x:v>
      </x:c>
      <x:c r="B73" s="12" t="s">
        <x:v>205</x:v>
      </x:c>
      <x:c r="C73" s="13" t="s">
        <x:v>206</x:v>
      </x:c>
      <x:c r="D73" s="13" t="s">
        <x:v>17</x:v>
      </x:c>
      <x:c r="E73" s="13" t="s">
        <x:v>18</x:v>
      </x:c>
      <x:c r="F73" s="13" t="s">
        <x:v>19</x:v>
      </x:c>
      <x:c r="G73" s="13" t="str">
        <x:v>Outside report assessment</x:v>
      </x:c>
      <x:c r="H73" s="13" t="str">
        <x:v>Design and roadmap evidence is separate from KPI coverage or production acceptance. Mission Control: Supporting change-control evidence. Versioned contracts, source-controlled notebooks and discovery evidence support controlled change, not full roadmap/governance acceptance. Historical v1 status: ℹ️ Non-functional.</x:v>
      </x:c>
      <x:c r="I73" s="13" t="str">
        <x:v>Confirm architecture/procurement and hosting decisions. Validate the Mission Control measures and page filters against known runs; proposed R-to-operational-measure association requires owner approval.</x:v>
      </x:c>
      <x:c r="J73" s="13"/>
      <x:c r="K73" s="13"/>
    </x:row>
    <x:row r="74" ht="85" customHeight="1">
      <x:c r="A74" s="11">
        <x:f t="shared" si="1"/>
        <x:v>89</x:v>
      </x:c>
      <x:c r="B74" s="12" t="s">
        <x:v>207</x:v>
      </x:c>
      <x:c r="C74" s="13" t="s">
        <x:v>208</x:v>
      </x:c>
      <x:c r="D74" s="13" t="s">
        <x:v>17</x:v>
      </x:c>
      <x:c r="E74" s="13" t="s">
        <x:v>18</x:v>
      </x:c>
      <x:c r="F74" s="13" t="s">
        <x:v>19</x:v>
      </x:c>
      <x:c r="G74" s="13" t="str">
        <x:v>Delivery acceptance pending</x:v>
      </x:c>
      <x:c r="H74" s="13" t="str">
        <x:v>Report/model files do not establish availability, accessibility, SLA, device compatibility, migration completeness, retention or formal sign-off. Historical v1 status: ℹ️ Non-functional.</x:v>
      </x:c>
      <x:c r="I74" s="13" t="str">
        <x:v>Complete the requirement-specific acceptance evidence; freshness is not an SLA measurement.</x:v>
      </x:c>
      <x:c r="J74" s="13"/>
      <x:c r="K74" s="13"/>
    </x:row>
    <x:row r="75" ht="59" customHeight="1">
      <x:c r="A75" s="11">
        <x:f t="shared" si="1"/>
        <x:v>90</x:v>
      </x:c>
      <x:c r="B75" s="12" t="s">
        <x:v>209</x:v>
      </x:c>
      <x:c r="C75" s="13" t="s">
        <x:v>210</x:v>
      </x:c>
      <x:c r="D75" s="13" t="s">
        <x:v>17</x:v>
      </x:c>
      <x:c r="E75" s="13" t="s">
        <x:v>18</x:v>
      </x:c>
      <x:c r="F75" s="13" t="s">
        <x:v>19</x:v>
      </x:c>
      <x:c r="G75" s="13" t="str">
        <x:v>Outside report assessment</x:v>
      </x:c>
      <x:c r="H75" s="13" t="str">
        <x:v>Design and roadmap evidence is separate from KPI coverage or production acceptance. Historical v1 status: ℹ️ Non-functional.</x:v>
      </x:c>
      <x:c r="I75" s="13" t="str">
        <x:v>Confirm architecture/procurement and hosting decisions.</x:v>
      </x:c>
      <x:c r="J75" s="13"/>
      <x:c r="K75" s="13"/>
    </x:row>
    <x:row r="76" ht="72" customHeight="1">
      <x:c r="A76" s="11">
        <x:f t="shared" si="1"/>
        <x:v>91</x:v>
      </x:c>
      <x:c r="B76" s="12" t="s">
        <x:v>211</x:v>
      </x:c>
      <x:c r="C76" s="13" t="s">
        <x:v>212</x:v>
      </x:c>
      <x:c r="D76" s="13" t="s">
        <x:v>78</x:v>
      </x:c>
      <x:c r="E76" s="13" t="s">
        <x:v>13</x:v>
      </x:c>
      <x:c r="F76" s="13" t="s">
        <x:v>213</x:v>
      </x:c>
      <x:c r="G76" s="13" t="str">
        <x:v>Partial reporting</x:v>
      </x:c>
      <x:c r="H76" s="13" t="str">
        <x:v>Registration data is reportable; submission/upload and onboarding workflows remain source-system functions. Historical v1 status: ✅ Implemented.</x:v>
      </x:c>
      <x:c r="I76" s="13" t="str">
        <x:v>Validate directory data and obtain registration workflow evidence.</x:v>
      </x:c>
      <x:c r="J76" s="13"/>
      <x:c r="K76" s="13"/>
    </x:row>
    <x:row r="77" ht="72" customHeight="1">
      <x:c r="A77" s="11">
        <x:f t="shared" si="1"/>
        <x:v>92</x:v>
      </x:c>
      <x:c r="B77" s="12" t="s">
        <x:v>214</x:v>
      </x:c>
      <x:c r="C77" s="13" t="s">
        <x:v>215</x:v>
      </x:c>
      <x:c r="D77" s="13" t="s">
        <x:v>109</x:v>
      </x:c>
      <x:c r="E77" s="13" t="s">
        <x:v>34</x:v>
      </x:c>
      <x:c r="F77" s="13" t="s">
        <x:v>19</x:v>
      </x:c>
      <x:c r="G77" s="13" t="str">
        <x:v>Partial reporting</x:v>
      </x:c>
      <x:c r="H77" s="13" t="str">
        <x:v>Current provider approval state is reportable; it does not certify due diligence, bulk-job success or registration workflow. Historical v1 status: ℹ️ Feature.</x:v>
      </x:c>
      <x:c r="I77" s="13" t="str">
        <x:v>Approve proxy label and obtain workflow/compliance evidence.</x:v>
      </x:c>
      <x:c r="J77" s="13"/>
      <x:c r="K77" s="13"/>
    </x:row>
    <x:row r="78" ht="111" customHeight="1">
      <x:c r="A78" s="11">
        <x:f t="shared" si="1"/>
        <x:v>93</x:v>
      </x:c>
      <x:c r="B78" s="12" t="s">
        <x:v>216</x:v>
      </x:c>
      <x:c r="C78" s="13" t="s">
        <x:v>217</x:v>
      </x:c>
      <x:c r="D78" s="13" t="s">
        <x:v>12</x:v>
      </x:c>
      <x:c r="E78" s="13" t="s">
        <x:v>13</x:v>
      </x:c>
      <x:c r="F78" s="13" t="s">
        <x:v>218</x:v>
      </x:c>
      <x:c r="G78" s="13" t="str">
        <x:v>Built; UAT pending</x:v>
      </x:c>
      <x:c r="H78" s="13" t="str">
        <x:v>Provider/home/offer/assignment/message detail is built. Document access and permissions need runtime review. Registry source, export permissions and identity access still require runtime acceptance. Historical v1 status: ✅ Implemented.</x:v>
      </x:c>
      <x:c r="I78" s="13" t="str">
        <x:v>Drill from a provider and test each detail section and authorised document access.</x:v>
      </x:c>
      <x:c r="J78" s="13"/>
      <x:c r="K78" s="13"/>
    </x:row>
    <x:row r="79" ht="72" customHeight="1">
      <x:c r="A79" s="11">
        <x:f t="shared" si="1"/>
        <x:v>94</x:v>
      </x:c>
      <x:c r="B79" s="12" t="s">
        <x:v>219</x:v>
      </x:c>
      <x:c r="C79" s="13" t="s">
        <x:v>220</x:v>
      </x:c>
      <x:c r="D79" s="13" t="s">
        <x:v>109</x:v>
      </x:c>
      <x:c r="E79" s="13" t="s">
        <x:v>34</x:v>
      </x:c>
      <x:c r="F79" s="13" t="s">
        <x:v>221</x:v>
      </x:c>
      <x:c r="G79" s="13" t="str">
        <x:v>Partial reporting</x:v>
      </x:c>
      <x:c r="H79" s="13" t="str">
        <x:v>Current flags are reportable. Historical flag types and application/removal workflow are not proven. Historical v1 status: ⚠️ Partial.</x:v>
      </x:c>
      <x:c r="I79" s="13" t="str">
        <x:v>Confirm flag scope and obtain historical classification and portal evidence.</x:v>
      </x:c>
      <x:c r="J79" s="13"/>
      <x:c r="K79" s="13"/>
    </x:row>
    <x:row r="80" ht="85" customHeight="1">
      <x:c r="A80" s="11">
        <x:f t="shared" si="1"/>
        <x:v>95</x:v>
      </x:c>
      <x:c r="B80" s="12" t="s">
        <x:v>222</x:v>
      </x:c>
      <x:c r="C80" s="13" t="s">
        <x:v>223</x:v>
      </x:c>
      <x:c r="D80" s="13" t="s">
        <x:v>17</x:v>
      </x:c>
      <x:c r="E80" s="13" t="s">
        <x:v>34</x:v>
      </x:c>
      <x:c r="F80" s="13" t="s">
        <x:v>224</x:v>
      </x:c>
      <x:c r="G80" s="13" t="str">
        <x:v>Partial reporting</x:v>
      </x:c>
      <x:c r="H80" s="13" t="str">
        <x:v>Current reference/category reporting exists; framework configuration workflows and specific release contents need business verification. Historical v1 status: ✅ Implemented.</x:v>
      </x:c>
      <x:c r="I80" s="13" t="str">
        <x:v>Reconcile framework versions and all categories, then confirm portal configuration.</x:v>
      </x:c>
      <x:c r="J80" s="13"/>
      <x:c r="K80" s="13"/>
    </x:row>
    <x:row r="81" ht="85" customHeight="1">
      <x:c r="A81" s="11">
        <x:f t="shared" si="1"/>
        <x:v>96</x:v>
      </x:c>
      <x:c r="B81" s="12" t="s">
        <x:v>225</x:v>
      </x:c>
      <x:c r="C81" s="13" t="s">
        <x:v>226</x:v>
      </x:c>
      <x:c r="D81" s="13" t="s">
        <x:v>17</x:v>
      </x:c>
      <x:c r="E81" s="13" t="s">
        <x:v>34</x:v>
      </x:c>
      <x:c r="F81" s="13" t="s">
        <x:v>227</x:v>
      </x:c>
      <x:c r="G81" s="13" t="str">
        <x:v>Partial reporting</x:v>
      </x:c>
      <x:c r="H81" s="13" t="str">
        <x:v>Current reference/category reporting exists; framework configuration workflows and specific release contents need business verification. Historical v1 status: ✅ Implemented.</x:v>
      </x:c>
      <x:c r="I81" s="13" t="str">
        <x:v>Reconcile framework versions and all categories, then confirm portal configuration.</x:v>
      </x:c>
      <x:c r="J81" s="13"/>
      <x:c r="K8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33.453125" customWidth="1"/>
    <x:col min="2" max="2" width="32.453125" customWidth="1"/>
    <x:col min="3" max="3" width="36" customWidth="1"/>
    <x:col min="4" max="4" width="29.54296875" customWidth="1"/>
  </x:cols>
  <x:sheetData>
    <x:row r="1" s="2" customFormat="1" ht="30" customHeight="1">
      <x:c r="A1" s="8" t="s">
        <x:v>228</x:v>
      </x:c>
      <x:c r="B1" s="8" t="s">
        <x:v>229</x:v>
      </x:c>
      <x:c r="C1" s="8" t="s">
        <x:v>230</x:v>
      </x:c>
      <x:c r="D1" s="20" t="s">
        <x:v>231</x:v>
      </x:c>
    </x:row>
    <x:row r="2" ht="46" customHeight="1">
      <x:c r="A2" s="13" t="s">
        <x:v>232</x:v>
      </x:c>
      <x:c r="B2" s="13" t="str">
        <x:v>slv_referral_provider</x:v>
      </x:c>
      <x:c r="C2" s="13" t="str">
        <x:v>referral.referral_provider</x:v>
      </x:c>
      <x:c r="D2" s="13" t="str">
        <x:v>Referral → Provider mapping; historical v1 object; no current production asserted</x:v>
      </x:c>
    </x:row>
    <x:row r="3" ht="72" customHeight="1">
      <x:c r="A3" s="13" t="s">
        <x:v>233</x:v>
      </x:c>
      <x:c r="B3" s="13" t="str">
        <x:v>silver.ipa; silver.offer; silver.provider_home_category; silver.provider_home_location; silver.referral_location; silver.referral_provider</x:v>
      </x:c>
      <x:c r="C3" s="13" t="str">
        <x:v>offer.offer</x:v>
      </x:c>
      <x:c r="D3" s="13" t="str">
        <x:v>Provider offers; notebook definition verified; refresh/UAT pending</x:v>
      </x:c>
    </x:row>
    <x:row r="4" ht="59" customHeight="1">
      <x:c r="A4" s="13" t="s">
        <x:v>234</x:v>
      </x:c>
      <x:c r="B4" s="13" t="str">
        <x:v>silver.ipa</x:v>
      </x:c>
      <x:c r="C4" s="13" t="str">
        <x:v>ipa.ipa</x:v>
      </x:c>
      <x:c r="D4" s="13" t="str">
        <x:v>Individual Placement Agreements; notebook definition verified; refresh/UAT pending</x:v>
      </x:c>
    </x:row>
    <x:row r="5" ht="46" customHeight="1">
      <x:c r="A5" s="13" t="s">
        <x:v>235</x:v>
      </x:c>
      <x:c r="B5" s="13" t="str">
        <x:v>slv_referral</x:v>
      </x:c>
      <x:c r="C5" s="13" t="str">
        <x:v>referral.referral</x:v>
      </x:c>
      <x:c r="D5" s="13" t="str">
        <x:v>Referral header; historical v1 object; no current production asserted</x:v>
      </x:c>
    </x:row>
    <x:row r="6" ht="46" customHeight="1">
      <x:c r="A6" s="13" t="s">
        <x:v>236</x:v>
      </x:c>
      <x:c r="B6" s="13" t="str">
        <x:v>silver.provider</x:v>
      </x:c>
      <x:c r="C6" s="13" t="str">
        <x:v>provider.provider</x:v>
      </x:c>
      <x:c r="D6" s="13" t="str">
        <x:v>Provider master; notebook definition verified; refresh/UAT pending</x:v>
      </x:c>
    </x:row>
    <x:row r="7" ht="46" customHeight="1">
      <x:c r="A7" s="13" t="s">
        <x:v>237</x:v>
      </x:c>
      <x:c r="B7" s="13" t="str">
        <x:v>silver.provider_home</x:v>
      </x:c>
      <x:c r="C7" s="13" t="str">
        <x:v>provider.provider_home</x:v>
      </x:c>
      <x:c r="D7" s="13" t="str">
        <x:v>Provider homes; notebook definition verified; refresh/UAT pending</x:v>
      </x:c>
    </x:row>
    <x:row r="8" ht="46" customHeight="1">
      <x:c r="A8" s="13" t="s">
        <x:v>238</x:v>
      </x:c>
      <x:c r="B8" s="13" t="str">
        <x:v>slv_provider_framework</x:v>
      </x:c>
      <x:c r="C8" s="13" t="str">
        <x:v>provider.provider_framework</x:v>
      </x:c>
      <x:c r="D8" s="13" t="str">
        <x:v>Provider-framework link; historical v1 object; no current production asserted</x:v>
      </x:c>
    </x:row>
    <x:row r="9" ht="46" customHeight="1">
      <x:c r="A9" s="13" t="s">
        <x:v>239</x:v>
      </x:c>
      <x:c r="B9" s="13" t="str">
        <x:v>slv_person</x:v>
      </x:c>
      <x:c r="C9" s="13" t="str">
        <x:v>referral.person</x:v>
      </x:c>
      <x:c r="D9" s="13" t="str">
        <x:v>Child demographics; historical v1 object; no current production asserted</x:v>
      </x:c>
    </x:row>
    <x:row r="10" ht="46" customHeight="1">
      <x:c r="A10" s="13" t="s">
        <x:v>240</x:v>
      </x:c>
      <x:c r="B10" s="13" t="str">
        <x:v>slv_referral_category</x:v>
      </x:c>
      <x:c r="C10" s="13" t="str">
        <x:v>referral.referral_category</x:v>
      </x:c>
      <x:c r="D10" s="13" t="str">
        <x:v>Referral categories; historical v1 object; no current production asserted</x:v>
      </x:c>
    </x:row>
    <x:row r="11" ht="46" customHeight="1">
      <x:c r="A11" s="13" t="s">
        <x:v>241</x:v>
      </x:c>
      <x:c r="B11" s="13" t="str">
        <x:v>slv_referral_provider_message</x:v>
      </x:c>
      <x:c r="C11" s="13" t="str">
        <x:v>referral.referral_provider_message</x:v>
      </x:c>
      <x:c r="D11" s="13" t="str">
        <x:v>Inter-party messages; historical v1 object; no current production asserted</x:v>
      </x:c>
    </x:row>
    <x:row r="12" ht="46" customHeight="1">
      <x:c r="A12" s="13" t="s">
        <x:v>242</x:v>
      </x:c>
      <x:c r="B12" s="13" t="str">
        <x:v>slv_person</x:v>
      </x:c>
      <x:c r="C12" s="13" t="str">
        <x:v>referral.person</x:v>
      </x:c>
      <x:c r="D12" s="13" t="str">
        <x:v>Gender aggregation; historical v1 object; no current production asserted</x:v>
      </x:c>
    </x:row>
    <x:row r="13" ht="46" customHeight="1">
      <x:c r="A13" s="13" t="s">
        <x:v>243</x:v>
      </x:c>
      <x:c r="B13" s="13" t="str">
        <x:v>slv_referral_event_log</x:v>
      </x:c>
      <x:c r="C13" s="13" t="str">
        <x:v>referral.referral_event_log</x:v>
      </x:c>
      <x:c r="D13" s="13" t="str">
        <x:v>Audit trail; historical v1 object; no current production asserted</x:v>
      </x:c>
    </x:row>
    <x:row r="14" ht="46" customHeight="1">
      <x:c r="A14" s="13" t="s">
        <x:v>244</x:v>
      </x:c>
      <x:c r="B14" s="13" t="str">
        <x:v>slv_s3_file_metadata</x:v>
      </x:c>
      <x:c r="C14" s="13" t="str">
        <x:v>document.s3_file_metadata</x:v>
      </x:c>
      <x:c r="D14" s="13" t="str">
        <x:v>Document metadata; historical v1 object; no current production asserted</x:v>
      </x:c>
    </x:row>
    <x:row r="15" ht="46" customHeight="1">
      <x:c r="A15" s="13" t="s">
        <x:v>245</x:v>
      </x:c>
      <x:c r="B15" s="13" t="str">
        <x:v>slv_provider_document</x:v>
      </x:c>
      <x:c r="C15" s="13" t="str">
        <x:v>provider.provider_document</x:v>
      </x:c>
      <x:c r="D15" s="13" t="str">
        <x:v>Provider docs; historical v1 object; no current production asserted</x:v>
      </x:c>
    </x:row>
    <x:row r="16" ht="46" customHeight="1">
      <x:c r="A16" s="13" t="s">
        <x:v>246</x:v>
      </x:c>
      <x:c r="B16" s="13" t="str">
        <x:v>slv_submission_documents</x:v>
      </x:c>
      <x:c r="C16" s="13" t="str">
        <x:v>provider.submission_documents</x:v>
      </x:c>
      <x:c r="D16" s="13" t="str">
        <x:v>Onboarding docs; historical v1 object; no current production asserted</x:v>
      </x:c>
    </x:row>
    <x:row r="17" ht="46" customHeight="1">
      <x:c r="A17" s="13" t="s">
        <x:v>247</x:v>
      </x:c>
      <x:c r="B17" s="13" t="str">
        <x:v>slv_referral_provider_decline_reason</x:v>
      </x:c>
      <x:c r="C17" s="13" t="str">
        <x:v>referral.referral_provider_decline_reason</x:v>
      </x:c>
      <x:c r="D17" s="13" t="str">
        <x:v>Decline reasons; historical v1 object; no current production asserted</x:v>
      </x:c>
    </x:row>
    <x:row r="18" ht="189" customHeight="1">
      <x:c r="A18" s="13" t="s">
        <x:v>248</x:v>
      </x:c>
      <x:c r="B18" s="13" t="str">
        <x:v>silver.ipa; silver.offer; silver.provider_framework; silver.provider_home_category; silver.provider_home_spot_category; silver.provider_sic_codes; silver.provider_submission_docs; silver.referral; silver.referral_category; silver.referral_person; silver.referral_provider_cancel_reason; silver.referral_provider_decline_reason; silver.referral_provider_message; silver.referral_spot_category</x:v>
      </x:c>
      <x:c r="C18" s="13" t="str">
        <x:v>offer.offer</x:v>
      </x:c>
      <x:c r="D18" s="13" t="str">
        <x:v>Offer status lookup; notebook definition verified; refresh/UAT 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3.1796875" customWidth="1"/>
    <x:col min="2" max="2" width="18.1796875" customWidth="1"/>
    <x:col min="3" max="3" width="41.1796875" customWidth="1"/>
    <x:col min="4" max="4" width="29.7265625" customWidth="1"/>
    <x:col min="5" max="5" width="29.453125" customWidth="1"/>
    <x:col min="6" max="6" width="85" hidden="0" customWidth="1"/>
    <x:col min="7" max="7" width="21" customWidth="1"/>
    <x:col min="8" max="8" width="28.54296875" customWidth="1"/>
    <x:col min="9" max="9" width="15" hidden="0" customWidth="1"/>
  </x:cols>
  <x:sheetData>
    <x:row r="1" s="2" customFormat="1" ht="30" customHeight="1">
      <x:c r="A1" s="8" t="str">
        <x:v>KPI ID</x:v>
      </x:c>
      <x:c r="B1" s="8" t="str">
        <x:v>ref FR IDs</x:v>
      </x:c>
      <x:c r="C1" s="8" t="str">
        <x:v>KPI Description</x:v>
      </x:c>
      <x:c r="D1" s="8" t="str">
        <x:v>ref FR IDs Description</x:v>
      </x:c>
      <x:c r="E1" s="8" t="str">
        <x:v>Tables</x:v>
      </x:c>
      <x:c r="F1" s="8" t="str">
        <x:v>Calculation</x:v>
      </x:c>
      <x:c r="G1" s="8" t="str">
        <x:v>PBI Measure</x:v>
      </x:c>
      <x:c r="H1" s="20" t="str">
        <x:v>Section</x:v>
      </x:c>
      <x:c r="I1" s="20" t="str">
        <x:v>Date Added</x:v>
      </x:c>
    </x:row>
    <x:row r="2" ht="306" customHeight="1">
      <x:c r="A2" s="13" t="str">
        <x:v>KPI-83</x:v>
      </x:c>
      <x:c r="B2" s="13" t="str">
        <x:v>[R35]    </x:v>
      </x:c>
      <x:c r="C2" s="13" t="str">
        <x:v>Accepted Offer to IPA Conversion %  </x:v>
      </x:c>
      <x:c r="D2" s="13" t="str">
        <x:v>R35 (digitised IPA)                         </x:v>
      </x:c>
      <x:c r="E2" s="13" t="str">
        <x:v>gold.fact_ipa; gold.fact_offer</x:v>
      </x:c>
      <x:c r="F2" s="13" t="str">
        <x:v>Original specification: `COUNT(DISTINCT ipa_id) / COUNT(DISTINCT accepted_offers) * 100`
Original requirement/measure assessment: Defined in saved model; runtime/UAT pending. Accepted Offer to IPA Conversion %; original IPA-count / accepted-offer count. Accepted Offers Linked to IPA % is the distinct-offer alternative; historical classification: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KPI_LATEST_CALCULATIONS.md#business-accepted-offer-to-ipa-conversion-percent
DAX [Accepted Offer to IPA Conversion %]:
DIVIDE ( [IPAs Created], [Accepted Offers] )
Saved source: project X/reports/WIP/SM WMPP v16 updated WIP/SM_WMPP_v16.SemanticModel/definition/tables/_Measures.tmdl:447
Python/Spark SQL producer/reference spans: 04_gold_model.py:817; 04_gold_model.py:712</x:v>
      </x:c>
      <x:c r="G2" s="13" t="str">
        <x:v>Accepted Offer to IPA Conversion %</x:v>
      </x:c>
      <x:c r="H2" s="13" t="str">
        <x:v>Section 8 - IPA Measures</x:v>
      </x:c>
      <x:c r="I2" s="30" t="n">
        <x:v>46260</x:v>
      </x:c>
    </x:row>
    <x:row r="3" ht="345" customHeight="1">
      <x:c r="A3" s="13" t="str">
        <x:v>KPI-39</x:v>
      </x:c>
      <x:c r="B3" s="13" t="str">
        <x:v>[R28,R35]</x:v>
      </x:c>
      <x:c r="C3" s="13" t="str">
        <x:v>Accepted Offers (Scoped Table)</x:v>
      </x:c>
      <x:c r="D3" s="13" t="str">
        <x:v>Acceptance and IPA</x:v>
      </x:c>
      <x:c r="E3" s="13" t="str">
        <x:v>gold.fact_offer</x:v>
      </x:c>
      <x:c r="F3" s="13" t="str">
        <x:v>Original specification: Accepted offers
Original requirement/measure assessment: Legacy helper retired; original specification retained. Retired — internal scoped-table helper (see KPI-36); historical classification: 🗄 Retired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KPI_LATEST_CALCULATIONS.md#business-accepted-offers
DAX [Accepted Offers]:
CALCULATE (
[Offers Submitted],
FILTER (
'fact_offer',
LOWER ( 'fact_offer'[offer_status] ) IN { "accepted", "approved", "selected", "offer_successful" }
)
)
Saved source: project X/reports/WIP/SM WMPP v16 updated WIP/SM_WMPP_v16.SemanticModel/definition/tables/_Measures.tmdl:967
Python/Spark SQL producer/reference spans: 04_gold_model.py:712</x:v>
      </x:c>
      <x:c r="G3" s="13" t="str">
        <x:v>Accepted Offers</x:v>
      </x:c>
      <x:c r="H3" s="13" t="str">
        <x:v>Section 5 - Referral Offers</x:v>
      </x:c>
      <x:c r="I3" s="30" t="n">
        <x:v>46260</x:v>
      </x:c>
    </x:row>
    <x:row r="4" ht="358" customHeight="1">
      <x:c r="A4" s="13" t="str">
        <x:v>KPI-75</x:v>
      </x:c>
      <x:c r="B4" s="13" t="str">
        <x:v>[R28,R35]</x:v>
      </x:c>
      <x:c r="C4" s="13" t="str">
        <x:v>Accepted Offers Base                </x:v>
      </x:c>
      <x:c r="D4" s="13" t="str">
        <x:v>R28 (accept placements), R35 (digitised IPA)</x:v>
      </x:c>
      <x:c r="E4" s="13" t="str">
        <x:v>gold.fact_offer</x:v>
      </x:c>
      <x:c r="F4" s="13" t="str">
        <x:v>Original specification: `COUNT(DISTINCT offer_id) WHERE offer_status = 'ACCEPTED'`
Original requirement/measure assessment: Legacy helper retired; original specification retained. Retired — internal base helper; [Successful Offers (Under Offer Referrals)] + `dim_offer_status` cover it; historical classification: 🗄 Retired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KPI_LATEST_CALCULATIONS.md#business-accepted-offers
DAX [Accepted Offers]:
CALCULATE (
[Offers Submitted],
FILTER (
'fact_offer',
LOWER ( 'fact_offer'[offer_status] ) IN { "accepted", "approved", "selected", "offer_successful" }
)
)
Saved source: project X/reports/WIP/SM WMPP v16 updated WIP/SM_WMPP_v16.SemanticModel/definition/tables/_Measures.tmdl:967
Python/Spark SQL producer/reference spans: 04_gold_model.py:712</x:v>
      </x:c>
      <x:c r="G4" s="13" t="str">
        <x:v>Accepted Offers</x:v>
      </x:c>
      <x:c r="H4" s="13" t="str">
        <x:v>Section 8 - IPA Measures</x:v>
      </x:c>
      <x:c r="I4" s="30" t="n">
        <x:v>46260</x:v>
      </x:c>
    </x:row>
    <x:row r="5" ht="306" customHeight="1">
      <x:c r="A5" s="13" t="str">
        <x:v>KPI-21</x:v>
      </x:c>
      <x:c r="B5" s="13" t="str">
        <x:v>[R24,R26]</x:v>
      </x:c>
      <x:c r="C5" s="13" t="str">
        <x:v>Active Awaiting Offers (Engaged)</x:v>
      </x:c>
      <x:c r="D5" s="13" t="str">
        <x:v>Dashboard and prioritisation</x:v>
      </x:c>
      <x:c r="E5" s="13" t="str">
        <x:v>gold.fact_referral</x:v>
      </x:c>
      <x:c r="F5" s="13" t="str">
        <x:v>Original specification: Open referrals with engagement
Original requirement/measure assessment: Defined in saved model; runtime/UAT pending. Active Awaiting Offers With Engagement; historical classification: Alias
Latest saved source reviewed 17 October 2026. Static definition verified; refresh, role/context reconciliation and UAT remain pending.
Full current logic: KPI_LATEST_CALCULATIONS.md#business-active-awaiting-offers-with-engagement
DAX [Active Awaiting Offers With Engagement]:
CALCULATE (
[Total Referrals],
'fact_referral'[is_open] = TRUE (),
'fact_referral'[is_awaiting_offer] = TRUE (),
'fact_referral'[has_provider_response] = TRUE ()
)
Saved source: project X/reports/WIP/SM WMPP v16 updated WIP/SM_WMPP_v16.SemanticModel/definition/tables/_Measures.tmdl:343
Python/Spark SQL producer/reference spans: 04_gold_model.py:232</x:v>
      </x:c>
      <x:c r="G5" s="13" t="str">
        <x:v>Active Awaiting Offers With Engagement</x:v>
      </x:c>
      <x:c r="H5" s="13" t="str">
        <x:v>Section 2 - Provider Activity</x:v>
      </x:c>
      <x:c r="I5" s="30" t="n">
        <x:v>46260</x:v>
      </x:c>
    </x:row>
    <x:row r="6" ht="306" customHeight="1">
      <x:c r="A6" s="13" t="str">
        <x:v>KPI-22</x:v>
      </x:c>
      <x:c r="B6" s="13" t="str">
        <x:v>[R24,R26]</x:v>
      </x:c>
      <x:c r="C6" s="13" t="str">
        <x:v>Active Awaiting Offers (No Engagement)</x:v>
      </x:c>
      <x:c r="D6" s="13" t="str">
        <x:v>Dashboard and prioritisation</x:v>
      </x:c>
      <x:c r="E6" s="13" t="str">
        <x:v>gold.fact_referral</x:v>
      </x:c>
      <x:c r="F6" s="13" t="str">
        <x:v>Original specification: Open referrals without engagement
Original requirement/measure assessment: Defined in saved model; runtime/UAT pending. Active Awaiting Offers Without Engagement; historical classification: 🔁 Alias
Latest saved source reviewed 17 October 2026. Static definition verified; refresh, role/context reconciliation and UAT remain pending.
Full current logic: KPI_LATEST_CALCULATIONS.md#business-active-awaiting-offers-without-engagement
DAX [Active Awaiting Offers Without Engagement]:
CALCULATE (
[Total Referrals],
'fact_referral'[is_open] = TRUE (),
'fact_referral'[is_awaiting_offer] = TRUE (),
'fact_referral'[has_provider_response] = FALSE ()
)
Saved source: project X/reports/WIP/SM WMPP v16 updated WIP/SM_WMPP_v16.SemanticModel/definition/tables/_Measures.tmdl:354
Python/Spark SQL producer/reference spans: 04_gold_model.py:232</x:v>
      </x:c>
      <x:c r="G6" s="13" t="str">
        <x:v>Active Awaiting Offers Without Engagement</x:v>
      </x:c>
      <x:c r="H6" s="13" t="str">
        <x:v>Section 2 - Provider Activity</x:v>
      </x:c>
      <x:c r="I6" s="30" t="n">
        <x:v>46260</x:v>
      </x:c>
    </x:row>
    <x:row r="7" ht="241" customHeight="1">
      <x:c r="A7" s="13" t="str">
        <x:v>KPI-20</x:v>
      </x:c>
      <x:c r="B7" s="13" t="str">
        <x:v>[R24,R26]</x:v>
      </x:c>
      <x:c r="C7" s="13" t="str">
        <x:v>Active Referral Engagement Rate</x:v>
      </x:c>
      <x:c r="D7" s="13" t="str">
        <x:v>Dashboard and prioritisation</x:v>
      </x:c>
      <x:c r="E7" s="13" t="str">
        <x:v>gold.fact_referral</x:v>
      </x:c>
      <x:c r="F7" s="13" t="str">
        <x:v>Original specification: KPI-19 / Active referrals
Original requirement/measure assessment: Defined in saved model; runtime/UAT pending. Active Referral Engagement Rate; historical classification: ✅ Covered
Latest saved source reviewed 17 October 2026. Static definition verified; refresh, role/context reconciliation and UAT remain pending.
Full current logic: KPI_LATEST_CALCULATIONS.md#business-active-referral-engagement-rate
DAX [Active Referral Engagement Rate]:
DIVIDE ( [Active Referrals With Provider Engagement], [Referrals Currently Active] )
Saved source: project X/reports/WIP/SM WMPP v16 updated WIP/SM_WMPP_v16.SemanticModel/definition/tables/_Measures.tmdl:338
Python/Spark SQL producer/reference spans: 04_gold_model.py:232</x:v>
      </x:c>
      <x:c r="G7" s="13" t="str">
        <x:v>Active Referral Engagement Rate</x:v>
      </x:c>
      <x:c r="H7" s="13" t="str">
        <x:v>Section 2 - Provider Activity</x:v>
      </x:c>
      <x:c r="I7" s="30" t="n">
        <x:v>46260</x:v>
      </x:c>
    </x:row>
    <x:row r="8" ht="228" customHeight="1">
      <x:c r="A8" s="13" t="str">
        <x:v>KPI-32</x:v>
      </x:c>
      <x:c r="B8" s="13" t="str">
        <x:v>[R24,R36]</x:v>
      </x:c>
      <x:c r="C8" s="13" t="str">
        <x:v>Active Referrals Awaiting Offers</x:v>
      </x:c>
      <x:c r="D8" s="13" t="str">
        <x:v>Dashboard and offers</x:v>
      </x:c>
      <x:c r="E8" s="13" t="str">
        <x:v>gold.fact_referral</x:v>
      </x:c>
      <x:c r="F8" s="13" t="str">
        <x:v>Original specification: Open referrals without offers
Original requirement/measure assessment: Defined in saved model; runtime/UAT pending. Referrals Awaiting Offer; historical classification: 🔁 Alias
Latest saved source reviewed 17 October 2026. Static definition verified; refresh, role/context reconciliation and UAT remain pending.
Full current logic: KPI_LATEST_CALCULATIONS.md#business-referrals-awaiting-offer
DAX [Referrals Awaiting Offer]:
CALCULATE ( [Total Referrals], 'fact_referral'[is_awaiting_offer] = TRUE () )
Saved source: project X/reports/WIP/SM WMPP v16 updated WIP/SM_WMPP_v16.SemanticModel/definition/tables/_Measures.tmdl:9
Python/Spark SQL producer/reference spans: 04_gold_model.py:232</x:v>
      </x:c>
      <x:c r="G8" s="13" t="str">
        <x:v>Referrals Awaiting Offer</x:v>
      </x:c>
      <x:c r="H8" s="13" t="str">
        <x:v>Section 5 - Referral Offers</x:v>
      </x:c>
      <x:c r="I8" s="30" t="n">
        <x:v>46260</x:v>
      </x:c>
    </x:row>
    <x:row r="9" ht="228" customHeight="1">
      <x:c r="A9" s="13" t="str">
        <x:v>KPI-30</x:v>
      </x:c>
      <x:c r="B9" s="13" t="str">
        <x:v>[R24,R36]</x:v>
      </x:c>
      <x:c r="C9" s="13" t="str">
        <x:v>Active Referrals Under Offer</x:v>
      </x:c>
      <x:c r="D9" s="13" t="str">
        <x:v>Dashboard; offers</x:v>
      </x:c>
      <x:c r="E9" s="13" t="str">
        <x:v>gold.fact_referral</x:v>
      </x:c>
      <x:c r="F9" s="13" t="str">
        <x:v>Original specification: Under-offer referrals with valid offers
Original requirement/measure assessment: Defined in saved model; runtime/UAT pending. Referrals Under Offer; historical classification: ✅ Covered
Latest saved source reviewed 17 October 2026. Static definition verified; refresh, role/context reconciliation and UAT remain pending.
Full current logic: KPI_LATEST_CALCULATIONS.md#business-referrals-under-offer
DAX [Referrals Under Offer]:
CALCULATE ( [Total Referrals], KEEPFILTERS ( 'fact_referral'[is_open] = TRUE () ), KEEPFILTERS ( 'fact_referral'[current_status] = "UNDER_OFFER" ) )
Saved source: project X/reports/WIP/SM WMPP v16 updated WIP/SM_WMPP_v16.SemanticModel/definition/tables/_Measures.tmdl:1030
Python/Spark SQL producer/reference spans: 04_gold_model.py:232</x:v>
      </x:c>
      <x:c r="G9" s="13" t="str">
        <x:v>Referrals Under Offer</x:v>
      </x:c>
      <x:c r="H9" s="13" t="str">
        <x:v>Section 5 - Referral Offers</x:v>
      </x:c>
      <x:c r="I9" s="30" t="n">
        <x:v>46260</x:v>
      </x:c>
    </x:row>
    <x:row r="10" ht="293" customHeight="1">
      <x:c r="A10" s="13" t="str">
        <x:v>KPI-19</x:v>
      </x:c>
      <x:c r="B10" s="13" t="str">
        <x:v>[R24,R26]</x:v>
      </x:c>
      <x:c r="C10" s="13" t="str">
        <x:v>Active Referrals With Provider Engagement</x:v>
      </x:c>
      <x:c r="D10" s="13" t="str">
        <x:v>Dashboard and prioritisation</x:v>
      </x:c>
      <x:c r="E10" s="13" t="str">
        <x:v>gold.fact_referral</x:v>
      </x:c>
      <x:c r="F10" s="13" t="str">
        <x:v>Original specification: Active referrals with offer activity
Original requirement/measure assessment: Defined in saved model; runtime/UAT pending. Active Referrals With Provider Engagement; historical classification: ✅ Covered
Latest saved source reviewed 17 October 2026. Static definition verified; refresh, role/context reconciliation and UAT remain pending.
Full current logic: KPI_LATEST_CALCULATIONS.md#business-active-referrals-with-provider-engagement
DAX [Active Referrals With Provider Engagement]:
CALCULATE (
[Total Referrals],
'fact_referral'[is_open] = TRUE (),
'fact_referral'[has_provider_response] = TRUE ()
)
Saved source: project X/reports/WIP/SM WMPP v16 updated WIP/SM_WMPP_v16.SemanticModel/definition/tables/_Measures.tmdl:328
Python/Spark SQL producer/reference spans: 04_gold_model.py:232</x:v>
      </x:c>
      <x:c r="G10" s="13" t="str">
        <x:v>Active Referrals With Provider Engagement</x:v>
      </x:c>
      <x:c r="H10" s="13" t="str">
        <x:v>Section 2 - Provider Activity</x:v>
      </x:c>
      <x:c r="I10" s="30" t="n">
        <x:v>46260</x:v>
      </x:c>
    </x:row>
    <x:row r="11" ht="267" customHeight="1">
      <x:c r="A11" s="13" t="str">
        <x:v>KPI-113</x:v>
      </x:c>
      <x:c r="B11" s="13" t="str">
        <x:v>[R20]    </x:v>
      </x:c>
      <x:c r="C11" s="13" t="str">
        <x:v>Audit Events by Type                     </x:v>
      </x:c>
      <x:c r="D11" s="13" t="str">
        <x:v>R20 audit tracking across placement lifecycle               </x:v>
      </x:c>
      <x:c r="E11" s="13" t="str">
        <x:v>gold.fact_referral_lifecycle_event</x:v>
      </x:c>
      <x:c r="F11" s="13" t="str">
        <x:v>Original specification: `COUNT(DISTINCT event_id) GROUP BY event_type`
Original requirement/measure assessment: Defined in saved model; runtime/UAT pending. Referral Lifecycle Events — derived roll-up, not the source audit log; historical classification: ⚠️ Proxy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KPI_LATEST_CALCULATIONS.md#business-referral-lifecycle-events
DAX [Referral Lifecycle Events]:
DISTINCTCOUNT ( 'fact_referral_lifecycle_event'[event_id] )
Saved source: project X/reports/WIP/SM WMPP v16 updated WIP/SM_WMPP_v16.SemanticModel/definition/tables/_Measures.tmdl:1514
Python/Spark SQL producer/reference spans: 04_gold_model.py:698</x:v>
      </x:c>
      <x:c r="G11" s="13" t="str">
        <x:v>Referral Lifecycle Events</x:v>
      </x:c>
      <x:c r="H11" s="18" t="str">
        <x:v>Section 10 - Outstanding Measures</x:v>
      </x:c>
      <x:c r="I11" s="31" t="n">
        <x:v>46260</x:v>
      </x:c>
    </x:row>
    <x:row r="12" ht="319" customHeight="1">
      <x:c r="A12" s="13" t="str">
        <x:v>KPI-59</x:v>
      </x:c>
      <x:c r="B12" s="13" t="str">
        <x:v>[R24]    </x:v>
      </x:c>
      <x:c r="C12" s="13" t="str">
        <x:v>Average Days in Draft                    </x:v>
      </x:c>
      <x:c r="D12" s="13" t="str">
        <x:v>R24 (dashboard task management)                           </x:v>
      </x:c>
      <x:c r="E12" s="13" t="str">
        <x:v>gold.fact_offer</x:v>
      </x:c>
      <x:c r="F12" s="13" t="str">
        <x:v>Original specification: `AVG(DATEDIFF(current_date(), offer_date)) WHERE offer_status = 'DRAFT'`
Original requirement/measure assessment: Defined in saved model; runtime/UAT pending. Average Days in Draft; historical classification: ✅ Covered
Latest saved source reviewed 17 October 2026. Static definition verified; refresh, role/context reconciliation and UAT remain pending.
Full current logic: KPI_LATEST_CALCULATIONS.md#business-average-days-in-draft
DAX [Average Days in Draft]:
AVERAGEX (
FILTER (
'fact_offer',
LOWER ( COALESCE ( 'fact_offer'[offer_status], "" ) ) = "draft"
&amp;&amp; NOT ISBLANK ( 'fact_offer'[offer_age_days] )
),
'fact_offer'[offer_age_days]
)
Saved source: project X/reports/WIP/SM WMPP v16 updated WIP/SM_WMPP_v16.SemanticModel/definition/tables/_Measures.tmdl:163
Python/Spark SQL producer/reference spans: 04_gold_model.py:712</x:v>
      </x:c>
      <x:c r="G12" s="13" t="str">
        <x:v>Average Days in Draft</x:v>
      </x:c>
      <x:c r="H12" s="13" t="str">
        <x:v>Section 7 - Draft/Pending Offers</x:v>
      </x:c>
      <x:c r="I12" s="30" t="n">
        <x:v>46260</x:v>
      </x:c>
    </x:row>
    <x:row r="13" ht="137" customHeight="1">
      <x:c r="A13" s="13" t="str">
        <x:v>KPI-111</x:v>
      </x:c>
      <x:c r="B13" s="13" t="str">
        <x:v>[R14]    </x:v>
      </x:c>
      <x:c r="C13" s="13" t="str">
        <x:v>Avg Message Response Time (Hours)        </x:v>
      </x:c>
      <x:c r="D13" s="13" t="str">
        <x:v>R14 auditable messaging and prioritisation                  </x:v>
      </x:c>
      <x:c r="E13" s="13" t="str">
        <x:v>No physical source asserted; see current assessment.</x:v>
      </x:c>
      <x:c r="F13" s="13" t="str">
        <x:v>Original specification: `AVG(response hours between messages)`
Original requirement/measure assessment: Source/business-definition gap remains. Blocked — no message response-time facts in Gold;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13" s="13" t="str">
        <x:v>Not implemented / retired; see Calculation</x:v>
      </x:c>
      <x:c r="H13" s="18" t="str">
        <x:v>Section 10 - Outstanding Measures</x:v>
      </x:c>
      <x:c r="I13" s="31" t="n">
        <x:v>46260</x:v>
      </x:c>
    </x:row>
    <x:row r="14" ht="306" customHeight="1">
      <x:c r="A14" s="13" t="str">
        <x:v>KPI-14</x:v>
      </x:c>
      <x:c r="B14" s="13" t="str">
        <x:v>[R51]</x:v>
      </x:c>
      <x:c r="C14" s="13" t="str">
        <x:v>Avg Offers per Provider (Under Offer)</x:v>
      </x:c>
      <x:c r="D14" s="13" t="str">
        <x:v>R51 market intelligence</x:v>
      </x:c>
      <x:c r="E14" s="13" t="str">
        <x:v>gold.fact_offer; gold.fact_referral</x:v>
      </x:c>
      <x:c r="F14" s="13" t="str">
        <x:v>Original specification: Offers / Providers
Original requirement/measure assessment: Defined in saved model; runtime/UAT pending. Average Offers per Provider (Under Offer Referrals); historical classification: ✅ Covered
Latest saved source reviewed 17 October 2026. Static definition verified; refresh, role/context reconciliation and UAT remain pending.
Full current logic: KPI_LATEST_CALCULATIONS.md#business-avg-offers-per-provider-under-offer
DAX [Avg Offers per Provider (Under Offer)]:
DIVIDE(
[Offers on Referrals Under Offer],
[No. Providers Who Made Offers],
0
)
Saved source: project X/reports/WIP/SM WMPP v16 updated WIP/SM_WMPP_v16.SemanticModel/definition/tables/_Measures.tmdl:23
Python/Spark SQL producer/reference spans: 04_gold_model.py:232; 04_gold_model.py:712</x:v>
      </x:c>
      <x:c r="G14" s="13" t="str">
        <x:v>Avg Offers per Provider (Under Offer)</x:v>
      </x:c>
      <x:c r="H14" s="13" t="str">
        <x:v>Section 2 - Provider Activity</x:v>
      </x:c>
      <x:c r="I14" s="30" t="n">
        <x:v>46260</x:v>
      </x:c>
    </x:row>
    <x:row r="15" ht="384" customHeight="1">
      <x:c r="A15" s="13" t="str">
        <x:v>KPI-13</x:v>
      </x:c>
      <x:c r="B15" s="13" t="str">
        <x:v>[R51]</x:v>
      </x:c>
      <x:c r="C15" s="13" t="str">
        <x:v>Avg Offers per Referral (Under Offer)</x:v>
      </x:c>
      <x:c r="D15" s="13" t="str">
        <x:v>R51 market intelligence</x:v>
      </x:c>
      <x:c r="E15" s="13" t="str">
        <x:v>gold.fact_offer; gold.fact_referral</x:v>
      </x:c>
      <x:c r="F15" s="13" t="str">
        <x:v>Original specification: Offers / Referrals
Original requirement/measure assessment: Defined in saved model; runtime/UAT pending. Average Offers per Referral Under Offer; historical classification: ✅ Covered
Latest saved source reviewed 17 October 2026. Static definition verified; refresh, role/context reconciliation and UAT remain pending.
Full current logic: KPI_LATEST_CALCULATIONS.md#business-average-offers-per-referral-under-offer
DAX [Average Offers per Referral Under Offer]:
DIVIDE (
CALCULATE (
[Non-Draft Offers],
FILTER (
'fact_referral',
'fact_referral'[is_open] = TRUE () &amp;&amp; 'fact_referral'[current_status] = "UNDER_OFFER"
)
),
[Referrals Under Offer]
)
Saved source: project X/reports/WIP/SM WMPP v16 updated WIP/SM_WMPP_v16.SemanticModel/definition/tables/_Measures.tmdl:1091
Python/Spark SQL producer/reference spans: 04_gold_model.py:232; 04_gold_model.py:712</x:v>
      </x:c>
      <x:c r="G15" s="13" t="str">
        <x:v>Average Offers per Referral Under Offer</x:v>
      </x:c>
      <x:c r="H15" s="13" t="str">
        <x:v>Section 2 - Provider Activity</x:v>
      </x:c>
      <x:c r="I15" s="30" t="n">
        <x:v>46260</x:v>
      </x:c>
    </x:row>
    <x:row r="16" ht="280" customHeight="1">
      <x:c r="A16" s="13" t="str">
        <x:v>KPI-117</x:v>
      </x:c>
      <x:c r="B16" s="13" t="str">
        <x:v>[R59]    </x:v>
      </x:c>
      <x:c r="C16" s="13" t="str">
        <x:v>Bulk Onboarding Success Rate             </x:v>
      </x:c>
      <x:c r="D16" s="13" t="str">
        <x:v>R59 bulk provider onboarding                                </x:v>
      </x:c>
      <x:c r="E16" s="13" t="str">
        <x:v>gold.dim_provider</x:v>
      </x:c>
      <x:c r="F16" s="13" t="str">
        <x:v>Original specification: `COUNT(DISTINCT approved providers) / COUNT(DISTINCT providers) * 100`
Original requirement/measure assessment: Defined in saved model; runtime/UAT pending. Provider Onboarding Success Rate; current approval-state proportion, not bulk-operation outcome; historical classification: Proxy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KPI_LATEST_CALCULATIONS.md#business-provider-onboarding-success-rate
DAX [Provider Onboarding Success Rate]:
DIVIDE ( [Providers Approved], [Providers Registered] )
Saved source: project X/reports/WIP/SM WMPP v16 updated WIP/SM_WMPP_v16.SemanticModel/definition/tables/_Measures.tmdl:1162
Python/Spark SQL producer/reference spans: 05_gold_dimensions.py:155</x:v>
      </x:c>
      <x:c r="G16" s="13" t="str">
        <x:v>Provider Onboarding Success Rate</x:v>
      </x:c>
      <x:c r="H16" s="18" t="str">
        <x:v>Section 10 - Outstanding Measures</x:v>
      </x:c>
      <x:c r="I16" s="31" t="n">
        <x:v>46260</x:v>
      </x:c>
    </x:row>
    <x:row r="17" ht="137" customHeight="1">
      <x:c r="A17" s="13" t="str">
        <x:v>KPI-34</x:v>
      </x:c>
      <x:c r="B17" s="13" t="str">
        <x:v>[R54]</x:v>
      </x:c>
      <x:c r="C17" s="13" t="str">
        <x:v>Closed Referrals (by Reason)</x:v>
      </x:c>
      <x:c r="D17" s="13" t="str">
        <x:v>Declined placement reasons</x:v>
      </x:c>
      <x:c r="E17" s="13" t="str">
        <x:v>No physical source asserted; see current assessment.</x:v>
      </x:c>
      <x:c r="F17" s="13" t="str">
        <x:v>Original specification: Group by decline reason
Original requirement/measure assessment: No current standalone implementation verified. Closed Referrals (by Reason) with referral_closure_reason; does not supply provider decline history; historical classification: Partial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17" s="13" t="str">
        <x:v>Not implemented / retired; see Calculation</x:v>
      </x:c>
      <x:c r="H17" s="13" t="str">
        <x:v>Section 5 - Referral Offers</x:v>
      </x:c>
      <x:c r="I17" s="30" t="n">
        <x:v>46260</x:v>
      </x:c>
    </x:row>
    <x:row r="18" ht="267" customHeight="1">
      <x:c r="A18" s="13" t="str">
        <x:v>KPI-72</x:v>
      </x:c>
      <x:c r="B18" s="13" t="str">
        <x:v>[R24]    </x:v>
      </x:c>
      <x:c r="C18" s="13" t="str">
        <x:v>Critical Offers (30+ Days)               </x:v>
      </x:c>
      <x:c r="D18" s="13" t="str">
        <x:v>R24 (dashboard task management)                           </x:v>
      </x:c>
      <x:c r="E18" s="13" t="str">
        <x:v>gold.fact_offer</x:v>
      </x:c>
      <x:c r="F18" s="13" t="str">
        <x:v>Original specification: Same as KPI-66 (duplicate)
Original requirement/measure assessment: Defined in saved model; runtime/UAT pending. Pending Offers 30+ Days; historical classification: 🔁 Alias
Latest saved source reviewed 17 October 2026. Static definition verified; refresh, role/context reconciliation and UAT remain pending.
Full current logic: KPI_LATEST_CALCULATIONS.md#business-pending-offers-30-days
DAX [Pending Offers 30+ Days]:
CALCULATE (
[Pending Offers],
KEEPFILTERS ( FILTER ( 'fact_offer', NOT ISBLANK ( 'fact_offer'[offer_age_days] ) &amp;&amp; 'fact_offer'[offer_age_days] &gt;= 30 ) )
)
Saved source: project X/reports/WIP/SM WMPP v16 updated WIP/SM_WMPP_v16.SemanticModel/definition/tables/_Measures.tmdl:280
Python/Spark SQL producer/reference spans: 04_gold_model.py:712</x:v>
      </x:c>
      <x:c r="G18" s="13" t="str">
        <x:v>Pending Offers 30+ Days</x:v>
      </x:c>
      <x:c r="H18" s="13" t="str">
        <x:v>Section 7 - Draft/Pending Offers</x:v>
      </x:c>
      <x:c r="I18" s="30" t="n">
        <x:v>46260</x:v>
      </x:c>
    </x:row>
    <x:row r="19" ht="228" customHeight="1">
      <x:c r="A19" s="13" t="str">
        <x:v>KPI-87</x:v>
      </x:c>
      <x:c r="B19" s="13" t="str">
        <x:v>[R82]    </x:v>
      </x:c>
      <x:c r="C19" s="13" t="str">
        <x:v>Dashboard Last Refreshed </x:v>
      </x:c>
      <x:c r="D19" s="13" t="str">
        <x:v>R82 (reporting and dashboard refresh visibility)</x:v>
      </x:c>
      <x:c r="E19" s="13" t="str">
        <x:v>gold.fact_referral</x:v>
      </x:c>
      <x:c r="F19" s="13" t="str">
        <x:v>Original specification: `current_timestamp()`
Original requirement/measure assessment: Defined in saved model; runtime/UAT pending. Gold Model Last Refreshed; historical classification: 🔁 Alias
Latest saved source reviewed 17 October 2026. Static definition verified; refresh, role/context reconciliation and UAT remain pending.
Full current logic: KPI_LATEST_CALCULATIONS.md#business-gold-model-last-refreshed
DAX [Gold Model Last Refreshed]:
MAX ( 'fact_referral'[gold_modelled_at] )
Saved source: project X/reports/WIP/SM WMPP v16 updated WIP/SM_WMPP_v16.SemanticModel/definition/tables/_Measures.tmdl:1215
Python/Spark SQL producer/reference spans: 04_gold_model.py:232</x:v>
      </x:c>
      <x:c r="G19" s="13" t="str">
        <x:v>Gold Model Last Refreshed</x:v>
      </x:c>
      <x:c r="H19" s="13" t="str">
        <x:v>Section 9 - Other Measures</x:v>
      </x:c>
      <x:c r="I19" s="30" t="n">
        <x:v>46260</x:v>
      </x:c>
    </x:row>
    <x:row r="20" ht="163" customHeight="1">
      <x:c r="A20" s="13" t="str">
        <x:v>KPI-105</x:v>
      </x:c>
      <x:c r="B20" s="13" t="str">
        <x:v>[R54]    </x:v>
      </x:c>
      <x:c r="C20" s="13" t="str">
        <x:v>Decline Reasons (Referral Level)         </x:v>
      </x:c>
      <x:c r="D20" s="13" t="str">
        <x:v>R54 capture reasons for declined placements                 </x:v>
      </x:c>
      <x:c r="E20" s="13" t="str">
        <x:v>No physical source asserted; see current assessment.</x:v>
      </x:c>
      <x:c r="F20" s="13" t="str">
        <x:v>Original specification: `COUNT(DISTINCT referral_id) GROUP BY decline_reason_code`
Original requirement/measure assessment: Source/business-definition gap remains. Blocked — no decline-reason history in active Gold; historical classification: ❌ Blocked Current closure-reason lookup logic is present in 05_gold_dimensions.py; that is not an approved referral-level decline-history KPI.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20" s="13" t="str">
        <x:v>Not implemented / retired; see Calculation</x:v>
      </x:c>
      <x:c r="H20" s="18" t="str">
        <x:v>Section 10 - Outstanding Measures</x:v>
      </x:c>
      <x:c r="I20" s="31" t="n">
        <x:v>46260</x:v>
      </x:c>
    </x:row>
    <x:row r="21" ht="371" customHeight="1">
      <x:c r="A21" s="13" t="str">
        <x:v>KPI-48</x:v>
      </x:c>
      <x:c r="B21" s="13" t="str">
        <x:v>[R93]    </x:v>
      </x:c>
      <x:c r="C21" s="13" t="str">
        <x:v>Directory Summary Count            </x:v>
      </x:c>
      <x:c r="D21" s="13" t="str">
        <x:v>Provider directory        </x:v>
      </x:c>
      <x:c r="E21" s="13" t="str">
        <x:v>gold.bridge_provider_framework; gold.dim_framework; gold.dim_provider; gold.dim_provider_home</x:v>
      </x:c>
      <x:c r="F21" s="13" t="str">
        <x:v>Original specification: Aggregated provider count
Original requirement/measure assessment: Legacy helper retired; original specification retained. Retired — depended on report-view axis tables; rebuild with field parameters over `dim_provider_home[service_type]` if needed; historical classification: 🗄 Retired
Latest saved source reviewed 17 October 2026. Static definition verified; refresh, role/context reconciliation and UAT remain pending.
Full current logic: KPI_LATEST_CALCULATIONS.md#business-directory-summary-count
DAX [Directory Summary Count]:
SWITCH ( SELECTEDVALUE ( 'Directory Summary Axis'[Display Type] ),
"Fostering Providers", [Providers - Fostering],
"Residential Homes", [Residential Homes],
"Supported Accommodation Homes", [Supported Accommodation Homes],
BLANK ()
)
Saved source: project X/reports/WIP/SM WMPP v16 updated WIP/SM_WMPP_v16.SemanticModel/definition/tables/_Measures.tmdl:246
Python/Spark SQL producer/reference spans: 05_gold_dimensions.py:194; 05_gold_dimensions.py:155; 05_gold_dimensions.py:173; 05_gold_dimensions.py:163
Calculated-table dependency: Directory Summary Axis. Complete saved partition logic is included in the calculation document.</x:v>
      </x:c>
      <x:c r="G21" s="13" t="str">
        <x:v>Directory Summary Count</x:v>
      </x:c>
      <x:c r="H21" s="13" t="str">
        <x:v>Section 6 - Provider Registry</x:v>
      </x:c>
      <x:c r="I21" s="30" t="n">
        <x:v>46260</x:v>
      </x:c>
    </x:row>
    <x:row r="22" ht="124" customHeight="1">
      <x:c r="A22" s="13" t="str">
        <x:v>KPI-103</x:v>
      </x:c>
      <x:c r="B22" s="13" t="str">
        <x:v>[R48]    </x:v>
      </x:c>
      <x:c r="C22" s="13" t="str">
        <x:v>Document Compliance Rate                 </x:v>
      </x:c>
      <x:c r="D22" s="13" t="str">
        <x:v>R48 documentation compliance                                </x:v>
      </x:c>
      <x:c r="E22" s="13" t="str">
        <x:v>No physical source asserted; see current assessment.</x:v>
      </x:c>
      <x:c r="F22" s="13" t="str">
        <x:v>Original specification: `(Total Providers - KPI-102) / Total Providers * 100`
Original requirement/measure assessment: Source/business-definition gap remains. Blocked — as KPI-102;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22" s="13" t="str">
        <x:v>Not implemented / retired; see Calculation</x:v>
      </x:c>
      <x:c r="H22" s="18" t="str">
        <x:v>Section 10 - Outstanding Measures</x:v>
      </x:c>
      <x:c r="I22" s="31" t="n">
        <x:v>46260</x:v>
      </x:c>
    </x:row>
    <x:row r="23" ht="319" customHeight="1">
      <x:c r="A23" s="13" t="str">
        <x:v>KPI-101</x:v>
      </x:c>
      <x:c r="B23" s="13" t="str">
        <x:v>[R47,R48]</x:v>
      </x:c>
      <x:c r="C23" s="13" t="str">
        <x:v>Documents Expired                        </x:v>
      </x:c>
      <x:c r="D23" s="13" t="str">
        <x:v>R47 documentation control; R48 provider eligibility         </x:v>
      </x:c>
      <x:c r="E23" s="13" t="str">
        <x:v>gold.dim_provider_submission_document</x:v>
      </x:c>
      <x:c r="F23" s="13" t="str">
        <x:v>Original specification: `COUNT(DISTINCT s3_file_metadata_id) WHERE expiry_date &lt; current_date()`
Original requirement/measure assessment: Defined in saved model; runtime/UAT pending. Documents Expired; historical classification: ✅ Covered
Latest saved source reviewed 17 October 2026. Static definition verified; refresh, role/context reconciliation and UAT remain pending.
Full current logic: KPI_LATEST_CALCULATIONS.md#business-documents-expired
DAX [Documents Expired]:
CALCULATE (
[Provider Submission Documents],
FILTER (
'dim_provider_submission_document',
NOT ISBLANK ( 'dim_provider_submission_document'[expiry_date] )
&amp;&amp; 'dim_provider_submission_document'[expiry_date] &lt; TODAY ()
)
)
Saved source: project X/reports/WIP/SM WMPP v16 updated WIP/SM_WMPP_v16.SemanticModel/definition/tables/_Measures.tmdl:1490
Python/Spark SQL producer/reference spans: 05_gold_dimensions.py:239</x:v>
      </x:c>
      <x:c r="G23" s="13" t="str">
        <x:v>Documents Expired</x:v>
      </x:c>
      <x:c r="H23" s="18" t="str">
        <x:v>Section 10 - Outstanding Measures</x:v>
      </x:c>
      <x:c r="I23" s="31" t="n">
        <x:v>46260</x:v>
      </x:c>
    </x:row>
    <x:row r="24" ht="345" customHeight="1">
      <x:c r="A24" s="13" t="str">
        <x:v>KPI-100</x:v>
      </x:c>
      <x:c r="B24" s="13" t="str">
        <x:v>[R47]    </x:v>
      </x:c>
      <x:c r="C24" s="13" t="str">
        <x:v>Documents Expiring (30 Days)             </x:v>
      </x:c>
      <x:c r="D24" s="13" t="str">
        <x:v>R47 documentation expiry monitoring                         </x:v>
      </x:c>
      <x:c r="E24" s="13" t="str">
        <x:v>gold.dim_provider_submission_document</x:v>
      </x:c>
      <x:c r="F24" s="13" t="str">
        <x:v>Original specification: `COUNT(DISTINCT s3_file_metadata_id) WHERE expiry_date BETWEEN current_date() AND date_add(current_date(),30)`
Original requirement/measure assessment: Defined in saved model; runtime/UAT pending. Documents Expiring Next 30 Days; historical classification: ✅ Covered
Latest saved source reviewed 17 October 2026. Static definition verified; refresh, role/context reconciliation and UAT remain pending.
Full current logic: KPI_LATEST_CALCULATIONS.md#business-documents-expiring-next-30-days
DAX [Documents Expiring Next 30 Days]:
CALCULATE (
[Provider Submission Documents],
FILTER (
'dim_provider_submission_document',
NOT ISBLANK ( 'dim_provider_submission_document'[expiry_date] )
&amp;&amp; 'dim_provider_submission_document'[expiry_date] &gt;= TODAY ()
&amp;&amp; 'dim_provider_submission_document'[expiry_date] &lt;= TODAY () + 30
)
)
Saved source: project X/reports/WIP/SM WMPP v16 updated WIP/SM_WMPP_v16.SemanticModel/definition/tables/_Measures.tmdl:1477
Python/Spark SQL producer/reference spans: 05_gold_dimensions.py:239</x:v>
      </x:c>
      <x:c r="G24" s="13" t="str">
        <x:v>Documents Expiring Next 30 Days</x:v>
      </x:c>
      <x:c r="H24" s="18" t="str">
        <x:v>Section 10 - Outstanding Measures</x:v>
      </x:c>
      <x:c r="I24" s="31" t="n">
        <x:v>46260</x:v>
      </x:c>
    </x:row>
    <x:row r="25" ht="176" customHeight="1">
      <x:c r="A25" s="13" t="str">
        <x:v>KPI-57</x:v>
      </x:c>
      <x:c r="B25" s="13" t="str">
        <x:v>[R24]    </x:v>
      </x:c>
      <x:c r="C25" s="13" t="str">
        <x:v>Draft No Activity 7+ Days                </x:v>
      </x:c>
      <x:c r="D25" s="13" t="str">
        <x:v>R24 (dashboard task management)                           </x:v>
      </x:c>
      <x:c r="E25" s="13" t="str">
        <x:v>No physical source asserted; see current assessment.</x:v>
      </x:c>
      <x:c r="F25" s="13" t="str">
        <x:v>Original specification: `COUNT(DISTINCT offer_id) WHERE offer_status = 'DRAFT' AND DATEDIFF(current_date(), offer_date) &gt;= 7`
Original requirement/measure assessment: No current standalone implementation verified. Draft No Activity 7+ Days; original definition counts draft age, not time since last activity; historical classification: Covered Draft Offers Stalled 7+ Days exists but uses days_since_offer_activity; the original uses offer age. These are different definitions.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25" s="13" t="str">
        <x:v>Not implemented / retired; see Calculation</x:v>
      </x:c>
      <x:c r="H25" s="13" t="str">
        <x:v>Section 7 - Draft/Pending Offers</x:v>
      </x:c>
      <x:c r="I25" s="30" t="n">
        <x:v>46260</x:v>
      </x:c>
    </x:row>
    <x:row r="26" ht="254" customHeight="1">
      <x:c r="A26" s="13" t="str">
        <x:v>KPI-53</x:v>
      </x:c>
      <x:c r="B26" s="13" t="str">
        <x:v>[R24]    </x:v>
      </x:c>
      <x:c r="C26" s="13" t="str">
        <x:v>Draft No Activity Since Creation         </x:v>
      </x:c>
      <x:c r="D26" s="13" t="str">
        <x:v>R24 (dashboard task management)                           </x:v>
      </x:c>
      <x:c r="E26" s="13" t="str">
        <x:v>gold.fact_offer</x:v>
      </x:c>
      <x:c r="F26" s="13" t="str">
        <x:v>Original specification: `COUNT(DISTINCT offer_id) WHERE offer_status = 'DRAFT' AND offer_date = last_modified_date`
Original requirement/measure assessment: Defined in saved model; runtime/UAT pending. Draft Offers With No Activity Since Creation; historical classification: ✅ Covered
Latest saved source reviewed 17 October 2026. Static definition verified; refresh, role/context reconciliation and UAT remain pending.
Full current logic: KPI_LATEST_CALCULATIONS.md#business-draft-offers-with-no-activity-since-creation
DAX [Draft Offers With No Activity Since Creation]:
CALCULATE ( [Offers Submitted], 'fact_offer'[is_draft_no_activity] = TRUE () )
Saved source: project X/reports/WIP/SM WMPP v16 updated WIP/SM_WMPP_v16.SemanticModel/definition/tables/_Measures.tmdl:1444
Python/Spark SQL producer/reference spans: 04_gold_model.py:712</x:v>
      </x:c>
      <x:c r="G26" s="13" t="str">
        <x:v>Draft Offers With No Activity Since Creation</x:v>
      </x:c>
      <x:c r="H26" s="13" t="str">
        <x:v>Section 7 - Draft/Pending Offers</x:v>
      </x:c>
      <x:c r="I26" s="30" t="n">
        <x:v>46260</x:v>
      </x:c>
    </x:row>
    <x:row r="27" ht="241" customHeight="1">
      <x:c r="A27" s="13" t="str">
        <x:v>KPI-61</x:v>
      </x:c>
      <x:c r="B27" s="13" t="str">
        <x:v>[R24]    </x:v>
      </x:c>
      <x:c r="C27" s="13" t="str">
        <x:v>Draft Offer Count                        </x:v>
      </x:c>
      <x:c r="D27" s="13" t="str">
        <x:v>R24 (dashboard task management)                           </x:v>
      </x:c>
      <x:c r="E27" s="13" t="str">
        <x:v>gold.fact_offer</x:v>
      </x:c>
      <x:c r="F27" s="13" t="str">
        <x:v>Original specification: `COUNT(DISTINCT offer_id) WHERE offer_status = 'DRAFT'`
Original requirement/measure assessment: Defined in saved model; runtime/UAT pending. Offers in Draft; historical classification: 🔁 Alias
Latest saved source reviewed 17 October 2026. Static definition verified; refresh, role/context reconciliation and UAT remain pending.
Full current logic: KPI_LATEST_CALCULATIONS.md#business-offers-in-draft
DAX [Offers in Draft]:
CALCULATE ( [Offers Submitted], LOWER ( 'fact_offer'[offer_status] ) = "draft" )
Saved source: project X/reports/WIP/SM WMPP v16 updated WIP/SM_WMPP_v16.SemanticModel/definition/tables/_Measures.tmdl:55
Python/Spark SQL producer/reference spans: 04_gold_model.py:712</x:v>
      </x:c>
      <x:c r="G27" s="13" t="str">
        <x:v>Offers in Draft</x:v>
      </x:c>
      <x:c r="H27" s="13" t="str">
        <x:v>Section 7 - Draft/Pending Offers</x:v>
      </x:c>
      <x:c r="I27" s="30" t="n">
        <x:v>46260</x:v>
      </x:c>
    </x:row>
    <x:row r="28" ht="254" customHeight="1">
      <x:c r="A28" s="13" t="str">
        <x:v>KPI-55</x:v>
      </x:c>
      <x:c r="B28" s="13" t="str">
        <x:v>[R24]    </x:v>
      </x:c>
      <x:c r="C28" s="13" t="str">
        <x:v>Draft Offers Missing Dates               </x:v>
      </x:c>
      <x:c r="D28" s="13" t="str">
        <x:v>R24 (dashboard task management)                           </x:v>
      </x:c>
      <x:c r="E28" s="13" t="str">
        <x:v>gold.fact_offer</x:v>
      </x:c>
      <x:c r="F28" s="13" t="str">
        <x:v>Original specification: `COUNT(DISTINCT offer_id) WHERE offer_status = 'DRAFT' AND (offer_date IS NULL OR last_modified_date IS NULL)`
Original requirement/measure assessment: Defined in saved model; runtime/UAT pending. Draft Offers Missing Dates; historical classification: ✅ Covered
Latest saved source reviewed 17 October 2026. Static definition verified; refresh, role/context reconciliation and UAT remain pending.
Full current logic: KPI_LATEST_CALCULATIONS.md#business-draft-offers-missing-dates
DAX [Draft Offers Missing Dates]:
CALCULATE ( [Offers Submitted], 'fact_offer'[is_draft_missing_dates] = TRUE () )
Saved source: project X/reports/WIP/SM WMPP v16 updated WIP/SM_WMPP_v16.SemanticModel/definition/tables/_Measures.tmdl:144
Python/Spark SQL producer/reference spans: 04_gold_model.py:712</x:v>
      </x:c>
      <x:c r="G28" s="13" t="str">
        <x:v>Draft Offers Missing Dates</x:v>
      </x:c>
      <x:c r="H28" s="13" t="str">
        <x:v>Section 7 - Draft/Pending Offers</x:v>
      </x:c>
      <x:c r="I28" s="30" t="n">
        <x:v>46260</x:v>
      </x:c>
    </x:row>
    <x:row r="29" ht="306" customHeight="1">
      <x:c r="A29" s="13" t="str">
        <x:v>KPI-56</x:v>
      </x:c>
      <x:c r="B29" s="13" t="str">
        <x:v>[R24]    </x:v>
      </x:c>
      <x:c r="C29" s="13" t="str">
        <x:v>Draft Offers Updated After Creation      </x:v>
      </x:c>
      <x:c r="D29" s="13" t="str">
        <x:v>R24 (dashboard task management)                           </x:v>
      </x:c>
      <x:c r="E29" s="13" t="str">
        <x:v>gold.fact_offer</x:v>
      </x:c>
      <x:c r="F29" s="13" t="str">
        <x:v>Original specification: `COUNT(DISTINCT offer_id) WHERE offer_status = 'DRAFT' AND last_modified_date &gt; offer_date`
Original requirement/measure assessment: Defined in saved model; runtime/UAT pending. Draft Offers With Activity Since Creation; historical classification: 🔁 Alias
Latest saved source reviewed 17 October 2026. Static definition verified; refresh, role/context reconciliation and UAT remain pending.
Full current logic: KPI_LATEST_CALCULATIONS.md#business-draft-offers-with-activity-since-creation
DAX [Draft Offers With Activity Since Creation]:
CALCULATE (
[Offers in Draft],
KEEPFILTERS ( 'fact_offer'[is_draft_no_activity] = FALSE () ),
KEEPFILTERS ( 'fact_offer'[is_draft_missing_dates] = FALSE () )
)
Saved source: project X/reports/WIP/SM WMPP v16 updated WIP/SM_WMPP_v16.SemanticModel/definition/tables/_Measures.tmdl:134
Python/Spark SQL producer/reference spans: 04_gold_model.py:712</x:v>
      </x:c>
      <x:c r="G29" s="13" t="str">
        <x:v>Draft Offers With Activity Since Creation</x:v>
      </x:c>
      <x:c r="H29" s="13" t="str">
        <x:v>Section 7 - Draft/Pending Offers</x:v>
      </x:c>
      <x:c r="I29" s="30" t="n">
        <x:v>46260</x:v>
      </x:c>
    </x:row>
    <x:row r="30" ht="306" customHeight="1">
      <x:c r="A30" s="13" t="str">
        <x:v>KPI-54</x:v>
      </x:c>
      <x:c r="B30" s="13" t="str">
        <x:v>[R24]    </x:v>
      </x:c>
      <x:c r="C30" s="13" t="str">
        <x:v>Draft Offers With Activity Since Creation</x:v>
      </x:c>
      <x:c r="D30" s="13" t="str">
        <x:v>R24 (dashboard task management)                           </x:v>
      </x:c>
      <x:c r="E30" s="13" t="str">
        <x:v>gold.fact_offer</x:v>
      </x:c>
      <x:c r="F30" s="13" t="str">
        <x:v>Original specification: `COUNT(DISTINCT offer_id) WHERE offer_status = 'DRAFT' AND offer_date != last_modified_date`
Original requirement/measure assessment: Defined in saved model; runtime/UAT pending. Draft Offers With Activity Since Creation; historical classification: ✅ Covered
Latest saved source reviewed 17 October 2026. Static definition verified; refresh, role/context reconciliation and UAT remain pending.
Full current logic: KPI_LATEST_CALCULATIONS.md#business-draft-offers-with-activity-since-creation
DAX [Draft Offers With Activity Since Creation]:
CALCULATE (
[Offers in Draft],
KEEPFILTERS ( 'fact_offer'[is_draft_no_activity] = FALSE () ),
KEEPFILTERS ( 'fact_offer'[is_draft_missing_dates] = FALSE () )
)
Saved source: project X/reports/WIP/SM WMPP v16 updated WIP/SM_WMPP_v16.SemanticModel/definition/tables/_Measures.tmdl:134
Python/Spark SQL producer/reference spans: 04_gold_model.py:712</x:v>
      </x:c>
      <x:c r="G30" s="13" t="str">
        <x:v>Draft Offers With Activity Since Creation</x:v>
      </x:c>
      <x:c r="H30" s="13" t="str">
        <x:v>Section 7 - Draft/Pending Offers</x:v>
      </x:c>
      <x:c r="I30" s="30" t="n">
        <x:v>46260</x:v>
      </x:c>
    </x:row>
    <x:row r="31" ht="228" customHeight="1">
      <x:c r="A31" s="13" t="str">
        <x:v>KPI-62</x:v>
      </x:c>
      <x:c r="B31" s="13" t="str">
        <x:v>[R24]    </x:v>
      </x:c>
      <x:c r="C31" s="13" t="str">
        <x:v>Draft With No Activity Since Creation (%)</x:v>
      </x:c>
      <x:c r="D31" s="13" t="str">
        <x:v>R24 (dashboard task management)                           </x:v>
      </x:c>
      <x:c r="E31" s="13" t="str">
        <x:v>gold.fact_offer</x:v>
      </x:c>
      <x:c r="F31" s="13" t="str">
        <x:v>Original specification: `KPI-53 / KPI-61 * 100`
Original requirement/measure assessment: Defined in saved model; runtime/UAT pending. Draft Offers With No Activity %; historical classification: ✅ Covered
Latest saved source reviewed 17 October 2026. Static definition verified; refresh, role/context reconciliation and UAT remain pending.
Full current logic: KPI_LATEST_CALCULATIONS.md#business-draft-offers-with-no-activity-percent
DAX [Draft Offers With No Activity %]:
DIVIDE ( [Draft Offers With No Activity Since Creation], [Offers in Draft] )
Saved source: project X/reports/WIP/SM WMPP v16 updated WIP/SM_WMPP_v16.SemanticModel/definition/tables/_Measures.tmdl:1460
Python/Spark SQL producer/reference spans: 04_gold_model.py:712</x:v>
      </x:c>
      <x:c r="G31" s="13" t="str">
        <x:v>Draft Offers With No Activity %</x:v>
      </x:c>
      <x:c r="H31" s="13" t="str">
        <x:v>Section 7 - Draft/Pending Offers</x:v>
      </x:c>
      <x:c r="I31" s="30" t="n">
        <x:v>46260</x:v>
      </x:c>
    </x:row>
    <x:row r="32" ht="267" customHeight="1">
      <x:c r="A32" s="13" t="str">
        <x:v>KPI-58</x:v>
      </x:c>
      <x:c r="B32" s="13" t="str">
        <x:v>[R24]    </x:v>
      </x:c>
      <x:c r="C32" s="13" t="str">
        <x:v>Drafts No Activity 14+ Days              </x:v>
      </x:c>
      <x:c r="D32" s="13" t="str">
        <x:v>R24 (dashboard task management)                           </x:v>
      </x:c>
      <x:c r="E32" s="13" t="str">
        <x:v>gold.fact_offer</x:v>
      </x:c>
      <x:c r="F32" s="13" t="str">
        <x:v>Original specification: `COUNT(DISTINCT offer_id) WHERE offer_status = 'DRAFT' AND DATEDIFF(current_date(), offer_date) &gt;= 14`
Original requirement/measure assessment: Defined in saved model; runtime/UAT pending. Drafts No Activity 14+ Days; original draft-age definition; historical classification: Covered
Latest saved source reviewed 17 October 2026. Static definition verified; refresh, role/context reconciliation and UAT remain pending.
Full current logic: KPI_LATEST_CALCULATIONS.md#business-drafts-no-activity-14-days
DAX [Drafts No Activity 14+ Days]:
CALCULATE ( [Offers in Draft], KEEPFILTERS ( 'fact_offer'[offer_age_days] &gt;= 14 ) )
Saved source: project X/reports/WIP/SM WMPP v16 updated WIP/SM_WMPP_v16.SemanticModel/definition/tables/_Measures.tmdl:1632
Python/Spark SQL producer/reference spans: 04_gold_model.py:712</x:v>
      </x:c>
      <x:c r="G32" s="13" t="str">
        <x:v>Drafts No Activity 14+ Days</x:v>
      </x:c>
      <x:c r="H32" s="13" t="str">
        <x:v>Section 7 - Draft/Pending Offers</x:v>
      </x:c>
      <x:c r="I32" s="30" t="n">
        <x:v>46260</x:v>
      </x:c>
    </x:row>
    <x:row r="33" ht="267" customHeight="1">
      <x:c r="A33" s="13" t="str">
        <x:v>KPI-63</x:v>
      </x:c>
      <x:c r="B33" s="13" t="str">
        <x:v>[R24]    </x:v>
      </x:c>
      <x:c r="C33" s="13" t="str">
        <x:v>Drafts With No Activity 14+ Days         </x:v>
      </x:c>
      <x:c r="D33" s="13" t="str">
        <x:v>R24 (dashboard task management)                           </x:v>
      </x:c>
      <x:c r="E33" s="13" t="str">
        <x:v>gold.fact_offer</x:v>
      </x:c>
      <x:c r="F33" s="13" t="str">
        <x:v>Original specification: Same as KPI-58 (duplicate measure in PBI)
Original requirement/measure assessment: Defined in saved model; runtime/UAT pending. Drafts With No Activity 14+ Days; count, not percentage; historical classification: Alias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KPI_LATEST_CALCULATIONS.md#business-drafts-no-activity-14-days
DAX [Drafts No Activity 14+ Days]:
CALCULATE ( [Offers in Draft], KEEPFILTERS ( 'fact_offer'[offer_age_days] &gt;= 14 ) )
Saved source: project X/reports/WIP/SM WMPP v16 updated WIP/SM_WMPP_v16.SemanticModel/definition/tables/_Measures.tmdl:1632
Python/Spark SQL producer/reference spans: 04_gold_model.py:712</x:v>
      </x:c>
      <x:c r="G33" s="13" t="str">
        <x:v>Drafts No Activity 14+ Days</x:v>
      </x:c>
      <x:c r="H33" s="13" t="str">
        <x:v>Section 7 - Draft/Pending Offers</x:v>
      </x:c>
      <x:c r="I33" s="30" t="n">
        <x:v>46260</x:v>
      </x:c>
    </x:row>
    <x:row r="34" ht="215" customHeight="1">
      <x:c r="A34" s="13" t="str">
        <x:v>KPI-92 </x:v>
      </x:c>
      <x:c r="B34" s="13" t="str">
        <x:v>[R18,R57]</x:v>
      </x:c>
      <x:c r="C34" s="13" t="str">
        <x:v>Emergency Placement Rate                 </x:v>
      </x:c>
      <x:c r="D34" s="13" t="str">
        <x:v>R18 emergency placements; R57 emergency reporting           </x:v>
      </x:c>
      <x:c r="E34" s="13" t="str">
        <x:v>gold.fact_referral</x:v>
      </x:c>
      <x:c r="F34" s="13" t="str">
        <x:v>Existing catalogue entry. Emergency-referral numerator divided by all selected referrals; not actual placement completion.
Latest saved source reviewed 17 October 2026. Static definition verified; refresh, role/context reconciliation and UAT remain pending.
Full current logic: KPI_LATEST_CALCULATIONS.md#business-emergency-placement-rate
DAX [Emergency Placement Rate]:
DIVIDE ( [Emergency Referrals], [Total Referrals] )
Saved source: project X/reports/WIP/SM WMPP v16 updated WIP/SM_WMPP_v16.SemanticModel/definition/tables/_Measures.tmdl:1046
Python/Spark SQL producer/reference spans: 04_gold_model.py:232</x:v>
      </x:c>
      <x:c r="G34" s="13" t="str">
        <x:v>Emergency Placement Rate</x:v>
      </x:c>
      <x:c r="H34" s="18" t="str">
        <x:v>Section 10 - Outstanding Measures</x:v>
      </x:c>
      <x:c r="I34" s="31" t="n">
        <x:v>46260</x:v>
      </x:c>
    </x:row>
    <x:row r="35" ht="228" customHeight="1">
      <x:c r="A35" s="13" t="str">
        <x:v>KPI-91 </x:v>
      </x:c>
      <x:c r="B35" s="13" t="str">
        <x:v>[R18,R57]</x:v>
      </x:c>
      <x:c r="C35" s="13" t="str">
        <x:v>Emergency Referrals                      </x:v>
      </x:c>
      <x:c r="D35" s="13" t="str">
        <x:v>R18 emergency placements; R57 emergency vs planned reporting</x:v>
      </x:c>
      <x:c r="E35" s="13" t="str">
        <x:v>gold.fact_referral</x:v>
      </x:c>
      <x:c r="F35" s="13" t="str">
        <x:v>Existing catalogue entry. Same-day-date flag and active statuses; not an approved statutory emergency classification.
Latest saved source reviewed 17 October 2026. Static definition verified; refresh, role/context reconciliation and UAT remain pending.
Full current logic: KPI_LATEST_CALCULATIONS.md#business-emergency-referrals
DAX [Emergency Referrals]:
CALCULATE ( [Total Referrals], KEEPFILTERS ( 'fact_referral'[current_status] IN { "OPEN", "UNDER_OFFER" } ), KEEPFILTERS ( 'fact_referral'[is_emergency_placement] = TRUE () ) )
Saved source: project X/reports/WIP/SM WMPP v16 updated WIP/SM_WMPP_v16.SemanticModel/definition/tables/_Measures.tmdl:1034
Python/Spark SQL producer/reference spans: 04_gold_model.py:232</x:v>
      </x:c>
      <x:c r="G35" s="13" t="str">
        <x:v>Emergency Referrals</x:v>
      </x:c>
      <x:c r="H35" s="18" t="str">
        <x:v>Section 10 - Outstanding Measures</x:v>
      </x:c>
      <x:c r="I35" s="31" t="n">
        <x:v>46260</x:v>
      </x:c>
    </x:row>
    <x:row r="36" ht="98" customHeight="1">
      <x:c r="A36" s="13" t="str">
        <x:v>KPI-94 </x:v>
      </x:c>
      <x:c r="B36" s="13" t="str">
        <x:v>[R18,R57]</x:v>
      </x:c>
      <x:c r="C36" s="13" t="str">
        <x:v>Emergency vs Planned Split               </x:v>
      </x:c>
      <x:c r="D36" s="13" t="str">
        <x:v>R18 emergency placements; R57 reporting split               </x:v>
      </x:c>
      <x:c r="E36" s="13" t="str">
        <x:v>No physical source asserted; see current assessment.</x:v>
      </x:c>
      <x:c r="F36" s="13" t="str">
        <x:v>Existing catalogue entry.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36" s="13" t="str">
        <x:v>Emergency Referrals; Planned Referrals</x:v>
      </x:c>
      <x:c r="H36" s="18" t="str">
        <x:v>Section 10 - Outstanding Measures</x:v>
      </x:c>
      <x:c r="I36" s="31" t="n">
        <x:v>46260</x:v>
      </x:c>
    </x:row>
    <x:row r="37" ht="228" customHeight="1">
      <x:c r="A37" s="13" t="str">
        <x:v>KPI-05</x:v>
      </x:c>
      <x:c r="B37" s="13" t="str">
        <x:v>[R51]</x:v>
      </x:c>
      <x:c r="C37" s="13" t="str">
        <x:v>Female Referrals</x:v>
      </x:c>
      <x:c r="D37" s="13" t="str">
        <x:v>R51 demographic monitoring</x:v>
      </x:c>
      <x:c r="E37" s="13" t="str">
        <x:v>gold.dim_person; gold.fact_referral</x:v>
      </x:c>
      <x:c r="F37" s="13" t="str">
        <x:v>Original specification: Gender='F'
Original requirement/measure assessment: Defined in saved model; runtime/UAT pending. Female Referrals; historical classification: ✅ Covered
Latest saved source reviewed 17 October 2026. Static definition verified; refresh, role/context reconciliation and UAT remain pending.
Full current logic: KPI_LATEST_CALCULATIONS.md#business-female-referrals
DAX [Female Referrals]:
CALCULATE ( [Total Referrals], 'dim_person'[gender_clean] = "Female" )
Saved source: project X/reports/WIP/SM WMPP v16 updated WIP/SM_WMPP_v16.SemanticModel/definition/tables/_Measures.tmdl:74
Python/Spark SQL producer/reference spans: 05_gold_dimensions.py:194; 04_gold_model.py:232</x:v>
      </x:c>
      <x:c r="G37" s="13" t="str">
        <x:v>Female Referrals</x:v>
      </x:c>
      <x:c r="H37" s="13" t="str">
        <x:v>Section 1 - Referral Volume KPIs</x:v>
      </x:c>
      <x:c r="I37" s="30" t="n">
        <x:v>46260</x:v>
      </x:c>
    </x:row>
    <x:row r="38" ht="137" customHeight="1">
      <x:c r="A38" s="13" t="str">
        <x:v>KPI-52</x:v>
      </x:c>
      <x:c r="B38" s="13" t="str">
        <x:v>[R95]    </x:v>
      </x:c>
      <x:c r="C38" s="13" t="str">
        <x:v>Fostering Chart Count              </x:v>
      </x:c>
      <x:c r="D38" s="13" t="str">
        <x:v>Fostering reporting       </x:v>
      </x:c>
      <x:c r="E38" s="13" t="str">
        <x:v>No physical source asserted; see current assessment.</x:v>
      </x:c>
      <x:c r="F38" s="13" t="str">
        <x:v>Original specification: Chart aggregation
Original requirement/measure assessment: Legacy helper retired; original specification retained. Retired — depended on `rpt_provider_fostering` report-view table (see KPI-48); historical classification: 🗄 Retired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38" s="13" t="str">
        <x:v>Not implemented / retired; see Calculation</x:v>
      </x:c>
      <x:c r="H38" s="13" t="str">
        <x:v>Section 6 - Provider Registry</x:v>
      </x:c>
      <x:c r="I38" s="30" t="n">
        <x:v>46260</x:v>
      </x:c>
    </x:row>
    <x:row r="39" ht="332" customHeight="1">
      <x:c r="A39" s="13" t="str">
        <x:v>KPI-51</x:v>
      </x:c>
      <x:c r="B39" s="13" t="str">
        <x:v>[R95]    </x:v>
      </x:c>
      <x:c r="C39" s="13" t="str">
        <x:v>Fostering Providers                </x:v>
      </x:c>
      <x:c r="D39" s="13" t="str">
        <x:v>Fostering framework       </x:v>
      </x:c>
      <x:c r="E39" s="13" t="str">
        <x:v>gold.bridge_provider_framework; gold.dim_framework; gold.dim_provider; gold.dim_provider_home</x:v>
      </x:c>
      <x:c r="F39" s="13" t="str">
        <x:v>Original specification: Fostering providers
Original requirement/measure assessment: Defined in saved model; runtime/UAT pending. Providers - Fostering; historical classification: 🔁 Alias
Latest saved source reviewed 17 October 2026. Static definition verified; refresh, role/context reconciliation and UAT remain pending.
Full current logic: KPI_LATEST_CALCULATIONS.md#business-providers-fostering
DAX [Providers - Fostering]:
VAR framework_providers = CALCULATETABLE ( VALUES ( 'bridge_provider_framework'[provider_id] ), FILTER ( 'dim_framework', LOWER ( 'dim_framework'[placement_type] ) IN { "fostering", "plcm-fost" } ) )
VAR home_providers = CALCULATETABLE ( VALUES ( 'dim_provider_home'[provider_id] ), FILTER ( 'dim_provider_home', LOWER ( 'dim_provider_home'[service_type] ) IN { "fostering", "plcm-fost" } ) )
RETURN CALCULATE ( [Providers Registered], KEEPFILTERS ( TREATAS ( DISTINCT ( UNION ( framework_providers, home_providers ) ), 'dim_provider'[provider_id] ) ) )
Saved source: project X/reports/WIP/SM WMPP v16 updated WIP/SM_WMPP_v16.SemanticModel/definition/tables/_Measures.tmdl:199
Python/Spark SQL producer/reference spans: 05_gold_dimensions.py:173; 05_gold_dimensions.py:194; 05_gold_dimensions.py:163; 05_gold_dimensions.py:155</x:v>
      </x:c>
      <x:c r="G39" s="13" t="str">
        <x:v>Providers - Fostering</x:v>
      </x:c>
      <x:c r="H39" s="13" t="str">
        <x:v>Section 6 - Provider Registry</x:v>
      </x:c>
      <x:c r="I39" s="30" t="n">
        <x:v>46260</x:v>
      </x:c>
    </x:row>
    <x:row r="40" ht="150" customHeight="1">
      <x:c r="A40" s="13" t="str">
        <x:v>KPI-106</x:v>
      </x:c>
      <x:c r="B40" s="13" t="str">
        <x:v>[R58]    </x:v>
      </x:c>
      <x:c r="C40" s="13" t="str">
        <x:v>Framework Changes During Active Referrals</x:v>
      </x:c>
      <x:c r="D40" s="13" t="str">
        <x:v>R58 commissioners alerted to framework changes              </x:v>
      </x:c>
      <x:c r="E40" s="13" t="str">
        <x:v>No physical source asserted; see current assessment.</x:v>
      </x:c>
      <x:c r="F40" s="13" t="str">
        <x:v>Original specification: Active referrals where referral category changed during lifecycle
Original requirement/measure assessment: Source/business-definition gap remains. Blocked — no framework-change history in active Gold;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40" s="13" t="str">
        <x:v>Not implemented / retired; see Calculation</x:v>
      </x:c>
      <x:c r="H40" s="18" t="str">
        <x:v>Section 10 - Outstanding Measures</x:v>
      </x:c>
      <x:c r="I40" s="31" t="n">
        <x:v>46260</x:v>
      </x:c>
    </x:row>
    <x:row r="41" ht="319" customHeight="1">
      <x:c r="A41" s="13" t="str">
        <x:v>KPI-38</x:v>
      </x:c>
      <x:c r="B41" s="13" t="str">
        <x:v>[R67,R68]</x:v>
      </x:c>
      <x:c r="C41" s="13" t="str">
        <x:v>Framework Offers (Under Offer Referrals)</x:v>
      </x:c>
      <x:c r="D41" s="13" t="str">
        <x:v>Framework management</x:v>
      </x:c>
      <x:c r="E41" s="13" t="str">
        <x:v>gold.dim_provider_home; gold.fact_offer; gold.fact_referral</x:v>
      </x:c>
      <x:c r="F41" s="13" t="str">
        <x:v>Original specification: Non-spot offers
Original requirement/measure assessment: Defined in saved model; runtime/UAT pending. Framework Offers (Under Offer Referrals); historical classification: ✅ Covered
Latest saved source reviewed 17 October 2026. Static definition verified; refresh, role/context reconciliation and UAT remain pending.
Full current logic: KPI_LATEST_CALCULATIONS.md#business-framework-offers-under-offer-referrals
DAX [Framework Offers (Under Offer Referrals)]:
// Preserve the original non-Spot fallback for blank/unmatched home flags.
// These offers are not evidence of affirmative framework membership.
VAR qualifyingOffers = [Offers on Referrals Under Offer]
VAR spotOffers = COALESCE ( [Spot Offers on Referrals Under Offer], 0 )
RETURN
IF ( ISBLANK ( qualifyingOffers ), BLANK (), qualifyingOffers - spotOffers )
Saved source: project X/reports/WIP/SM WMPP v16 updated WIP/SM_WMPP_v16.SemanticModel/definition/tables/_Measures.tmdl:375
Python/Spark SQL producer/reference spans: 05_gold_dimensions.py:163; 04_gold_model.py:232; 04_gold_model.py:712</x:v>
      </x:c>
      <x:c r="G41" s="13" t="str">
        <x:v>Framework Offers (Under Offer Referrals)</x:v>
      </x:c>
      <x:c r="H41" s="13" t="str">
        <x:v>Section 5 - Referral Offers</x:v>
      </x:c>
      <x:c r="I41" s="30" t="n">
        <x:v>46260</x:v>
      </x:c>
    </x:row>
    <x:row r="42" ht="215" customHeight="1">
      <x:c r="A42" s="13" t="str">
        <x:v>KPI-45</x:v>
      </x:c>
      <x:c r="B42" s="13" t="str">
        <x:v>[R67]    </x:v>
      </x:c>
      <x:c r="C42" s="13" t="str">
        <x:v>Framework Providers                </x:v>
      </x:c>
      <x:c r="D42" s="13" t="str">
        <x:v>Framework maintenance     </x:v>
      </x:c>
      <x:c r="E42" s="13" t="str">
        <x:v>gold.bridge_provider_framework</x:v>
      </x:c>
      <x:c r="F42" s="13" t="str">
        <x:v>Original specification: Providers by framework
Original requirement/measure assessment: Defined in saved model; runtime/UAT pending. Framework Providers; historical classification: ✅ Covered
Latest saved source reviewed 17 October 2026. Static definition verified; refresh, role/context reconciliation and UAT remain pending.
Full current logic: KPI_LATEST_CALCULATIONS.md#business-framework-providers
DAX [Framework Providers]:
DISTINCTCOUNT(bridge_provider_framework[provider_id])
Saved source: project X/reports/WIP/SM WMPP v16 updated WIP/SM_WMPP_v16.SemanticModel/definition/tables/_Measures.tmdl:225
Python/Spark SQL producer/reference spans: 05_gold_dimensions.py:194</x:v>
      </x:c>
      <x:c r="G42" s="13" t="str">
        <x:v>Framework Providers</x:v>
      </x:c>
      <x:c r="H42" s="13" t="str">
        <x:v>Section 6 - Provider Registry</x:v>
      </x:c>
      <x:c r="I42" s="30" t="n">
        <x:v>46260</x:v>
      </x:c>
    </x:row>
    <x:row r="43" ht="254" customHeight="1">
      <x:c r="A43" s="13" t="str">
        <x:v>KPI-77</x:v>
      </x:c>
      <x:c r="B43" s="13" t="str">
        <x:v>[R35]    </x:v>
      </x:c>
      <x:c r="C43" s="13" t="str">
        <x:v>IPA Completed                       </x:v>
      </x:c>
      <x:c r="D43" s="13" t="str">
        <x:v>R35 (digitised IPA)                         </x:v>
      </x:c>
      <x:c r="E43" s="13" t="str">
        <x:v>gold.fact_ipa</x:v>
      </x:c>
      <x:c r="F43" s="13" t="str">
        <x:v>Original specification: `COUNT(DISTINCT ipa_id) WHERE signed_by_local_authority = true AND signed_by_provider = true`
Original requirement/measure assessment: Defined in saved model; runtime/UAT pending. IPA Completed; both signatures present; historical classification: Covered
Latest saved source reviewed 17 October 2026. Static definition verified; refresh, role/context reconciliation and UAT remain pending.
Full current logic: KPI_LATEST_CALCULATIONS.md#business-ipa-completed
DAX [IPA Completed]:
CALCULATE ( [IPAs Created], KEEPFILTERS ( 'fact_ipa'[is_ipa_completed] = TRUE () ) )
Saved source: project X/reports/WIP/SM WMPP v16 updated WIP/SM_WMPP_v16.SemanticModel/definition/tables/_Measures.tmdl:405
Python/Spark SQL producer/reference spans: 04_gold_model.py:817</x:v>
      </x:c>
      <x:c r="G43" s="13" t="str">
        <x:v>IPA Completed</x:v>
      </x:c>
      <x:c r="H43" s="13" t="str">
        <x:v>Section 8 - IPA Measures</x:v>
      </x:c>
      <x:c r="I43" s="30" t="n">
        <x:v>46260</x:v>
      </x:c>
    </x:row>
    <x:row r="44" ht="228" customHeight="1">
      <x:c r="A44" s="13" t="str">
        <x:v>KPI-76</x:v>
      </x:c>
      <x:c r="B44" s="13" t="str">
        <x:v>[R35]    </x:v>
      </x:c>
      <x:c r="C44" s="13" t="str">
        <x:v>IPA Created                         </x:v>
      </x:c>
      <x:c r="D44" s="13" t="str">
        <x:v>R35 (digitised IPA)                         </x:v>
      </x:c>
      <x:c r="E44" s="13" t="str">
        <x:v>gold.fact_ipa</x:v>
      </x:c>
      <x:c r="F44" s="13" t="str">
        <x:v>Original specification: `COUNT(DISTINCT ipa_id)`
Original requirement/measure assessment: Defined in saved model; runtime/UAT pending. IPA Created / IPAs Created; individual IPA count; historical classification: Covered
Latest saved source reviewed 17 October 2026. Static definition verified; refresh, role/context reconciliation and UAT remain pending.
Full current logic: KPI_LATEST_CALCULATIONS.md#business-ipas-created
DAX [IPAs Created]:
DISTINCTCOUNT ( 'fact_ipa'[ipa_id] )
Saved source: project X/reports/WIP/SM WMPP v16 updated WIP/SM_WMPP_v16.SemanticModel/definition/tables/_Measures.tmdl:873
Python/Spark SQL producer/reference spans: 04_gold_model.py:817</x:v>
      </x:c>
      <x:c r="G44" s="13" t="str">
        <x:v>IPAs Created</x:v>
      </x:c>
      <x:c r="H44" s="13" t="str">
        <x:v>Section 8 - IPA Measures</x:v>
      </x:c>
      <x:c r="I44" s="30" t="n">
        <x:v>46260</x:v>
      </x:c>
    </x:row>
    <x:row r="45" ht="254" customHeight="1">
      <x:c r="A45" s="13" t="str">
        <x:v>KPI-85</x:v>
      </x:c>
      <x:c r="B45" s="13" t="str">
        <x:v>[R35]    </x:v>
      </x:c>
      <x:c r="C45" s="13" t="str">
        <x:v>IPA Created to Completion %         </x:v>
      </x:c>
      <x:c r="D45" s="13" t="str">
        <x:v>R35 (digitised IPA)                         </x:v>
      </x:c>
      <x:c r="E45" s="13" t="str">
        <x:v>gold.fact_ipa</x:v>
      </x:c>
      <x:c r="F45" s="13" t="str">
        <x:v>Original specification: `COUNT(DISTINCT completed_ipa) / COUNT(DISTINCT all_ipa) * 100`
Original requirement/measure assessment: Defined in saved model; runtime/UAT pending. IPA Created to Completion %; completed IPAs / all IPAs; historical classification: Covered
Latest saved source reviewed 17 October 2026. Static definition verified; refresh, role/context reconciliation and UAT remain pending.
Full current logic: KPI_LATEST_CALCULATIONS.md#business-ipa-created-to-completion-percent
DAX [IPA Created to Completion %]:
DIVIDE ( [IPA Completed], [IPAs Created] )
Saved source: project X/reports/WIP/SM WMPP v16 updated WIP/SM_WMPP_v16.SemanticModel/definition/tables/_Measures.tmdl:453
Python/Spark SQL producer/reference spans: 04_gold_model.py:817</x:v>
      </x:c>
      <x:c r="G45" s="13" t="str">
        <x:v>IPA Created to Completion %</x:v>
      </x:c>
      <x:c r="H45" s="13" t="str">
        <x:v>Section 8 - IPA Measures</x:v>
      </x:c>
      <x:c r="I45" s="30" t="n">
        <x:v>46260</x:v>
      </x:c>
    </x:row>
    <x:row r="46" ht="319" customHeight="1">
      <x:c r="A46" s="13" t="str">
        <x:v>KPI-73</x:v>
      </x:c>
      <x:c r="B46" s="13" t="str">
        <x:v>[R35]    </x:v>
      </x:c>
      <x:c r="C46" s="13" t="str">
        <x:v>IPA Exists                          </x:v>
      </x:c>
      <x:c r="D46" s="13" t="str">
        <x:v>R35 (digitised IPA)                         </x:v>
      </x:c>
      <x:c r="E46" s="13" t="str">
        <x:v>gold.fact_ipa; gold.fact_offer</x:v>
      </x:c>
      <x:c r="F46" s="13" t="str">
        <x:v>Original specification: `COUNT(DISTINCT ipa_id) &gt; 0` (boolean)
Original requirement/measure assessment: Defined in saved model; runtime/UAT pending. IPA Exists (row helper); historical classification: ✅ Covered
Latest saved source reviewed 17 October 2026. Static definition verified; refresh, role/context reconciliation and UAT remain pending.
Full current logic: KPI_LATEST_CALCULATIONS.md#business-ipa-exists
DAX [IPA Exists]:
IF (
ISINSCOPE ( 'fact_offer'[offer_id] ) || ( HASONEVALUE ( 'fact_offer'[offer_id] ) &amp;&amp; NOT ISINSCOPE ( 'fact_ipa'[ipa_id] ) ),
VAR offer_ids = VALUES ( 'fact_offer'[offer_id] )
RETURN IF ( CALCULATE ( [IPAs Created], KEEPFILTERS ( TREATAS ( offer_ids, 'fact_ipa'[accepted_offer_id] ) ) ) &gt; 0, "Yes", "No" ),
IF ( [IPAs Created] &gt; 0, "Yes", "No" )
)
Saved source: project X/reports/WIP/SM WMPP v16 updated WIP/SM_WMPP_v16.SemanticModel/definition/tables/_Measures.tmdl:386
Python/Spark SQL producer/reference spans: 04_gold_model.py:817; 04_gold_model.py:712</x:v>
      </x:c>
      <x:c r="G46" s="13" t="str">
        <x:v>IPA Exists</x:v>
      </x:c>
      <x:c r="H46" s="13" t="str">
        <x:v>Section 8 - IPA Measures</x:v>
      </x:c>
      <x:c r="I46" s="30" t="n">
        <x:v>46260</x:v>
      </x:c>
    </x:row>
    <x:row r="47" ht="150" customHeight="1">
      <x:c r="A47" s="13" t="str">
        <x:v>KPI-109</x:v>
      </x:c>
      <x:c r="B47" s="13" t="str">
        <x:v>[R62]    </x:v>
      </x:c>
      <x:c r="C47" s="13" t="str">
        <x:v>IPA Payment Status                       </x:v>
      </x:c>
      <x:c r="D47" s="13" t="str">
        <x:v>R62 finance payment reporting                               </x:v>
      </x:c>
      <x:c r="E47" s="13" t="str">
        <x:v>No physical source asserted; see current assessment.</x:v>
      </x:c>
      <x:c r="F47" s="16" t="str">
        <x:v>Original specification: `COUNT(DISTINCT ipa_id) GROUP BY payment lifecycle status`
Original requirement/measure assessment: Source/business-definition gap remains. Blocked — no payment lifecycle facts in Gold;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47" s="13" t="str">
        <x:v>Not implemented / retired; see Calculation</x:v>
      </x:c>
      <x:c r="H47" s="18" t="str">
        <x:v>Section 10 - Outstanding Measures</x:v>
      </x:c>
      <x:c r="I47" s="31" t="n">
        <x:v>46260</x:v>
      </x:c>
    </x:row>
    <x:row r="48" ht="254" customHeight="1">
      <x:c r="A48" s="13" t="str">
        <x:v>KPI-114</x:v>
      </x:c>
      <x:c r="B48" s="13" t="str">
        <x:v>[R20,R35]</x:v>
      </x:c>
      <x:c r="C48" s="13" t="str">
        <x:v>IPA Signature Completion Rate            </x:v>
      </x:c>
      <x:c r="D48" s="13" t="str">
        <x:v>R20 signatures tracked; R35 electronic signatures           </x:v>
      </x:c>
      <x:c r="E48" s="13" t="str">
        <x:v>gold.fact_ipa</x:v>
      </x:c>
      <x:c r="F48" s="13" t="str">
        <x:v>Original specification: Counts and rates for LA signed, provider signed, both signed, total IPA
Original requirement/measure assessment: Defined in saved model; runtime/UAT pending. IPAs Signed by Provider; IPAs Signed by Local Authority; IPA Completed; IPA Signature Completion Rate; historical classification: Covered
Latest saved source reviewed 17 October 2026. Static definition verified; refresh, role/context reconciliation and UAT remain pending.
Full current logic: KPI_LATEST_CALCULATIONS.md#business-ipa-signature-completion-rate
DAX [IPA Signature Completion Rate]:
DIVIDE ( [IPA Completed], [IPAs Created] )
Saved source: project X/reports/WIP/SM WMPP v16 updated WIP/SM_WMPP_v16.SemanticModel/definition/tables/_Measures.tmdl:1208
Python/Spark SQL producer/reference spans: 04_gold_model.py:817</x:v>
      </x:c>
      <x:c r="G48" s="13" t="str">
        <x:v>IPA Signature Completion Rate</x:v>
      </x:c>
      <x:c r="H48" s="18" t="str">
        <x:v>Section 10 - Outstanding Measures</x:v>
      </x:c>
      <x:c r="I48" s="31" t="n">
        <x:v>46260</x:v>
      </x:c>
    </x:row>
    <x:row r="49" ht="267" customHeight="1">
      <x:c r="A49" s="13" t="str">
        <x:v>KPI-78</x:v>
      </x:c>
      <x:c r="B49" s="13" t="str">
        <x:v>[R35]    </x:v>
      </x:c>
      <x:c r="C49" s="13" t="str">
        <x:v>IPAs Pending Completion             </x:v>
      </x:c>
      <x:c r="D49" s="13" t="str">
        <x:v>R35 (digitised IPA)                         </x:v>
      </x:c>
      <x:c r="E49" s="13" t="str">
        <x:v>gold.fact_ipa</x:v>
      </x:c>
      <x:c r="F49" s="13" t="str">
        <x:v>Original specification: `COUNT(DISTINCT ipa_id) WHERE (signed_by_local_authority = false OR signed_by_provider = false) AND closed = false`
Original requirement/measure assessment: Defined in saved model; runtime/UAT pending. IPAs Pending Completion; unsigned and not closed; historical classification: Covered
Latest saved source reviewed 17 October 2026. Static definition verified; refresh, role/context reconciliation and UAT remain pending.
Full current logic: KPI_LATEST_CALCULATIONS.md#business-ipas-pending-completion
DAX [IPAs Pending Completion]:
CALCULATE ( [IPAs Created], KEEPFILTERS ( 'fact_ipa'[is_ipa_pending] = TRUE () ) )
Saved source: project X/reports/WIP/SM WMPP v16 updated WIP/SM_WMPP_v16.SemanticModel/definition/tables/_Measures.tmdl:410
Python/Spark SQL producer/reference spans: 04_gold_model.py:817</x:v>
      </x:c>
      <x:c r="G49" s="13" t="str">
        <x:v>IPAs Pending Completion</x:v>
      </x:c>
      <x:c r="H49" s="13" t="str">
        <x:v>Section 8 - IPA Measures</x:v>
      </x:c>
      <x:c r="I49" s="30" t="n">
        <x:v>46260</x:v>
      </x:c>
    </x:row>
    <x:row r="50" ht="254" customHeight="1">
      <x:c r="A50" s="13" t="str">
        <x:v>KPI-81</x:v>
      </x:c>
      <x:c r="B50" s="13" t="str">
        <x:v>[R35]    </x:v>
      </x:c>
      <x:c r="C50" s="13" t="str">
        <x:v>Is Awaiting IPA Creation            </x:v>
      </x:c>
      <x:c r="D50" s="13" t="str">
        <x:v>R35 (digitised IPA)                         </x:v>
      </x:c>
      <x:c r="E50" s="13" t="str">
        <x:v>gold.fact_offer</x:v>
      </x:c>
      <x:c r="F50" s="13" t="str">
        <x:v>Original specification: Boolean flag, accepted offer with no IPA
Original requirement/measure assessment: Defined in saved model; runtime/UAT pending. Is Awaiting IPA Creation (row helper); historical classification: ✅ Covered
Latest saved source reviewed 17 October 2026. Static definition verified; refresh, role/context reconciliation and UAT remain pending.
Full current logic: KPI_LATEST_CALCULATIONS.md#business-is-awaiting-ipa-creation
DAX [Is Awaiting IPA Creation]:
IF ( COALESCE ( SELECTEDVALUE ( 'fact_offer'[is_awaiting_ipa_creation] ), FALSE () ), 1, 0 )
Saved source: project X/reports/WIP/SM WMPP v16 updated WIP/SM_WMPP_v16.SemanticModel/definition/tables/_Measures.tmdl:431
Python/Spark SQL producer/reference spans: 04_gold_model.py:712</x:v>
      </x:c>
      <x:c r="G50" s="13" t="str">
        <x:v>Is Awaiting IPA Creation</x:v>
      </x:c>
      <x:c r="H50" s="13" t="str">
        <x:v>Section 8 - IPA Measures</x:v>
      </x:c>
      <x:c r="I50" s="30" t="n">
        <x:v>46260</x:v>
      </x:c>
    </x:row>
    <x:row r="51" ht="293" customHeight="1">
      <x:c r="A51" s="13" t="str">
        <x:v>KPI-74</x:v>
      </x:c>
      <x:c r="B51" s="13" t="str">
        <x:v>[R28]    </x:v>
      </x:c>
      <x:c r="C51" s="13" t="str">
        <x:v>Is In Accepted KPI                  </x:v>
      </x:c>
      <x:c r="D51" s="13" t="str">
        <x:v>R28 (accept placements)                     </x:v>
      </x:c>
      <x:c r="E51" s="13" t="str">
        <x:v>gold.fact_offer</x:v>
      </x:c>
      <x:c r="F51" s="13" t="str">
        <x:v>Original specification: `offer_status = 'ACCEPTED'` flag, base for IPA funnel
Original requirement/measure assessment: Defined in saved model; runtime/UAT pending. Is In Accepted KPI; accepted-status row helper; historical classification: Covered
Latest saved source reviewed 17 October 2026. Static definition verified; refresh, role/context reconciliation and UAT remain pending.
Full current logic: KPI_LATEST_CALCULATIONS.md#business-is-in-accepted-kpi
DAX [Is In Accepted KPI]:
IF (
LOWER ( COALESCE ( SELECTEDVALUE ( 'fact_offer'[offer_status] ), "" ) ) IN { "accepted", "approved", "selected", "offer_successful" },
"Yes",
"No"
)
Saved source: project X/reports/WIP/SM WMPP v16 updated WIP/SM_WMPP_v16.SemanticModel/definition/tables/_Measures.tmdl:396
Python/Spark SQL producer/reference spans: 04_gold_model.py:712</x:v>
      </x:c>
      <x:c r="G51" s="13" t="str">
        <x:v>Is In Accepted KPI</x:v>
      </x:c>
      <x:c r="H51" s="13" t="str">
        <x:v>Section 8 - IPA Measures</x:v>
      </x:c>
      <x:c r="I51" s="30" t="n">
        <x:v>46260</x:v>
      </x:c>
    </x:row>
    <x:row r="52" ht="345" customHeight="1">
      <x:c r="A52" s="13" t="str">
        <x:v>KPI-82</x:v>
      </x:c>
      <x:c r="B52" s="13" t="str">
        <x:v>[R35]    </x:v>
      </x:c>
      <x:c r="C52" s="13" t="str">
        <x:v>Is IPA Completed                    </x:v>
      </x:c>
      <x:c r="D52" s="13" t="str">
        <x:v>R35 (digitised IPA)                         </x:v>
      </x:c>
      <x:c r="E52" s="13" t="str">
        <x:v>gold.fact_ipa; gold.fact_offer</x:v>
      </x:c>
      <x:c r="F52" s="13" t="str">
        <x:v>Original specification: Boolean flag, both signatures present
Original requirement/measure assessment: Defined in saved model; runtime/UAT pending. Is IPA Completed; IPA rows, with explicit offer-context transfer; historical classification: Covered
Latest saved source reviewed 17 October 2026. Static definition verified; refresh, role/context reconciliation and UAT remain pending.
Full current logic: KPI_LATEST_CALCULATIONS.md#business-is-ipa-completed
DAX [Is IPA Completed]:
IF (
ISINSCOPE ( 'fact_offer'[offer_id] ) || ( HASONEVALUE ( 'fact_offer'[offer_id] ) &amp;&amp; NOT ISINSCOPE ( 'fact_ipa'[ipa_id] ) ),
VAR offer_ids = VALUES ( 'fact_offer'[offer_id] )
RETURN IF ( CALCULATE ( [IPAs Created], KEEPFILTERS ( TREATAS ( offer_ids, 'fact_ipa'[accepted_offer_id] ) ), 'fact_ipa'[is_ipa_completed] = TRUE () ) &gt; 0, 1, 0 ),
IF ( SELECTEDVALUE ( 'fact_ipa'[is_ipa_completed], FALSE () ), 1, 0 )
)
Saved source: project X/reports/WIP/SM WMPP v16 updated WIP/SM_WMPP_v16.SemanticModel/definition/tables/_Measures.tmdl:436
Python/Spark SQL producer/reference spans: 04_gold_model.py:817; 04_gold_model.py:712</x:v>
      </x:c>
      <x:c r="G52" s="13" t="str">
        <x:v>Is IPA Completed</x:v>
      </x:c>
      <x:c r="H52" s="13" t="str">
        <x:v>Section 8 - IPA Measures</x:v>
      </x:c>
      <x:c r="I52" s="30" t="n">
        <x:v>46260</x:v>
      </x:c>
    </x:row>
    <x:row r="53" ht="345" customHeight="1">
      <x:c r="A53" s="13" t="str">
        <x:v>KPI-80</x:v>
      </x:c>
      <x:c r="B53" s="13" t="str">
        <x:v>[R35]    </x:v>
      </x:c>
      <x:c r="C53" s="13" t="str">
        <x:v>Is IPA Pending                      </x:v>
      </x:c>
      <x:c r="D53" s="13" t="str">
        <x:v>R35 (digitised IPA)                         </x:v>
      </x:c>
      <x:c r="E53" s="13" t="str">
        <x:v>gold.fact_ipa; gold.fact_offer</x:v>
      </x:c>
      <x:c r="F53" s="13" t="str">
        <x:v>Original specification: Boolean flag, IPA exists but not signed
Original requirement/measure assessment: Defined in saved model; runtime/UAT pending. Is IPA Pending; IPA rows, with explicit offer-context transfer; historical classification: Covered
Latest saved source reviewed 17 October 2026. Static definition verified; refresh, role/context reconciliation and UAT remain pending.
Full current logic: KPI_LATEST_CALCULATIONS.md#business-is-ipa-pending
DAX [Is IPA Pending]:
IF (
ISINSCOPE ( 'fact_offer'[offer_id] ) || ( HASONEVALUE ( 'fact_offer'[offer_id] ) &amp;&amp; NOT ISINSCOPE ( 'fact_ipa'[ipa_id] ) ),
VAR offer_ids = VALUES ( 'fact_offer'[offer_id] )
RETURN IF ( CALCULATE ( [IPAs Created], KEEPFILTERS ( TREATAS ( offer_ids, 'fact_ipa'[accepted_offer_id] ) ), 'fact_ipa'[is_ipa_pending] = TRUE () ) &gt; 0, 1, 0 ),
IF ( SELECTEDVALUE ( 'fact_ipa'[is_ipa_pending], FALSE () ), 1, 0 )
)
Saved source: project X/reports/WIP/SM WMPP v16 updated WIP/SM_WMPP_v16.SemanticModel/definition/tables/_Measures.tmdl:420
Python/Spark SQL producer/reference spans: 04_gold_model.py:817; 04_gold_model.py:712</x:v>
      </x:c>
      <x:c r="G53" s="13" t="str">
        <x:v>Is IPA Pending</x:v>
      </x:c>
      <x:c r="H53" s="13" t="str">
        <x:v>Section 8 - IPA Measures</x:v>
      </x:c>
      <x:c r="I53" s="30" t="n">
        <x:v>46260</x:v>
      </x:c>
    </x:row>
    <x:row r="54" ht="241" customHeight="1">
      <x:c r="A54" s="13" t="str">
        <x:v>KPI-47</x:v>
      </x:c>
      <x:c r="B54" s="13" t="str">
        <x:v>[R46]    </x:v>
      </x:c>
      <x:c r="C54" s="13" t="str">
        <x:v>Is Non Framework Provider          </x:v>
      </x:c>
      <x:c r="D54" s="13" t="str">
        <x:v>QA non-framework providers</x:v>
      </x:c>
      <x:c r="E54" s="13" t="str">
        <x:v>gold.bridge_provider_framework</x:v>
      </x:c>
      <x:c r="F54" s="13" t="str">
        <x:v>Original specification: Boolean flag
Original requirement/measure assessment: Defined in saved model; runtime/UAT pending. Is Non Framework Provider (row helper); historical classification: ✅ Covered
Latest saved source reviewed 17 October 2026. Static definition verified; refresh, role/context reconciliation and UAT remain pending.
Full current logic: KPI_LATEST_CALCULATIONS.md#business-is-non-framework-provider
DAX [Is Non Framework Provider]:
IF ( CALCULATE ( COUNTROWS ( 'bridge_provider_framework' ) ) = 0, 1, 0 )
Saved source: project X/reports/WIP/SM WMPP v16 updated WIP/SM_WMPP_v16.SemanticModel/definition/tables/_Measures.tmdl:241
Python/Spark SQL producer/reference spans: 05_gold_dimensions.py:194</x:v>
      </x:c>
      <x:c r="G54" s="13" t="str">
        <x:v>Is Non Framework Provider</x:v>
      </x:c>
      <x:c r="H54" s="13" t="str">
        <x:v>Section 6 - Provider Registry</x:v>
      </x:c>
      <x:c r="I54" s="30" t="n">
        <x:v>46260</x:v>
      </x:c>
    </x:row>
    <x:row r="55" ht="228" customHeight="1">
      <x:c r="A55" s="13" t="str">
        <x:v>KPI-88</x:v>
      </x:c>
      <x:c r="B55" s="13" t="str">
        <x:v>[R53]    </x:v>
      </x:c>
      <x:c r="C55" s="13" t="str">
        <x:v>Latest Export per Offer  </x:v>
      </x:c>
      <x:c r="D55" s="13" t="str">
        <x:v>R53 (export/reporting capability)               </x:v>
      </x:c>
      <x:c r="E55" s="13" t="str">
        <x:v>gold.fact_offer</x:v>
      </x:c>
      <x:c r="F55" s="13" t="str">
        <x:v>Original specification: `MAX(offer_date) GROUP BY offer_id`
Original requirement/measure assessment: Defined in saved model; runtime/UAT pending. Latest Offer Source Export; historical classification: 🔁 Alias
Latest saved source reviewed 17 October 2026. Static definition verified; refresh, role/context reconciliation and UAT remain pending.
Full current logic: KPI_LATEST_CALCULATIONS.md#business-latest-offer-source-export
DAX [Latest Offer Source Export]:
MAX ( 'fact_offer'[source_export_date] )
Saved source: project X/reports/WIP/SM WMPP v16 updated WIP/SM_WMPP_v16.SemanticModel/definition/tables/_Measures.tmdl:1590
Python/Spark SQL producer/reference spans: 04_gold_model.py:712</x:v>
      </x:c>
      <x:c r="G55" s="13" t="str">
        <x:v>Latest Offer Source Export</x:v>
      </x:c>
      <x:c r="H55" s="13" t="str">
        <x:v>Section 9 - Other Measures</x:v>
      </x:c>
      <x:c r="I55" s="30" t="n">
        <x:v>46260</x:v>
      </x:c>
    </x:row>
    <x:row r="56" ht="150" customHeight="1">
      <x:c r="A56" s="13" t="str">
        <x:v>KPI-89</x:v>
      </x:c>
      <x:c r="B56" s="13" t="str">
        <x:v>[R24]    </x:v>
      </x:c>
      <x:c r="C56" s="13" t="str">
        <x:v>Latest Offer Status Count</x:v>
      </x:c>
      <x:c r="D56" s="13" t="str">
        <x:v>R24 (dashboard monitoring)                      </x:v>
      </x:c>
      <x:c r="E56" s="13" t="str">
        <x:v>No physical source asserted; see current assessment.</x:v>
      </x:c>
      <x:c r="F56" s="13" t="str">
        <x:v>Original specification: `COUNT(DISTINCT offer_id) GROUP BY offer_status ORDER BY count DESC`
Original requirement/measure assessment: Legacy helper retired; original specification retained. Retired — Gold `fact_offer` is already deduplicated to the latest state per offer; historical classification: 🗄 Retired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56" s="13" t="str">
        <x:v>Not implemented / retired; see Calculation</x:v>
      </x:c>
      <x:c r="H56" s="13" t="str">
        <x:v>Section 9 - Other Measures</x:v>
      </x:c>
      <x:c r="I56" s="30" t="n">
        <x:v>46260</x:v>
      </x:c>
    </x:row>
    <x:row r="57" ht="228" customHeight="1">
      <x:c r="A57" s="13" t="str">
        <x:v>KPI-04</x:v>
      </x:c>
      <x:c r="B57" s="13" t="str">
        <x:v>[R51]</x:v>
      </x:c>
      <x:c r="C57" s="13" t="str">
        <x:v>Male Referrals</x:v>
      </x:c>
      <x:c r="D57" s="13" t="str">
        <x:v>R51 demographic monitoring</x:v>
      </x:c>
      <x:c r="E57" s="13" t="str">
        <x:v>gold.dim_person; gold.fact_referral</x:v>
      </x:c>
      <x:c r="F57" s="13" t="str">
        <x:v>Original specification: Gender='M'
Original requirement/measure assessment: Defined in saved model; runtime/UAT pending. Male Referrals; historical classification: ✅ Covered
Latest saved source reviewed 17 October 2026. Static definition verified; refresh, role/context reconciliation and UAT remain pending.
Full current logic: KPI_LATEST_CALCULATIONS.md#business-male-referrals
DAX [Male Referrals]:
CALCULATE ( [Total Referrals], 'dim_person'[gender_clean] = "Male" )
Saved source: project X/reports/WIP/SM WMPP v16 updated WIP/SM_WMPP_v16.SemanticModel/definition/tables/_Measures.tmdl:69
Python/Spark SQL producer/reference spans: 05_gold_dimensions.py:194; 04_gold_model.py:232</x:v>
      </x:c>
      <x:c r="G57" s="13" t="str">
        <x:v>Male Referrals</x:v>
      </x:c>
      <x:c r="H57" s="13" t="str">
        <x:v>Section 1 - Referral Volume KPIs</x:v>
      </x:c>
      <x:c r="I57" s="30" t="n">
        <x:v>46260</x:v>
      </x:c>
    </x:row>
    <x:row r="58" ht="293" customHeight="1">
      <x:c r="A58" s="13" t="str">
        <x:v>KPI-110</x:v>
      </x:c>
      <x:c r="B58" s="13" t="str">
        <x:v>[R14]    </x:v>
      </x:c>
      <x:c r="C58" s="13" t="str">
        <x:v>Messages Sent                            </x:v>
      </x:c>
      <x:c r="D58" s="13" t="str">
        <x:v>R14 provider messaging                                      </x:v>
      </x:c>
      <x:c r="E58" s="13" t="str">
        <x:v>gold.fact_referral_lifecycle_event</x:v>
      </x:c>
      <x:c r="F58" s="13" t="str">
        <x:v>Original specification: `COUNT(DISTINCT message_id)`
Original requirement/measure assessment: Defined in saved model; runtime/UAT pending. Provider Messages Sent — lifecycle-event proxy for volume only; no response-time or unread analysis; historical classification: ⚠️ Proxy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KPI_LATEST_CALCULATIONS.md#business-provider-messages-sent
DAX [Provider Messages Sent]:
CALCULATE (
[Referral Lifecycle Events],
'fact_referral_lifecycle_event'[event_type] = "ProviderMessageSent"
)
Saved source: project X/reports/WIP/SM WMPP v16 updated WIP/SM_WMPP_v16.SemanticModel/definition/tables/_Measures.tmdl:1527
Python/Spark SQL producer/reference spans: 04_gold_model.py:698</x:v>
      </x:c>
      <x:c r="G58" s="13" t="str">
        <x:v>Provider Messages Sent</x:v>
      </x:c>
      <x:c r="H58" s="18" t="str">
        <x:v>Section 10 - Outstanding Measures</x:v>
      </x:c>
      <x:c r="I58" s="31" t="n">
        <x:v>46260</x:v>
      </x:c>
    </x:row>
    <x:row r="59" ht="332" customHeight="1">
      <x:c r="A59" s="13" t="str">
        <x:v>KPI-11</x:v>
      </x:c>
      <x:c r="B59" s="13" t="str">
        <x:v>[R25,R26]</x:v>
      </x:c>
      <x:c r="C59" s="13" t="str">
        <x:v>No. Providers Who Made Offers</x:v>
      </x:c>
      <x:c r="D59" s="13" t="str">
        <x:v>R25 review requests; R26 prioritise requests</x:v>
      </x:c>
      <x:c r="E59" s="13" t="str">
        <x:v>gold.fact_offer</x:v>
      </x:c>
      <x:c r="F59" s="13" t="str">
        <x:v>Original specification: Distinct providers with offers
Original requirement/measure assessment: Defined in saved model; runtime/UAT pending. Providers Who Made Offers; historical classification: ✅ Covered
Latest saved source reviewed 17 October 2026. Static definition verified; refresh, role/context reconciliation and UAT remain pending.
Full current logic: KPI_LATEST_CALCULATIONS.md#business-providers-who-made-offers
DAX [Providers Who Made Offers]:
CALCULATE (
DISTINCTCOUNT ( 'fact_offer'[provider_id] ),
FILTER (
'fact_offer',
NOT (
LOWER ( COALESCE ( 'fact_offer'[offer_status], "" ) )
IN { "draft", "withdrawn", "offer_withdrawn" }
)
))
Saved source: project X/reports/WIP/SM WMPP v16 updated WIP/SM_WMPP_v16.SemanticModel/definition/tables/_Measures.tmdl:1078
Python/Spark SQL producer/reference spans: 04_gold_model.py:712</x:v>
      </x:c>
      <x:c r="G59" s="13" t="str">
        <x:v>Providers Who Made Offers</x:v>
      </x:c>
      <x:c r="H59" s="13" t="str">
        <x:v>Section 2 - Provider Activity</x:v>
      </x:c>
      <x:c r="I59" s="30" t="n">
        <x:v>46260</x:v>
      </x:c>
    </x:row>
    <x:row r="60" ht="306" customHeight="1">
      <x:c r="A60" s="13" t="str">
        <x:v>KPI-46</x:v>
      </x:c>
      <x:c r="B60" s="13" t="str">
        <x:v>[R46]    </x:v>
      </x:c>
      <x:c r="C60" s="13" t="str">
        <x:v>NON Framework Providers            </x:v>
      </x:c>
      <x:c r="D60" s="13" t="str">
        <x:v>QA non-framework providers</x:v>
      </x:c>
      <x:c r="E60" s="13" t="str">
        <x:v>gold.bridge_provider_framework; gold.dim_provider</x:v>
      </x:c>
      <x:c r="F60" s="13" t="str">
        <x:v>Original specification: QA flag false
Original requirement/measure assessment: Defined in saved model; runtime/UAT pending. Non-Framework Providers; historical classification: ✅ Covered
Latest saved source reviewed 17 October 2026. Static definition verified; refresh, role/context reconciliation and UAT remain pending.
Full current logic: KPI_LATEST_CALCULATIONS.md#business-non-framework-providers
DAX [Non-Framework Providers]:
COUNTROWS (
EXCEPT (
VALUES ( 'dim_provider'[provider_id] ),
VALUES ( 'bridge_provider_framework'[provider_id] )
)
)
Saved source: project X/reports/WIP/SM WMPP v16 updated WIP/SM_WMPP_v16.SemanticModel/definition/tables/_Measures.tmdl:230
Python/Spark SQL producer/reference spans: 05_gold_dimensions.py:194; 05_gold_dimensions.py:155</x:v>
      </x:c>
      <x:c r="G60" s="13" t="str">
        <x:v>Non-Framework Providers</x:v>
      </x:c>
      <x:c r="H60" s="13" t="str">
        <x:v>Section 6 - Provider Registry</x:v>
      </x:c>
      <x:c r="I60" s="30" t="n">
        <x:v>46260</x:v>
      </x:c>
    </x:row>
    <x:row r="61" ht="215" customHeight="1">
      <x:c r="A61" s="13" t="str">
        <x:v>KPI-28</x:v>
      </x:c>
      <x:c r="B61" s="13" t="str">
        <x:v>[R25-R29]</x:v>
      </x:c>
      <x:c r="C61" s="13" t="str">
        <x:v>Offer Count</x:v>
      </x:c>
      <x:c r="D61" s="13" t="str">
        <x:v>Provider offer management</x:v>
      </x:c>
      <x:c r="E61" s="13" t="str">
        <x:v>gold.fact_offer</x:v>
      </x:c>
      <x:c r="F61" s="13" t="str">
        <x:v>Original specification: Distinct offers
Original requirement/measure assessment: Defined in saved model; runtime/UAT pending. Offers Submitted; historical classification: 🔁 Alias
Latest saved source reviewed 17 October 2026. Static definition verified; refresh, role/context reconciliation and UAT remain pending.
Full current logic: KPI_LATEST_CALCULATIONS.md#business-offers-submitted
DAX [Offers Submitted]:
DISTINCTCOUNT ( 'fact_offer'[offer_id] )
Saved source: project X/reports/WIP/SM WMPP v16 updated WIP/SM_WMPP_v16.SemanticModel/definition/tables/_Measures.tmdl:963
Python/Spark SQL producer/reference spans: 04_gold_model.py:712</x:v>
      </x:c>
      <x:c r="G61" s="13" t="str">
        <x:v>Offers Submitted</x:v>
      </x:c>
      <x:c r="H61" s="13" t="str">
        <x:v>Section 5 - Referral Offers</x:v>
      </x:c>
      <x:c r="I61" s="30" t="n">
        <x:v>46260</x:v>
      </x:c>
    </x:row>
    <x:row r="62" ht="137" customHeight="1">
      <x:c r="A62" s="13" t="str">
        <x:v>KPI-36</x:v>
      </x:c>
      <x:c r="B62" s="13" t="str">
        <x:v>[R25-R29]</x:v>
      </x:c>
      <x:c r="C62" s="13" t="str">
        <x:v>Offer IDs (Under Offer Referrals)</x:v>
      </x:c>
      <x:c r="D62" s="13" t="str">
        <x:v>Provider offer management</x:v>
      </x:c>
      <x:c r="E62" s="13" t="str">
        <x:v>No physical source asserted; see current assessment.</x:v>
      </x:c>
      <x:c r="F62" s="13" t="str">
        <x:v>Original specification: Distinct offer IDs
Original requirement/measure assessment: Legacy helper retired; original specification retained. Retired — internal CALCULATETABLE helper; Gold relationship graph + TREATAS make it unnecessary; historical classification: 🗄 Retired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62" s="13" t="str">
        <x:v>Not implemented / retired; see Calculation</x:v>
      </x:c>
      <x:c r="H62" s="13" t="str">
        <x:v>Section 5 - Referral Offers</x:v>
      </x:c>
      <x:c r="I62" s="30" t="n">
        <x:v>46260</x:v>
      </x:c>
    </x:row>
    <x:row r="63" ht="293" customHeight="1">
      <x:c r="A63" s="13" t="str">
        <x:v>KPI-70</x:v>
      </x:c>
      <x:c r="B63" s="13" t="str">
        <x:v>[R24]    </x:v>
      </x:c>
      <x:c r="C63" s="13" t="str">
        <x:v>Offers At Risk (8–14 Days)               </x:v>
      </x:c>
      <x:c r="D63" s="13" t="str">
        <x:v>R24 (dashboard task management)                           </x:v>
      </x:c>
      <x:c r="E63" s="13" t="str">
        <x:v>gold.fact_offer</x:v>
      </x:c>
      <x:c r="F63" s="13" t="str">
        <x:v>Original specification: Same as KPI-68 (duplicate)
Original requirement/measure assessment: Defined in saved model; runtime/UAT pending. Pending Offers 8-14 Days; historical classification: 🔁 Alias
Latest saved source reviewed 17 October 2026. Static definition verified; refresh, role/context reconciliation and UAT remain pending.
Full current logic: KPI_LATEST_CALCULATIONS.md#business-pending-offers-8-14-days
DAX [Pending Offers 8-14 Days]:
CALCULATE (
[Pending Offers],
KEEPFILTERS ( FILTER ( 'fact_offer', NOT ISBLANK ( 'fact_offer'[offer_age_days] ) &amp;&amp; 'fact_offer'[offer_age_days] &gt;= 8 &amp;&amp; 'fact_offer'[offer_age_days] &lt;= 14 ) )
)
Saved source: project X/reports/WIP/SM WMPP v16 updated WIP/SM_WMPP_v16.SemanticModel/definition/tables/_Measures.tmdl:298
Python/Spark SQL producer/reference spans: 04_gold_model.py:712</x:v>
      </x:c>
      <x:c r="G63" s="13" t="str">
        <x:v>Pending Offers 8-14 Days</x:v>
      </x:c>
      <x:c r="H63" s="13" t="str">
        <x:v>Section 7 - Draft/Pending Offers</x:v>
      </x:c>
      <x:c r="I63" s="30" t="n">
        <x:v>46260</x:v>
      </x:c>
    </x:row>
    <x:row r="64" ht="254" customHeight="1">
      <x:c r="A64" s="13" t="str">
        <x:v>KPI-79</x:v>
      </x:c>
      <x:c r="B64" s="13" t="str">
        <x:v>[R35]    </x:v>
      </x:c>
      <x:c r="C64" s="13" t="str">
        <x:v>Offers Awaiting IPA Creation        </x:v>
      </x:c>
      <x:c r="D64" s="13" t="str">
        <x:v>R35 (digitised IPA)                         </x:v>
      </x:c>
      <x:c r="E64" s="13" t="str">
        <x:v>gold.fact_offer</x:v>
      </x:c>
      <x:c r="F64" s="13" t="str">
        <x:v>Original specification: `COUNT(DISTINCT f.offer_id) LEFT JOIN fact_ipa i ON f.offer_id = i.offer_id WHERE f.offer_status = 'ACCEPTED' AND i.ipa_id IS NULL`
Original requirement/measure assessment: Defined in saved model; runtime/UAT pending. Offers Awaiting IPA Creation; historical classification: ✅ Covered
Latest saved source reviewed 17 October 2026. Static definition verified; refresh, role/context reconciliation and UAT remain pending.
Full current logic: KPI_LATEST_CALCULATIONS.md#business-offers-awaiting-ipa-creation
DAX [Offers Awaiting IPA Creation]:
CALCULATE ( [Offers Submitted], 'fact_offer'[is_awaiting_ipa_creation] = TRUE ())
Saved source: project X/reports/WIP/SM WMPP v16 updated WIP/SM_WMPP_v16.SemanticModel/definition/tables/_Measures.tmdl:415
Python/Spark SQL producer/reference spans: 04_gold_model.py:712</x:v>
      </x:c>
      <x:c r="G64" s="13" t="str">
        <x:v>Offers Awaiting IPA Creation</x:v>
      </x:c>
      <x:c r="H64" s="13" t="str">
        <x:v>Section 8 - IPA Measures</x:v>
      </x:c>
      <x:c r="I64" s="30" t="n">
        <x:v>46260</x:v>
      </x:c>
    </x:row>
    <x:row r="65" ht="358" customHeight="1">
      <x:c r="A65" s="13" t="str">
        <x:v>KPI-17</x:v>
      </x:c>
      <x:c r="B65" s="13" t="str">
        <x:v>[R24]</x:v>
      </x:c>
      <x:c r="C65" s="13" t="str">
        <x:v>Offers in Draft (Under Offer Referrals)</x:v>
      </x:c>
      <x:c r="D65" s="13" t="str">
        <x:v>R24 dashboard tasks</x:v>
      </x:c>
      <x:c r="E65" s="13" t="str">
        <x:v>gold.fact_offer; gold.fact_referral</x:v>
      </x:c>
      <x:c r="F65" s="13" t="str">
        <x:v>Original specification: Draft offers
Original requirement/measure assessment: Defined in saved model; runtime/UAT pending. Draft Offers on Referrals Under Offer; historical classification: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KPI_LATEST_CALCULATIONS.md#business-draft-offers-on-referrals-under-offer
DAX [Draft Offers on Referrals Under Offer]:
CALCULATE (
[Offers in Draft],
FILTER (
'fact_referral',
'fact_referral'[is_open] = TRUE () &amp;&amp; 'fact_referral'[current_status] = "UNDER_OFFER"
)
)
Saved source: project X/reports/WIP/SM WMPP v16 updated WIP/SM_WMPP_v16.SemanticModel/definition/tables/_Measures.tmdl:1328
Python/Spark SQL producer/reference spans: 04_gold_model.py:232; 04_gold_model.py:712</x:v>
      </x:c>
      <x:c r="G65" s="13" t="str">
        <x:v>Draft Offers on Referrals Under Offer</x:v>
      </x:c>
      <x:c r="H65" s="13" t="str">
        <x:v>Section 2 - Provider Activity</x:v>
      </x:c>
      <x:c r="I65" s="30" t="n">
        <x:v>46260</x:v>
      </x:c>
    </x:row>
    <x:row r="66" ht="293" customHeight="1">
      <x:c r="A66" s="13" t="str">
        <x:v>KPI-71</x:v>
      </x:c>
      <x:c r="B66" s="13" t="str">
        <x:v>[R24]    </x:v>
      </x:c>
      <x:c r="C66" s="13" t="str">
        <x:v>Offers Outside Timeframe (15–30 Days)    </x:v>
      </x:c>
      <x:c r="D66" s="13" t="str">
        <x:v>R24 (dashboard task management)                           </x:v>
      </x:c>
      <x:c r="E66" s="13" t="str">
        <x:v>gold.fact_offer</x:v>
      </x:c>
      <x:c r="F66" s="13" t="str">
        <x:v>Original specification: Same as KPI-65 (duplicate)
Original requirement/measure assessment: Defined in saved model; runtime/UAT pending. Offers Outside Timeframe (15–30 Days); inclusive original range; historical classification: Alias Original specification explicitly duplicates KPI-65; Pending Offers 15–30 Days supplies that saved inclusive-band calculation.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KPI_LATEST_CALCULATIONS.md#business-pending-offers-15-30-days
DAX [Pending Offers 15–30 Days]:
CALCULATE ( [Pending Offers], KEEPFILTERS ( FILTER ( 'fact_offer', 'fact_offer'[offer_age_days] &gt;= 15 &amp;&amp; 'fact_offer'[offer_age_days] &lt;= 30 ) ) )
Saved source: project X/reports/WIP/SM WMPP v16 updated WIP/SM_WMPP_v16.SemanticModel/definition/tables/_Measures.tmdl:1627
Python/Spark SQL producer/reference spans: 04_gold_model.py:712</x:v>
      </x:c>
      <x:c r="G66" s="13" t="str">
        <x:v>Pending Offers 15–30 Days</x:v>
      </x:c>
      <x:c r="H66" s="13" t="str">
        <x:v>Section 7 - Draft/Pending Offers</x:v>
      </x:c>
      <x:c r="I66" s="30" t="n">
        <x:v>46260</x:v>
      </x:c>
    </x:row>
    <x:row r="67" ht="267" customHeight="1">
      <x:c r="A67" s="13" t="str">
        <x:v>KPI-37</x:v>
      </x:c>
      <x:c r="B67" s="13" t="str">
        <x:v>[R26]</x:v>
      </x:c>
      <x:c r="C67" s="13" t="str">
        <x:v>Offers per Provider (Under Offer Referrals)</x:v>
      </x:c>
      <x:c r="D67" s="13" t="str">
        <x:v>Prioritise requests</x:v>
      </x:c>
      <x:c r="E67" s="13" t="str">
        <x:v>gold.fact_offer; gold.fact_referral</x:v>
      </x:c>
      <x:c r="F67" s="13" t="str">
        <x:v>Original specification: Offers grouped by provider
Original requirement/measure assessment: Defined in saved model; runtime/UAT pending. Offers per Provider (Under Offer Referrals); historical classification: ✅ Covered
Latest saved source reviewed 17 October 2026. Static definition verified; refresh, role/context reconciliation and UAT remain pending.
Full current logic: KPI_LATEST_CALCULATIONS.md#business-offers-per-provider-under-offer-referrals
DAX [Offers per Provider (Under Offer Referrals)]:
DIVIDE ( [Offers on Referrals Under Offer], [No. Providers Who Made Offers], 0 )
Saved source: project X/reports/WIP/SM WMPP v16 updated WIP/SM_WMPP_v16.SemanticModel/definition/tables/_Measures.tmdl:365
Python/Spark SQL producer/reference spans: 04_gold_model.py:232; 04_gold_model.py:712</x:v>
      </x:c>
      <x:c r="G67" s="13" t="str">
        <x:v>Offers per Provider (Under Offer Referrals)</x:v>
      </x:c>
      <x:c r="H67" s="13" t="str">
        <x:v>Section 5 - Referral Offers</x:v>
      </x:c>
      <x:c r="I67" s="30" t="n">
        <x:v>46260</x:v>
      </x:c>
    </x:row>
    <x:row r="68" ht="293" customHeight="1">
      <x:c r="A68" s="13" t="str">
        <x:v>KPI-84</x:v>
      </x:c>
      <x:c r="B68" s="13" t="str">
        <x:v>[R35]    </x:v>
      </x:c>
      <x:c r="C68" s="13" t="str">
        <x:v>Offers Still to Progress to IPA     </x:v>
      </x:c>
      <x:c r="D68" s="13" t="str">
        <x:v>R35 (digitised IPA)                         </x:v>
      </x:c>
      <x:c r="E68" s="13" t="str">
        <x:v>gold.fact_ipa; gold.fact_offer</x:v>
      </x:c>
      <x:c r="F68" s="13" t="str">
        <x:v>Original specification: `100 - KPI-83`
Original requirement/measure assessment: Defined in saved model; runtime/UAT pending. Offers Still to Progress to IPA %; complement of KPI-83 per assessment; Offers Awaiting IPA Creation supplies the actual count; historical classification: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KPI_LATEST_CALCULATIONS.md#business-offers-still-to-progress-to-ipa-percent
DAX [Offers Still to Progress to IPA %]:
IF ( NOT ISBLANK ( [Accepted Offer to IPA Conversion %] ), 1 - [Accepted Offer to IPA Conversion %] )
Saved source: project X/reports/WIP/SM WMPP v16 updated WIP/SM_WMPP_v16.SemanticModel/definition/tables/_Measures.tmdl:1199
Python/Spark SQL producer/reference spans: 04_gold_model.py:817; 04_gold_model.py:712</x:v>
      </x:c>
      <x:c r="G68" s="13" t="str">
        <x:v>Offers Still to Progress to IPA %</x:v>
      </x:c>
      <x:c r="H68" s="13" t="str">
        <x:v>Section 8 - IPA Measures</x:v>
      </x:c>
      <x:c r="I68" s="30" t="n">
        <x:v>46260</x:v>
      </x:c>
    </x:row>
    <x:row r="69" ht="319" customHeight="1">
      <x:c r="A69" s="13" t="str">
        <x:v>KPI-60</x:v>
      </x:c>
      <x:c r="B69" s="13" t="str">
        <x:v>[R24]    </x:v>
      </x:c>
      <x:c r="C69" s="13" t="str">
        <x:v>Oldest Draft Age (Days)                  </x:v>
      </x:c>
      <x:c r="D69" s="13" t="str">
        <x:v>R24 (dashboard task management)                           </x:v>
      </x:c>
      <x:c r="E69" s="13" t="str">
        <x:v>gold.fact_offer</x:v>
      </x:c>
      <x:c r="F69" s="13" t="str">
        <x:v>Original specification: `MAX(DATEDIFF(current_date(), offer_date)) WHERE offer_status = 'DRAFT'`
Original requirement/measure assessment: Defined in saved model; runtime/UAT pending. Oldest Draft Age Days; historical classification: ✅ Covered
Latest saved source reviewed 17 October 2026. Static definition verified; refresh, role/context reconciliation and UAT remain pending.
Full current logic: KPI_LATEST_CALCULATIONS.md#business-oldest-draft-age-days
DAX [Oldest Draft Age Days]:
MAXX (
FILTER (
'fact_offer',
LOWER ( COALESCE ( 'fact_offer'[offer_status], "" ) ) = "draft"
&amp;&amp; NOT ISBLANK ( 'fact_offer'[offer_age_days] )
),
'fact_offer'[offer_age_days]
)
Saved source: project X/reports/WIP/SM WMPP v16 updated WIP/SM_WMPP_v16.SemanticModel/definition/tables/_Measures.tmdl:177
Python/Spark SQL producer/reference spans: 04_gold_model.py:712</x:v>
      </x:c>
      <x:c r="G69" s="13" t="str">
        <x:v>Oldest Draft Age Days</x:v>
      </x:c>
      <x:c r="H69" s="13" t="str">
        <x:v>Section 7 - Draft/Pending Offers</x:v>
      </x:c>
      <x:c r="I69" s="30" t="n">
        <x:v>46260</x:v>
      </x:c>
    </x:row>
    <x:row r="70" ht="228" customHeight="1">
      <x:c r="A70" s="13" t="str">
        <x:v>KPI-06</x:v>
      </x:c>
      <x:c r="B70" s="13" t="str">
        <x:v>[R51]</x:v>
      </x:c>
      <x:c r="C70" s="13" t="str">
        <x:v>Other Referrals</x:v>
      </x:c>
      <x:c r="D70" s="13" t="str">
        <x:v>R51 demographic monitoring</x:v>
      </x:c>
      <x:c r="E70" s="13" t="str">
        <x:v>gold.dim_person; gold.fact_referral</x:v>
      </x:c>
      <x:c r="F70" s="13" t="str">
        <x:v>Original specification: Gender not M/F
Original requirement/measure assessment: Defined in saved model; runtime/UAT pending. Other Gender Referrals; historical classification: ✅ Covered
Latest saved source reviewed 17 October 2026. Static definition verified; refresh, role/context reconciliation and UAT remain pending.
Full current logic: KPI_LATEST_CALCULATIONS.md#business-other-gender-referrals
DAX [Other Gender Referrals]:
CALCULATE ( [Total Referrals], 'dim_person'[gender_clean] = "Other" )
Saved source: project X/reports/WIP/SM WMPP v16 updated WIP/SM_WMPP_v16.SemanticModel/definition/tables/_Measures.tmdl:79
Python/Spark SQL producer/reference spans: 05_gold_dimensions.py:194; 04_gold_model.py:232</x:v>
      </x:c>
      <x:c r="G70" s="13" t="str">
        <x:v>Other Gender Referrals</x:v>
      </x:c>
      <x:c r="H70" s="13" t="str">
        <x:v>Section 1 - Referral Volume KPIs</x:v>
      </x:c>
      <x:c r="I70" s="30" t="n">
        <x:v>46260</x:v>
      </x:c>
    </x:row>
    <x:row r="71" ht="98" customHeight="1">
      <x:c r="A71" s="13" t="str">
        <x:v>KPI-96 </x:v>
      </x:c>
      <x:c r="B71" s="13" t="str">
        <x:v>[R22]    </x:v>
      </x:c>
      <x:c r="C71" s="13" t="str">
        <x:v>Out-of-Region Placement Rate             </x:v>
      </x:c>
      <x:c r="D71" s="13" t="str">
        <x:v>R22 out-of-region placement reporting                       </x:v>
      </x:c>
      <x:c r="E71" s="13" t="str">
        <x:v>No physical source asserted; see current assessment.</x:v>
      </x:c>
      <x:c r="F71" s="13" t="str">
        <x:v>Existing catalogue entry.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71" s="13" t="str">
        <x:v>Not implemented / retired; see Calculation</x:v>
      </x:c>
      <x:c r="H71" s="18" t="str">
        <x:v>Section 10 - Outstanding Measures</x:v>
      </x:c>
      <x:c r="I71" s="31" t="n">
        <x:v>46260</x:v>
      </x:c>
    </x:row>
    <x:row r="72" ht="98" customHeight="1">
      <x:c r="A72" s="13" t="str">
        <x:v>KPI-95 </x:v>
      </x:c>
      <x:c r="B72" s="13" t="str">
        <x:v>[R22]    </x:v>
      </x:c>
      <x:c r="C72" s="13" t="str">
        <x:v>Out-of-Region Referrals                  </x:v>
      </x:c>
      <x:c r="D72" s="13" t="str">
        <x:v>R22 out-of-region placements tagged and reported            </x:v>
      </x:c>
      <x:c r="E72" s="13" t="str">
        <x:v>No physical source asserted; see current assessment.</x:v>
      </x:c>
      <x:c r="F72" s="13" t="str">
        <x:v>Existing catalogue entry.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72" s="13" t="str">
        <x:v>Not implemented / retired; see Calculation</x:v>
      </x:c>
      <x:c r="H72" s="18" t="str">
        <x:v>Section 10 - Outstanding Measures</x:v>
      </x:c>
      <x:c r="I72" s="31" t="n">
        <x:v>46260</x:v>
      </x:c>
    </x:row>
    <x:row r="73" ht="293" customHeight="1">
      <x:c r="A73" s="13" t="str">
        <x:v>KPI-90</x:v>
      </x:c>
      <x:c r="B73" s="13" t="str">
        <x:v>[R22]    </x:v>
      </x:c>
      <x:c r="C73" s="15" t="str">
        <x:v>Overlap Referrals        </x:v>
      </x:c>
      <x:c r="D73" s="13" t="str">
        <x:v>R22 (out-of-region placements - partial)        </x:v>
      </x:c>
      <x:c r="E73" s="13" t="str">
        <x:v>gold.fact_referral</x:v>
      </x:c>
      <x:c r="F73" s="13" t="str">
        <x:v>Original specification: Referrals appearing in multiple provider referral-provider mappings
Original requirement/measure assessment: Defined in saved model; runtime/UAT pending. Overlap Referrals; diagnostic intersection of active awaiting/under-offer cohorts. Does not satisfy R22 geography; historical classification: Diagnostic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KPI_LATEST_CALCULATIONS.md#business-referrals-with-multiple-provider-assignments
DAX [Referrals With Multiple Provider Assignments]:
CALCULATE ( [Total Referrals], 'fact_referral'[provider_assignment_count] &gt; 1 )
Saved source: project X/reports/WIP/SM WMPP v16 updated WIP/SM_WMPP_v16.SemanticModel/definition/tables/_Measures.tmdl:1428
Python/Spark SQL producer/reference spans: 04_gold_model.py:232</x:v>
      </x:c>
      <x:c r="G73" s="13" t="str">
        <x:v>Referrals With Multiple Provider Assignments</x:v>
      </x:c>
      <x:c r="H73" s="13" t="str">
        <x:v>Section 9 - Other Measures</x:v>
      </x:c>
      <x:c r="I73" s="30" t="n">
        <x:v>46260</x:v>
      </x:c>
    </x:row>
    <x:row r="74" ht="150" customHeight="1">
      <x:c r="A74" s="13" t="str">
        <x:v>KPI-108</x:v>
      </x:c>
      <x:c r="B74" s="13" t="str">
        <x:v>[R62]    </x:v>
      </x:c>
      <x:c r="C74" s="13" t="str">
        <x:v>Payment Method Breakdown                 </x:v>
      </x:c>
      <x:c r="D74" s="13" t="str">
        <x:v>R62 finance payment reporting                               </x:v>
      </x:c>
      <x:c r="E74" s="13" t="str">
        <x:v>No physical source asserted; see current assessment.</x:v>
      </x:c>
      <x:c r="F74" s="16" t="str">
        <x:v>Original specification: `COUNT(DISTINCT ipa_id) GROUP BY payment_method WHERE closed = false`
Original requirement/measure assessment: Source/business-definition gap remains. Blocked — no payment method / payment facts in Gold;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74" s="13" t="str">
        <x:v>Not implemented / retired; see Calculation</x:v>
      </x:c>
      <x:c r="H74" s="18" t="str">
        <x:v>Section 10 - Outstanding Measures</x:v>
      </x:c>
      <x:c r="I74" s="31" t="n">
        <x:v>46260</x:v>
      </x:c>
    </x:row>
    <x:row r="75" ht="319" customHeight="1">
      <x:c r="A75" s="13" t="str">
        <x:v>KPI-18</x:v>
      </x:c>
      <x:c r="B75" s="13" t="str">
        <x:v>[R24]</x:v>
      </x:c>
      <x:c r="C75" s="13" t="str">
        <x:v>Pending Offers (Under Offer Referrals)</x:v>
      </x:c>
      <x:c r="D75" s="13" t="str">
        <x:v>R24 dashboard tasks</x:v>
      </x:c>
      <x:c r="E75" s="13" t="str">
        <x:v>gold.fact_offer; gold.fact_referral</x:v>
      </x:c>
      <x:c r="F75" s="13" t="str">
        <x:v>Original specification: Pending offers
Original requirement/measure assessment: Defined in saved model; runtime/UAT pending. Pending Offers (Under Offer Referrals); historical classification: ✅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KPI_LATEST_CALCULATIONS.md#business-pending-offers-under-offer-referrals
DAX [Pending Offers (Under Offer Referrals)]:
CALCULATE (
[Pending Offers],
FILTER ( 'fact_referral', 'fact_referral'[is_open] = TRUE () &amp;&amp; 'fact_referral'[current_status] = "UNDER_OFFER" )
)
Saved source: project X/reports/WIP/SM WMPP v16 updated WIP/SM_WMPP_v16.SemanticModel/definition/tables/_Measures.tmdl:60
Python/Spark SQL producer/reference spans: 04_gold_model.py:232; 04_gold_model.py:712</x:v>
      </x:c>
      <x:c r="G75" s="13" t="str">
        <x:v>Pending Offers (Under Offer Referrals)</x:v>
      </x:c>
      <x:c r="H75" s="13" t="str">
        <x:v>Section 2 - Provider Activity</x:v>
      </x:c>
      <x:c r="I75" s="30" t="n">
        <x:v>46260</x:v>
      </x:c>
    </x:row>
    <x:row r="76" ht="306" customHeight="1">
      <x:c r="A76" s="13" t="str">
        <x:v>KPI-67</x:v>
      </x:c>
      <x:c r="B76" s="13" t="str">
        <x:v>[R24]    </x:v>
      </x:c>
      <x:c r="C76" s="13" t="str">
        <x:v>Pending Offers 0–7 Days                  </x:v>
      </x:c>
      <x:c r="D76" s="13" t="str">
        <x:v>R24 (dashboard task management)                           </x:v>
      </x:c>
      <x:c r="E76" s="13" t="str">
        <x:v>gold.fact_offer</x:v>
      </x:c>
      <x:c r="F76" s="13" t="str">
        <x:v>Original specification: `COUNT(DISTINCT offer_id) WHERE offer_status = 'PENDING' AND DATEDIFF(current_date(), offer_date) BETWEEN 0 AND 7`
Original requirement/measure assessment: Defined in saved model; runtime/UAT pending. Pending Offers 0-7 Days; historical classification: ✅ Covered
Latest saved source reviewed 17 October 2026. Static definition verified; refresh, role/context reconciliation and UAT remain pending.
Full current logic: KPI_LATEST_CALCULATIONS.md#business-pending-offers-0-7-days
DAX [Pending Offers 0-7 Days]:
CALCULATE (
[Pending Offers],
KEEPFILTERS ( FILTER ( 'fact_offer', NOT ISBLANK ( 'fact_offer'[offer_age_days] ) &amp;&amp; 'fact_offer'[offer_age_days] &gt;= 0 &amp;&amp; 'fact_offer'[offer_age_days] &lt;= 7 ) )
)
Saved source: project X/reports/WIP/SM WMPP v16 updated WIP/SM_WMPP_v16.SemanticModel/definition/tables/_Measures.tmdl:289
Python/Spark SQL producer/reference spans: 04_gold_model.py:712</x:v>
      </x:c>
      <x:c r="G76" s="13" t="str">
        <x:v>Pending Offers 0-7 Days</x:v>
      </x:c>
      <x:c r="H76" s="13" t="str">
        <x:v>Section 7 - Draft/Pending Offers</x:v>
      </x:c>
      <x:c r="I76" s="30" t="n">
        <x:v>46260</x:v>
      </x:c>
    </x:row>
    <x:row r="77" ht="293" customHeight="1">
      <x:c r="A77" s="13" t="str">
        <x:v>KPI-65</x:v>
      </x:c>
      <x:c r="B77" s="13" t="str">
        <x:v>[R24]    </x:v>
      </x:c>
      <x:c r="C77" s="13" t="str">
        <x:v>Pending Offers 15–30 Days                </x:v>
      </x:c>
      <x:c r="D77" s="13" t="str">
        <x:v>R24 (dashboard task management)                           </x:v>
      </x:c>
      <x:c r="E77" s="13" t="str">
        <x:v>gold.fact_offer</x:v>
      </x:c>
      <x:c r="F77" s="13" t="str">
        <x:v>Original specification: `COUNT(DISTINCT offer_id) WHERE offer_status = 'PENDING' AND DATEDIFF(current_date(), offer_date) BETWEEN 15 AND 30`
Original requirement/measure assessment: Defined in saved model; runtime/UAT pending. Pending Offers 15–30 Days; original inclusive range. Use Pending Offers 15-29 Days for non-overlapping bands; historical classification: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KPI_LATEST_CALCULATIONS.md#business-pending-offers-15-30-days
DAX [Pending Offers 15–30 Days]:
CALCULATE ( [Pending Offers], KEEPFILTERS ( FILTER ( 'fact_offer', 'fact_offer'[offer_age_days] &gt;= 15 &amp;&amp; 'fact_offer'[offer_age_days] &lt;= 30 ) ) )
Saved source: project X/reports/WIP/SM WMPP v16 updated WIP/SM_WMPP_v16.SemanticModel/definition/tables/_Measures.tmdl:1627
Python/Spark SQL producer/reference spans: 04_gold_model.py:712</x:v>
      </x:c>
      <x:c r="G77" s="13" t="str">
        <x:v>Pending Offers 15–30 Days</x:v>
      </x:c>
      <x:c r="H77" s="13" t="str">
        <x:v>Section 7 - Draft/Pending Offers</x:v>
      </x:c>
      <x:c r="I77" s="30" t="n">
        <x:v>46260</x:v>
      </x:c>
    </x:row>
    <x:row r="78" ht="280" customHeight="1">
      <x:c r="A78" s="13" t="str">
        <x:v>KPI-66</x:v>
      </x:c>
      <x:c r="B78" s="13" t="str">
        <x:v>[R24]    </x:v>
      </x:c>
      <x:c r="C78" s="13" t="str">
        <x:v>Pending Offers 30+ Days                  </x:v>
      </x:c>
      <x:c r="D78" s="13" t="str">
        <x:v>R24 (dashboard task management)                           </x:v>
      </x:c>
      <x:c r="E78" s="13" t="str">
        <x:v>gold.fact_offer</x:v>
      </x:c>
      <x:c r="F78" s="13" t="str">
        <x:v>Original specification: `COUNT(DISTINCT offer_id) WHERE offer_status = 'PENDING' AND DATEDIFF(current_date(), offer_date) &gt;= 30`
Original requirement/measure assessment: Defined in saved model; runtime/UAT pending. Pending Offers 30+ Days; historical classification: ✅ Covered
Latest saved source reviewed 17 October 2026. Static definition verified; refresh, role/context reconciliation and UAT remain pending.
Full current logic: KPI_LATEST_CALCULATIONS.md#business-pending-offers-30-days
DAX [Pending Offers 30+ Days]:
CALCULATE (
[Pending Offers],
KEEPFILTERS ( FILTER ( 'fact_offer', NOT ISBLANK ( 'fact_offer'[offer_age_days] ) &amp;&amp; 'fact_offer'[offer_age_days] &gt;= 30 ) )
)
Saved source: project X/reports/WIP/SM WMPP v16 updated WIP/SM_WMPP_v16.SemanticModel/definition/tables/_Measures.tmdl:280
Python/Spark SQL producer/reference spans: 04_gold_model.py:712</x:v>
      </x:c>
      <x:c r="G78" s="13" t="str">
        <x:v>Pending Offers 30+ Days</x:v>
      </x:c>
      <x:c r="H78" s="13" t="str">
        <x:v>Section 7 - Draft/Pending Offers</x:v>
      </x:c>
      <x:c r="I78" s="30" t="n">
        <x:v>46260</x:v>
      </x:c>
    </x:row>
    <x:row r="79" ht="306" customHeight="1">
      <x:c r="A79" s="13" t="str">
        <x:v>KPI-68</x:v>
      </x:c>
      <x:c r="B79" s="13" t="str">
        <x:v>[R24]    </x:v>
      </x:c>
      <x:c r="C79" s="13" t="str">
        <x:v>Pending Offers 8–14 Days                 </x:v>
      </x:c>
      <x:c r="D79" s="13" t="str">
        <x:v>R24 (dashboard task management)                           </x:v>
      </x:c>
      <x:c r="E79" s="13" t="str">
        <x:v>gold.fact_offer</x:v>
      </x:c>
      <x:c r="F79" s="13" t="str">
        <x:v>Original specification: `COUNT(DISTINCT offer_id) WHERE offer_status = 'PENDING' AND DATEDIFF(current_date(), offer_date) BETWEEN 8 AND 14`
Original requirement/measure assessment: Defined in saved model; runtime/UAT pending. Pending Offers 8-14 Days; historical classification: ✅ Covered
Latest saved source reviewed 17 October 2026. Static definition verified; refresh, role/context reconciliation and UAT remain pending.
Full current logic: KPI_LATEST_CALCULATIONS.md#business-pending-offers-8-14-days
DAX [Pending Offers 8-14 Days]:
CALCULATE (
[Pending Offers],
KEEPFILTERS ( FILTER ( 'fact_offer', NOT ISBLANK ( 'fact_offer'[offer_age_days] ) &amp;&amp; 'fact_offer'[offer_age_days] &gt;= 8 &amp;&amp; 'fact_offer'[offer_age_days] &lt;= 14 ) )
)
Saved source: project X/reports/WIP/SM WMPP v16 updated WIP/SM_WMPP_v16.SemanticModel/definition/tables/_Measures.tmdl:298
Python/Spark SQL producer/reference spans: 04_gold_model.py:712</x:v>
      </x:c>
      <x:c r="G79" s="13" t="str">
        <x:v>Pending Offers 8-14 Days</x:v>
      </x:c>
      <x:c r="H79" s="13" t="str">
        <x:v>Section 7 - Draft/Pending Offers</x:v>
      </x:c>
      <x:c r="I79" s="30" t="n">
        <x:v>46260</x:v>
      </x:c>
    </x:row>
    <x:row r="80" ht="176" customHeight="1">
      <x:c r="A80" s="13" t="str">
        <x:v>KPI-64</x:v>
      </x:c>
      <x:c r="B80" s="13" t="str">
        <x:v>[R24]    </x:v>
      </x:c>
      <x:c r="C80" s="13" t="str">
        <x:v>Pending Offers by Age Bucket             </x:v>
      </x:c>
      <x:c r="D80" s="13" t="str">
        <x:v>R24 (dashboard task management)                           </x:v>
      </x:c>
      <x:c r="E80" s="13" t="str">
        <x:v>No physical source asserted; see current assessment.</x:v>
      </x:c>
      <x:c r="F80" s="13" t="str">
        <x:v>Original specification: `COUNT(DISTINCT offer_id) WHERE offer_status = 'PENDING' AND DATEDIFF(current_date(), offer_date) BETWEEN min_days AND max_days GROUP BY band_label`
Original requirement/measure assessment: Legacy helper retired; original specification retained. Retired — disconnected age-band table; the four pending-age measures (KPI-65–68) cover the same bands; historical classification: 🗄 Retired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80" s="13" t="str">
        <x:v>Not implemented / retired; see Calculation</x:v>
      </x:c>
      <x:c r="H80" s="13" t="str">
        <x:v>Section 7 - Draft/Pending Offers</x:v>
      </x:c>
      <x:c r="I80" s="30" t="n">
        <x:v>46260</x:v>
      </x:c>
    </x:row>
    <x:row r="81" ht="254" customHeight="1">
      <x:c r="A81" s="13" t="str">
        <x:v>KPI-26</x:v>
      </x:c>
      <x:c r="B81" s="13" t="str">
        <x:v>[R13]</x:v>
      </x:c>
      <x:c r="C81" s="13" t="str">
        <x:v>Placement Type Totals (Visual)</x:v>
      </x:c>
      <x:c r="D81" s="13" t="str">
        <x:v>Placement type filtering</x:v>
      </x:c>
      <x:c r="E81" s="13" t="str">
        <x:v>gold.fact_referral</x:v>
      </x:c>
      <x:c r="F81" s="13" t="str">
        <x:v>Original specification: Spot vs Framework split
Original requirement/measure assessment: Defined in saved model; runtime/UAT pending. Total Referrals + `fact_referral[placement_type_required]` visual dimension; historical classification: 🔁 Alias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KPI_LATEST_CALCULATIONS.md#business-total-referrals
DAX [Total Referrals]:
DISTINCTCOUNT ( 'fact_referral'[referral_id] )
Saved source: project X/reports/WIP/SM WMPP v16 updated WIP/SM_WMPP_v16.SemanticModel/definition/tables/_Measures.tmdl:4
Python/Spark SQL producer/reference spans: 04_gold_model.py:232</x:v>
      </x:c>
      <x:c r="G81" s="13" t="str">
        <x:v>Total Referrals</x:v>
      </x:c>
      <x:c r="H81" s="13" t="str">
        <x:v>Section 4 - Spot vs Framework</x:v>
      </x:c>
      <x:c r="I81" s="30" t="n">
        <x:v>46260</x:v>
      </x:c>
    </x:row>
    <x:row r="82" ht="280" customHeight="1">
      <x:c r="A82" s="13" t="str">
        <x:v>KPI-93 </x:v>
      </x:c>
      <x:c r="B82" s="13" t="str">
        <x:v>[R57]    </x:v>
      </x:c>
      <x:c r="C82" s="13" t="str">
        <x:v>Planned Referrals                        </x:v>
      </x:c>
      <x:c r="D82" s="13" t="str">
        <x:v>R57 planned placements separately reportable                </x:v>
      </x:c>
      <x:c r="E82" s="13" t="str">
        <x:v>gold.fact_referral</x:v>
      </x:c>
      <x:c r="F82" s="13" t="str">
        <x:v>Existing catalogue entry. Different-date rule; missing dates excluded and reversed dates require review.
Latest saved source reviewed 17 October 2026. Static definition verified; refresh, role/context reconciliation and UAT remain pending.
Full current logic: KPI_LATEST_CALCULATIONS.md#business-planned-referrals
DAX [Planned Referrals]:
CALCULATE (
[Total Referrals], KEEPFILTERS ( 'fact_referral'[current_status] IN { "OPEN", "UNDER_OFFER" } ),
KEEPFILTERS ( FILTER ( 'fact_referral', NOT ISBLANK ( 'fact_referral'[referral_created_date] ) &amp;&amp; NOT ISBLANK ( 'fact_referral'[required_placement_date] ) &amp;&amp; 'fact_referral'[is_emergency_placement] = FALSE () ) )
)
Saved source: project X/reports/WIP/SM WMPP v16 updated WIP/SM_WMPP_v16.SemanticModel/definition/tables/_Measures.tmdl:1038
Python/Spark SQL producer/reference spans: 04_gold_model.py:232</x:v>
      </x:c>
      <x:c r="G82" s="13" t="str">
        <x:v>Planned Referrals</x:v>
      </x:c>
      <x:c r="H82" s="18" t="str">
        <x:v>Section 10 - Outstanding Measures</x:v>
      </x:c>
      <x:c r="I82" s="31" t="n">
        <x:v>46260</x:v>
      </x:c>
    </x:row>
    <x:row r="83" ht="150" customHeight="1">
      <x:c r="A83" s="13" t="str">
        <x:v>KPI-112</x:v>
      </x:c>
      <x:c r="B83" s="13" t="str">
        <x:v>[R14]    </x:v>
      </x:c>
      <x:c r="C83" s="13" t="str">
        <x:v>Priority Messages Unread                 </x:v>
      </x:c>
      <x:c r="D83" s="13" t="str">
        <x:v>R14 urgent message tracking                                 </x:v>
      </x:c>
      <x:c r="E83" s="13" t="str">
        <x:v>No physical source asserted; see current assessment.</x:v>
      </x:c>
      <x:c r="F83" s="13" t="str">
        <x:v>Original specification: `COUNT(DISTINCT message_id) WHERE no message status exists`
Original requirement/measure assessment: Source/business-definition gap remains. Blocked — no message-status facts in Gold;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83" s="13" t="str">
        <x:v>Not implemented / retired; see Calculation</x:v>
      </x:c>
      <x:c r="H83" s="18" t="str">
        <x:v>Section 10 - Outstanding Measures</x:v>
      </x:c>
      <x:c r="I83" s="31" t="n">
        <x:v>46260</x:v>
      </x:c>
    </x:row>
    <x:row r="84" ht="409" customHeight="1">
      <x:c r="A84" s="13" t="str">
        <x:v>KPI-104</x:v>
      </x:c>
      <x:c r="B84" s="13" t="str">
        <x:v>[R49]    </x:v>
      </x:c>
      <x:c r="C84" s="13" t="str">
        <x:v>Provider Due Diligence Status            </x:v>
      </x:c>
      <x:c r="D84" s="13" t="str">
        <x:v>R49 provider due diligence monitoring                       </x:v>
      </x:c>
      <x:c r="E84" s="13" t="str">
        <x:v>gold.dim_provider</x:v>
      </x:c>
      <x:c r="F84" s="16" t="str">
        <x:v>Original specification: `COUNT(DISTINCT provider_id) GROUP BY provider_status`
Original requirement/measure assessment: Defined in saved model; runtime/UAT pending. Providers Pending Onboarding / Providers Approved (provider_status split); historical classification: ✅ Covered
Latest saved source reviewed 17 October 2026. Static definition verified; refresh, role/context reconciliation and UAT remain pending.
Full current logic: KPI_LATEST_CALCULATIONS.md#business-providers-pending-onboarding
DAX [Providers Pending Onboarding]:
CALCULATE (
[Providers Registered],
FILTER ( 'dim_provider', LOWER ( COALESCE ( 'dim_provider'[provider_status], "" ) ) = "pending" )
)
Saved source: project X/reports/WIP/SM WMPP v16 updated WIP/SM_WMPP_v16.SemanticModel/definition/tables/_Measures.tmdl:1146
Python/Spark SQL producer/reference spans: 05_gold_dimensions.py:155
Full current logic: KPI_LATEST_CALCULATIONS.md#business-providers-approved
DAX [Providers Approved]:
CALCULATE (
[Providers Registered],
FILTER ( 'dim_provider', LOWER ( COALESCE ( 'dim_provider'[provider_status], "" ) ) = "approved" )
)
Saved source: project X/reports/WIP/SM WMPP v16 updated WIP/SM_WMPP_v16.SemanticModel/definition/tables/_Measures.tmdl:1154
Python/Spark SQL producer/reference spans: 05_gold_dimensions.py:155</x:v>
      </x:c>
      <x:c r="G84" s="13" t="str">
        <x:v>Providers Pending Onboarding; Providers Approved</x:v>
      </x:c>
      <x:c r="H84" s="18" t="str">
        <x:v>Section 10 - Outstanding Measures</x:v>
      </x:c>
      <x:c r="I84" s="31" t="n">
        <x:v>46260</x:v>
      </x:c>
    </x:row>
    <x:row r="85" ht="306" customHeight="1">
      <x:c r="A85" s="13" t="str">
        <x:v>KPI-40</x:v>
      </x:c>
      <x:c r="B85" s="13" t="str">
        <x:v>[R91,R93]</x:v>
      </x:c>
      <x:c r="C85" s="13" t="str">
        <x:v>Provider Homes Registered          </x:v>
      </x:c>
      <x:c r="D85" s="13" t="str">
        <x:v>Registration; directory   </x:v>
      </x:c>
      <x:c r="E85" s="13" t="str">
        <x:v>gold.dim_provider; gold.dim_provider_home</x:v>
      </x:c>
      <x:c r="F85" s="13" t="str">
        <x:v>Original specification: Count homes
Original requirement/measure assessment: Defined in saved model; runtime/UAT pending. Provider Homes Registered; historical classification: ✅ Covered
Latest saved source reviewed 17 October 2026. Static definition verified; refresh, role/context reconciliation and UAT remain pending.
Full current logic: KPI_LATEST_CALCULATIONS.md#business-provider-homes-registered
DAX [Provider Homes Registered]:
IF ( ISFILTERED ( 'dim_provider' ),
CALCULATE ( DISTINCTCOUNT ( 'dim_provider_home'[provider_home_id] ), KEEPFILTERS ( TREATAS ( VALUES ( 'dim_provider'[provider_id] ), 'dim_provider_home'[provider_id] ) ) ),
DISTINCTCOUNT ( 'dim_provider_home'[provider_home_id] )
)
Saved source: project X/reports/WIP/SM WMPP v16 updated WIP/SM_WMPP_v16.SemanticModel/definition/tables/_Measures.tmdl:89
Python/Spark SQL producer/reference spans: 05_gold_dimensions.py:163; 05_gold_dimensions.py:155</x:v>
      </x:c>
      <x:c r="G85" s="13" t="str">
        <x:v>Provider Homes Registered</x:v>
      </x:c>
      <x:c r="H85" s="13" t="str">
        <x:v>Section 6 - Provider Registry</x:v>
      </x:c>
      <x:c r="I85" s="30" t="n">
        <x:v>46260</x:v>
      </x:c>
    </x:row>
    <x:row r="86" ht="293" customHeight="1">
      <x:c r="A86" s="13" t="str">
        <x:v>KPI-116</x:v>
      </x:c>
      <x:c r="B86" s="13" t="str">
        <x:v>[R59]    </x:v>
      </x:c>
      <x:c r="C86" s="13" t="str">
        <x:v>Provider Onboarding Pipeline             </x:v>
      </x:c>
      <x:c r="D86" s="13" t="str">
        <x:v>R59 bulk provider onboarding                                </x:v>
      </x:c>
      <x:c r="E86" s="13" t="str">
        <x:v>gold.dim_provider</x:v>
      </x:c>
      <x:c r="F86" s="13" t="str">
        <x:v>Original specification: `COUNT(DISTINCT provider_id) WHERE provider_status = 'Pending'`
Original requirement/measure assessment: Defined in saved model; runtime/UAT pending. Providers Pending Onboarding; historical classification: ✅ Covered
Latest saved source reviewed 17 October 2026. Static definition verified; refresh, role/context reconciliation and UAT remain pending.
Full current logic: KPI_LATEST_CALCULATIONS.md#business-providers-pending-onboarding
DAX [Providers Pending Onboarding]:
CALCULATE (
[Providers Registered],
FILTER ( 'dim_provider', LOWER ( COALESCE ( 'dim_provider'[provider_status], "" ) ) = "pending" )
)
Saved source: project X/reports/WIP/SM WMPP v16 updated WIP/SM_WMPP_v16.SemanticModel/definition/tables/_Measures.tmdl:1146
Python/Spark SQL producer/reference spans: 05_gold_dimensions.py:155</x:v>
      </x:c>
      <x:c r="G86" s="13" t="str">
        <x:v>Providers Pending Onboarding</x:v>
      </x:c>
      <x:c r="H86" s="18" t="str">
        <x:v>Section 10 - Outstanding Measures</x:v>
      </x:c>
      <x:c r="I86" s="31" t="n">
        <x:v>46260</x:v>
      </x:c>
    </x:row>
    <x:row r="87" ht="319" customHeight="1">
      <x:c r="A87" s="13" t="str">
        <x:v>KPI-69</x:v>
      </x:c>
      <x:c r="B87" s="13" t="str">
        <x:v>[R24,R26]</x:v>
      </x:c>
      <x:c r="C87" s="13" t="str">
        <x:v>Provider with Offers over 30+ Days       </x:v>
      </x:c>
      <x:c r="D87" s="13" t="str">
        <x:v>R24 (dashboard task management), R26 (prioritise requests)</x:v>
      </x:c>
      <x:c r="E87" s="13" t="str">
        <x:v>gold.fact_offer</x:v>
      </x:c>
      <x:c r="F87" s="13" t="str">
        <x:v>Original specification: `COUNT(DISTINCT provider_id) WHERE offer_status = 'PENDING' AND DATEDIFF(current_date(), offer_date) &gt;= 30`
Original requirement/measure assessment: Defined in saved model; runtime/UAT pending. Providers With Pending Offers 30+ Days; historical classification: ✅ Covered
Latest saved source reviewed 17 October 2026. Static definition verified; refresh, role/context reconciliation and UAT remain pending.
Full current logic: KPI_LATEST_CALCULATIONS.md#business-providers-with-pending-offers-30-days
DAX [Providers With Pending Offers 30+ Days]:
CALCULATE (
DISTINCTCOUNT ( 'fact_offer'[provider_id] ),
KEEPFILTERS ( FILTER ( 'fact_offer', LOWER ( COALESCE ( 'fact_offer'[offer_status], "" ) ) IN { "pending", "offer_made" } &amp;&amp; 'fact_offer'[offer_age_days] &gt;= 30 ) )
)
Saved source: project X/reports/WIP/SM WMPP v16 updated WIP/SM_WMPP_v16.SemanticModel/definition/tables/_Measures.tmdl:1465
Python/Spark SQL producer/reference spans: 04_gold_model.py:712</x:v>
      </x:c>
      <x:c r="G87" s="13" t="str">
        <x:v>Providers With Pending Offers 30+ Days</x:v>
      </x:c>
      <x:c r="H87" s="13" t="str">
        <x:v>Section 7 - Draft/Pending Offers</x:v>
      </x:c>
      <x:c r="I87" s="30" t="n">
        <x:v>46260</x:v>
      </x:c>
    </x:row>
    <x:row r="88" ht="332" customHeight="1">
      <x:c r="A88" s="13" t="str">
        <x:v>KPI-42</x:v>
      </x:c>
      <x:c r="B88" s="13" t="str">
        <x:v>[R95]    </x:v>
      </x:c>
      <x:c r="C88" s="13" t="str">
        <x:v>Providers - Fostering              </x:v>
      </x:c>
      <x:c r="D88" s="13" t="str">
        <x:v>Fostering framework       </x:v>
      </x:c>
      <x:c r="E88" s="13" t="str">
        <x:v>gold.bridge_provider_framework; gold.dim_framework; gold.dim_provider; gold.dim_provider_home</x:v>
      </x:c>
      <x:c r="F88" s="13" t="str">
        <x:v>Original specification: Fostering providers
Original requirement/measure assessment: Defined in saved model; runtime/UAT pending. Providers - Fostering; historical classification: ✅ Covered
Latest saved source reviewed 17 October 2026. Static definition verified; refresh, role/context reconciliation and UAT remain pending.
Full current logic: KPI_LATEST_CALCULATIONS.md#business-providers-fostering
DAX [Providers - Fostering]:
VAR framework_providers = CALCULATETABLE ( VALUES ( 'bridge_provider_framework'[provider_id] ), FILTER ( 'dim_framework', LOWER ( 'dim_framework'[placement_type] ) IN { "fostering", "plcm-fost" } ) )
VAR home_providers = CALCULATETABLE ( VALUES ( 'dim_provider_home'[provider_id] ), FILTER ( 'dim_provider_home', LOWER ( 'dim_provider_home'[service_type] ) IN { "fostering", "plcm-fost" } ) )
RETURN CALCULATE ( [Providers Registered], KEEPFILTERS ( TREATAS ( DISTINCT ( UNION ( framework_providers, home_providers ) ), 'dim_provider'[provider_id] ) ) )
Saved source: project X/reports/WIP/SM WMPP v16 updated WIP/SM_WMPP_v16.SemanticModel/definition/tables/_Measures.tmdl:199
Python/Spark SQL producer/reference spans: 05_gold_dimensions.py:173; 05_gold_dimensions.py:194; 05_gold_dimensions.py:163; 05_gold_dimensions.py:155</x:v>
      </x:c>
      <x:c r="G88" s="13" t="str">
        <x:v>Providers - Fostering</x:v>
      </x:c>
      <x:c r="H88" s="13" t="str">
        <x:v>Section 6 - Provider Registry</x:v>
      </x:c>
      <x:c r="I88" s="30" t="n">
        <x:v>46260</x:v>
      </x:c>
    </x:row>
    <x:row r="89" ht="254" customHeight="1">
      <x:c r="A89" s="13" t="str">
        <x:v>KPI-43</x:v>
      </x:c>
      <x:c r="B89" s="13" t="str">
        <x:v>[R96]    </x:v>
      </x:c>
      <x:c r="C89" s="13" t="str">
        <x:v>Providers - Residential            </x:v>
      </x:c>
      <x:c r="D89" s="13" t="str">
        <x:v>Residential Framework 2.0 </x:v>
      </x:c>
      <x:c r="E89" s="13" t="str">
        <x:v>gold.dim_provider_home</x:v>
      </x:c>
      <x:c r="F89" s="13" t="str">
        <x:v>Original specification: Residential providers
Original requirement/measure assessment: Defined in saved model; runtime/UAT pending. Providers - Residential; historical classification: ✅ Covered
Latest saved source reviewed 17 October 2026. Static definition verified; refresh, role/context reconciliation and UAT remain pending.
Full current logic: KPI_LATEST_CALCULATIONS.md#business-providers-residential
DAX [Providers - Residential]:
CALCULATE (
DISTINCTCOUNT ( 'dim_provider_home'[provider_id] ),
'dim_provider_home'[service_type] = "Residential"
)
Saved source: project X/reports/WIP/SM WMPP v16 updated WIP/SM_WMPP_v16.SemanticModel/definition/tables/_Measures.tmdl:207
Python/Spark SQL producer/reference spans: 05_gold_dimensions.py:163</x:v>
      </x:c>
      <x:c r="G89" s="13" t="str">
        <x:v>Providers - Residential</x:v>
      </x:c>
      <x:c r="H89" s="13" t="str">
        <x:v>Section 6 - Provider Registry</x:v>
      </x:c>
      <x:c r="I89" s="30" t="n">
        <x:v>46260</x:v>
      </x:c>
    </x:row>
    <x:row r="90" ht="280" customHeight="1">
      <x:c r="A90" s="13" t="str">
        <x:v>KPI-44</x:v>
      </x:c>
      <x:c r="B90" s="13" t="str">
        <x:v>[R91]    </x:v>
      </x:c>
      <x:c r="C90" s="13" t="str">
        <x:v>Providers - Supported Accommodation</x:v>
      </x:c>
      <x:c r="D90" s="13" t="str">
        <x:v>Registration              </x:v>
      </x:c>
      <x:c r="E90" s="13" t="str">
        <x:v>gold.dim_provider_home</x:v>
      </x:c>
      <x:c r="F90" s="13" t="str">
        <x:v>Original specification: Supported Accommodation providers
Original requirement/measure assessment: Defined in saved model; runtime/UAT pending. Providers - Supported Accommodation; historical classification: ✅ Covered
Latest saved source reviewed 17 October 2026. Static definition verified; refresh, role/context reconciliation and UAT remain pending.
Full current logic: KPI_LATEST_CALCULATIONS.md#business-providers-supported-accommodation
DAX [Providers - Supported Accommodation]:
CALCULATE (
DISTINCTCOUNT ( 'dim_provider_home'[provider_id] ),
'dim_provider_home'[service_type] = "Supported Accommodation"
)
Saved source: project X/reports/WIP/SM WMPP v16 updated WIP/SM_WMPP_v16.SemanticModel/definition/tables/_Measures.tmdl:216
Python/Spark SQL producer/reference spans: 05_gold_dimensions.py:163</x:v>
      </x:c>
      <x:c r="G90" s="13" t="str">
        <x:v>Providers - Supported Accommodation</x:v>
      </x:c>
      <x:c r="H90" s="13" t="str">
        <x:v>Section 6 - Provider Registry</x:v>
      </x:c>
      <x:c r="I90" s="30" t="n">
        <x:v>46260</x:v>
      </x:c>
    </x:row>
    <x:row r="91" ht="150" customHeight="1">
      <x:c r="A91" s="13" t="str">
        <x:v>KPI-102</x:v>
      </x:c>
      <x:c r="B91" s="13" t="str">
        <x:v>[R48]    </x:v>
      </x:c>
      <x:c r="C91" s="13" t="str">
        <x:v>Providers Blocked (Incomplete Docs)      </x:v>
      </x:c>
      <x:c r="D91" s="13" t="str">
        <x:v>R48 exclude providers with incomplete documentation         </x:v>
      </x:c>
      <x:c r="E91" s="13" t="str">
        <x:v>No physical source asserted; see current assessment.</x:v>
      </x:c>
      <x:c r="F91" s="13" t="str">
        <x:v>Original specification: `COUNT(DISTINCT provider_id) WHERE expired documentation exists`
Original requirement/measure assessment: Source/business-definition gap remains. Blocked — no expected-document set in Gold to test completeness against;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91" s="13" t="str">
        <x:v>Not implemented / retired; see Calculation</x:v>
      </x:c>
      <x:c r="H91" s="18" t="str">
        <x:v>Section 10 - Outstanding Measures</x:v>
      </x:c>
      <x:c r="I91" s="31" t="n">
        <x:v>46260</x:v>
      </x:c>
    </x:row>
    <x:row r="92" ht="215" customHeight="1">
      <x:c r="A92" s="13" t="str">
        <x:v>KPI-41</x:v>
      </x:c>
      <x:c r="B92" s="13" t="str">
        <x:v>[R91,R93]</x:v>
      </x:c>
      <x:c r="C92" s="13" t="str">
        <x:v>Providers Registered               </x:v>
      </x:c>
      <x:c r="D92" s="13" t="str">
        <x:v>Registration; directory   </x:v>
      </x:c>
      <x:c r="E92" s="13" t="str">
        <x:v>gold.dim_provider</x:v>
      </x:c>
      <x:c r="F92" s="13" t="str">
        <x:v>Original specification: Count providers
Original requirement/measure assessment: Defined in saved model; runtime/UAT pending. Providers Registered; historical classification: ✅ Covered
Latest saved source reviewed 17 October 2026. Static definition verified; refresh, role/context reconciliation and UAT remain pending.
Full current logic: KPI_LATEST_CALCULATIONS.md#business-providers-registered
DAX [Providers Registered]:
DISTINCTCOUNT(dim_provider[provider_id])
Saved source: project X/reports/WIP/SM WMPP v16 updated WIP/SM_WMPP_v16.SemanticModel/definition/tables/_Measures.tmdl:98
Python/Spark SQL producer/reference spans: 05_gold_dimensions.py:155</x:v>
      </x:c>
      <x:c r="G92" s="13" t="str">
        <x:v>Providers Registered</x:v>
      </x:c>
      <x:c r="H92" s="13" t="str">
        <x:v>Section 6 - Provider Registry</x:v>
      </x:c>
      <x:c r="I92" s="30" t="n">
        <x:v>46260</x:v>
      </x:c>
    </x:row>
    <x:row r="93" ht="228" customHeight="1">
      <x:c r="A93" s="13" t="str">
        <x:v>KPI-97 </x:v>
      </x:c>
      <x:c r="B93" s="13" t="str">
        <x:v>[R41]    </x:v>
      </x:c>
      <x:c r="C93" s="13" t="str">
        <x:v>Providers with QA Flags                  </x:v>
      </x:c>
      <x:c r="D93" s="13" t="str">
        <x:v>R41 advisory notices and safeguarding flags                 </x:v>
      </x:c>
      <x:c r="E93" s="13" t="str">
        <x:v>gold.dim_provider</x:v>
      </x:c>
      <x:c r="F93" s="13" t="str">
        <x:v>Existing catalogue entry. Definition present in WIP _Measures. Reconcile against refreshed Gold and approved business rules.
Latest saved source reviewed 17 October 2026. Static definition verified; refresh, role/context reconciliation and UAT remain pending.
Full current logic: KPI_LATEST_CALCULATIONS.md#business-providers-with-qa-flags
DAX [Providers With QA Flags]:
CALCULATE ( [Providers Registered], KEEPFILTERS ( 'dim_provider'[qa_flag] = TRUE () ) )
Saved source: project X/reports/WIP/SM WMPP v16 updated WIP/SM_WMPP_v16.SemanticModel/definition/tables/_Measures.tmdl:1130
Python/Spark SQL producer/reference spans: 05_gold_dimensions.py:155</x:v>
      </x:c>
      <x:c r="G93" s="13" t="str">
        <x:v>Providers With QA Flags</x:v>
      </x:c>
      <x:c r="H93" s="18" t="str">
        <x:v>Section 10 - Outstanding Measures</x:v>
      </x:c>
      <x:c r="I93" s="31" t="n">
        <x:v>46260</x:v>
      </x:c>
    </x:row>
    <x:row r="94" ht="98" customHeight="1">
      <x:c r="A94" s="13" t="str">
        <x:v>KPI-98 </x:v>
      </x:c>
      <x:c r="B94" s="13" t="str">
        <x:v>[R41]    </x:v>
      </x:c>
      <x:c r="C94" s="13" t="str">
        <x:v>QA Flag Type Breakdown                   </x:v>
      </x:c>
      <x:c r="D94" s="13" t="str">
        <x:v>R41 information notices and safeguarding concerns           </x:v>
      </x:c>
      <x:c r="E94" s="13" t="str">
        <x:v>No physical source asserted; see current assessment.</x:v>
      </x:c>
      <x:c r="F94" s="13" t="str">
        <x:v>Existing catalogue entry.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94" s="13" t="str">
        <x:v>Not implemented / retired; see Calculation</x:v>
      </x:c>
      <x:c r="H94" s="18" t="str">
        <x:v>Section 10 - Outstanding Measures</x:v>
      </x:c>
      <x:c r="I94" s="31" t="n">
        <x:v>46260</x:v>
      </x:c>
    </x:row>
    <x:row r="95" ht="345" customHeight="1">
      <x:c r="A95" s="13" t="str">
        <x:v>KPI-99 </x:v>
      </x:c>
      <x:c r="B95" s="13" t="str">
        <x:v>[R41]    </x:v>
      </x:c>
      <x:c r="C95" s="13" t="str">
        <x:v>QA Flagged Providers by Home             </x:v>
      </x:c>
      <x:c r="D95" s="13" t="str">
        <x:v>R41 advisory notices and safeguarding flags                 </x:v>
      </x:c>
      <x:c r="E95" s="13" t="str">
        <x:v>gold.dim_provider; gold.dim_provider_home</x:v>
      </x:c>
      <x:c r="F95" s="13" t="str">
        <x:v>Existing catalogue entry. Definition present in WIP _Measures. Reconcile against refreshed Gold and approved business rules.
Latest saved source reviewed 17 October 2026. Static definition verified; refresh, role/context reconciliation and UAT remain pending.
Full current logic: KPI_LATEST_CALCULATIONS.md#business-qa-flagged-homes
DAX [QA Flagged Homes]:
VAR flagged_providers = CALCULATETABLE ( VALUES ( 'dim_provider'[provider_id] ), 'dim_provider'[qa_flag] = TRUE () )
VAR selected_providers = VALUES ( 'dim_provider'[provider_id] )
RETURN
CALCULATE (
[Provider Homes Registered],
KEEPFILTERS ( TREATAS ( selected_providers, 'dim_provider_home'[provider_id] ) ),
KEEPFILTERS ( FILTER ( 'dim_provider_home', 'dim_provider_home'[qa_flag] = TRUE () || 'dim_provider_home'[provider_id] IN flagged_providers ) )
)
Saved source: project X/reports/WIP/SM WMPP v16 updated WIP/SM_WMPP_v16.SemanticModel/definition/tables/_Measures.tmdl:1134
Python/Spark SQL producer/reference spans: 05_gold_dimensions.py:163; 05_gold_dimensions.py:155</x:v>
      </x:c>
      <x:c r="G95" s="13" t="str">
        <x:v>QA Flagged Homes</x:v>
      </x:c>
      <x:c r="H95" s="18" t="str">
        <x:v>Section 10 - Outstanding Measures</x:v>
      </x:c>
      <x:c r="I95" s="31" t="n">
        <x:v>46260</x:v>
      </x:c>
    </x:row>
    <x:row r="96" ht="150" customHeight="1">
      <x:c r="A96" s="13" t="str">
        <x:v>KPI-115</x:v>
      </x:c>
      <x:c r="B96" s="13" t="str">
        <x:v>[R19]    </x:v>
      </x:c>
      <x:c r="C96" s="13" t="str">
        <x:v>Referral Updates per Day                 </x:v>
      </x:c>
      <x:c r="D96" s="13" t="str">
        <x:v>R19 referral maintenance and provider notification          </x:v>
      </x:c>
      <x:c r="E96" s="13" t="str">
        <x:v>No physical source asserted; see current assessment.</x:v>
      </x:c>
      <x:c r="F96" s="13" t="str">
        <x:v>Original specification: `COUNT(DISTINCT referral_id) / COUNT(DISTINCT DATE(modified_timestamp))`
Original requirement/measure assessment: Source/business-definition gap remains. Blocked — no durable referral update timestamp; lifecycle events provide the supported activity measure; historical classification: ❌ Blocked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96" s="13" t="str">
        <x:v>Not implemented / retired; see Calculation</x:v>
      </x:c>
      <x:c r="H96" s="18" t="str">
        <x:v>Section 10 - Outstanding Measures</x:v>
      </x:c>
      <x:c r="I96" s="31" t="n">
        <x:v>46260</x:v>
      </x:c>
    </x:row>
    <x:row r="97" ht="228" customHeight="1">
      <x:c r="A97" s="13" t="str">
        <x:v>KPI-03</x:v>
      </x:c>
      <x:c r="B97" s="13" t="str">
        <x:v>[R24,R36]</x:v>
      </x:c>
      <x:c r="C97" s="13" t="str">
        <x:v>Referrals Awaiting Offer</x:v>
      </x:c>
      <x:c r="D97" s="13" t="str">
        <x:v>R24 referral status; R36 outstanding offers</x:v>
      </x:c>
      <x:c r="E97" s="13" t="str">
        <x:v>gold.fact_referral</x:v>
      </x:c>
      <x:c r="F97" s="13" t="str">
        <x:v>Original specification: Open/Under Offer referrals without valid offer
Original requirement/measure assessment: Defined in saved model; runtime/UAT pending. Referrals Awaiting Offer; historical classification: ✅ Covered
Latest saved source reviewed 17 October 2026. Static definition verified; refresh, role/context reconciliation and UAT remain pending.
Full current logic: KPI_LATEST_CALCULATIONS.md#business-referrals-awaiting-offer
DAX [Referrals Awaiting Offer]:
CALCULATE ( [Total Referrals], 'fact_referral'[is_awaiting_offer] = TRUE () )
Saved source: project X/reports/WIP/SM WMPP v16 updated WIP/SM_WMPP_v16.SemanticModel/definition/tables/_Measures.tmdl:9
Python/Spark SQL producer/reference spans: 04_gold_model.py:232</x:v>
      </x:c>
      <x:c r="G97" s="13" t="str">
        <x:v>Referrals Awaiting Offer</x:v>
      </x:c>
      <x:c r="H97" s="13" t="str">
        <x:v>Section 1 - Referral Volume KPIs</x:v>
      </x:c>
      <x:c r="I97" s="30" t="n">
        <x:v>46260</x:v>
      </x:c>
    </x:row>
    <x:row r="98" ht="319" customHeight="1">
      <x:c r="A98" s="13" t="str">
        <x:v>KPI-31</x:v>
      </x:c>
      <x:c r="B98" s="13" t="str">
        <x:v>[R13]</x:v>
      </x:c>
      <x:c r="C98" s="13" t="str">
        <x:v>Referrals Cancelled/Closed</x:v>
      </x:c>
      <x:c r="D98" s="13" t="str">
        <x:v>Placement filtering</x:v>
      </x:c>
      <x:c r="E98" s="13" t="str">
        <x:v>gold.fact_referral</x:v>
      </x:c>
      <x:c r="F98" s="13" t="str">
        <x:v>Original specification: Closed or Cancelled
Original requirement/measure assessment: Defined in saved model; runtime/UAT pending. Closed or Cancelled Referrals; historical classification: ✅ Covered
Latest saved source reviewed 17 October 2026. Static definition verified; refresh, role/context reconciliation and UAT remain pending.
Full current logic: KPI_LATEST_CALCULATIONS.md#business-closed-or-cancelled-referrals
DAX [Closed or Cancelled Referrals]:
CALCULATE (
[Total Referrals],
FILTER (
'fact_referral',
LOWER ( COALESCE ( 'fact_referral'[current_status], "" ) )
IN { "closed", "cancelled", "withdrawn", "completed" }
)
)
Saved source: project X/reports/WIP/SM WMPP v16 updated WIP/SM_WMPP_v16.SemanticModel/definition/tables/_Measures.tmdl:108
Python/Spark SQL producer/reference spans: 04_gold_model.py:232</x:v>
      </x:c>
      <x:c r="G98" s="13" t="str">
        <x:v>Closed or Cancelled Referrals</x:v>
      </x:c>
      <x:c r="H98" s="13" t="str">
        <x:v>Section 5 - Referral Offers</x:v>
      </x:c>
      <x:c r="I98" s="30" t="n">
        <x:v>46260</x:v>
      </x:c>
    </x:row>
    <x:row r="99" ht="228" customHeight="1">
      <x:c r="A99" s="13" t="str">
        <x:v>KPI-29</x:v>
      </x:c>
      <x:c r="B99" s="13" t="str">
        <x:v>[R24]</x:v>
      </x:c>
      <x:c r="C99" s="13" t="str">
        <x:v>Referrals Currently Active</x:v>
      </x:c>
      <x:c r="D99" s="13" t="str">
        <x:v>Dashboard</x:v>
      </x:c>
      <x:c r="E99" s="13" t="str">
        <x:v>gold.fact_referral</x:v>
      </x:c>
      <x:c r="F99" s="13" t="str">
        <x:v>Original specification: Open or Under Offer
Original requirement/measure assessment: Defined in saved model; runtime/UAT pending. Referrals Currently Active; historical classification: ✅ Covered
Latest saved source reviewed 17 October 2026. Static definition verified; refresh, role/context reconciliation and UAT remain pending.
Full current logic: KPI_LATEST_CALCULATIONS.md#business-referrals-currently-active
DAX [Referrals Currently Active]:
CALCULATE ( [Total Referrals], 'fact_referral'[is_open] = TRUE () )
Saved source: project X/reports/WIP/SM WMPP v16 updated WIP/SM_WMPP_v16.SemanticModel/definition/tables/_Measures.tmdl:103
Python/Spark SQL producer/reference spans: 04_gold_model.py:232</x:v>
      </x:c>
      <x:c r="G99" s="13" t="str">
        <x:v>Referrals Currently Active</x:v>
      </x:c>
      <x:c r="H99" s="13" t="str">
        <x:v>Section 5 - Referral Offers</x:v>
      </x:c>
      <x:c r="I99" s="30" t="n">
        <x:v>46260</x:v>
      </x:c>
    </x:row>
    <x:row r="100" ht="241" customHeight="1">
      <x:c r="A100" s="13" t="str">
        <x:v>KPI-08</x:v>
      </x:c>
      <x:c r="B100" s="13" t="str">
        <x:v>[R24]</x:v>
      </x:c>
      <x:c r="C100" s="13" t="str">
        <x:v>Referrals Not Yet Closed (Created in Period)</x:v>
      </x:c>
      <x:c r="D100" s="13" t="str">
        <x:v>R24 dashboard</x:v>
      </x:c>
      <x:c r="E100" s="13" t="str">
        <x:v>gold.fact_referral</x:v>
      </x:c>
      <x:c r="F100" s="13" t="str">
        <x:v>Original specification: Status not Closed/Cancelled
Original requirement/measure assessment: Defined in saved model; runtime/UAT pending. Referrals Not Yet Closed (Created in Period); historical classification: ✅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KPI_LATEST_CALCULATIONS.md#business-open-referrals
DAX [Open Referrals]:
CALCULATE ( [Total Referrals], 'fact_referral'[is_open] = TRUE () )
Saved source: project X/reports/WIP/SM WMPP v16 updated WIP/SM_WMPP_v16.SemanticModel/definition/tables/_Measures.tmdl:878
Python/Spark SQL producer/reference spans: 04_gold_model.py:232</x:v>
      </x:c>
      <x:c r="G100" s="13" t="str">
        <x:v>Open Referrals</x:v>
      </x:c>
      <x:c r="H100" s="13" t="str">
        <x:v>Section 1 - Referral Volume KPIs</x:v>
      </x:c>
      <x:c r="I100" s="30" t="n">
        <x:v>46260</x:v>
      </x:c>
    </x:row>
    <x:row r="101" ht="306" customHeight="1">
      <x:c r="A101" s="13" t="str">
        <x:v>KPI-24</x:v>
      </x:c>
      <x:c r="B101" s="13" t="str">
        <x:v>[R52]</x:v>
      </x:c>
      <x:c r="C101" s="13" t="str">
        <x:v>Referrals This FY</x:v>
      </x:c>
      <x:c r="D101" s="13" t="str">
        <x:v>Reporting</x:v>
      </x:c>
      <x:c r="E101" s="13" t="str">
        <x:v>gold.dim_date; gold.fact_referral</x:v>
      </x:c>
      <x:c r="F101" s="13" t="str">
        <x:v>Original specification: Created current FY
Original requirement/measure assessment: Defined in saved model; runtime/UAT pending. Referrals Created This Financial Year; historical classification: 🔁 Alias
Latest saved source reviewed 17 October 2026. Static definition verified; refresh, role/context reconciliation and UAT remain pending.
Full current logic: KPI_LATEST_CALCULATIONS.md#business-referrals-created-this-financial-year
DAX [Referrals Created This Financial Year]:
VAR as_of = MAX ( 'fact_referral'[as_of_date] )
VAR year_start = DATE ( YEAR ( as_of ) - IF ( MONTH ( as_of ) &lt; 4, 1, 0 ), 4, 1 )
RETURN IF ( NOT ISBLANK ( as_of ), CALCULATE ( [Total Referrals], DATESBETWEEN ( 'dim_date'[date], year_start, as_of ) ) )
Saved source: project X/reports/WIP/SM WMPP v16 updated WIP/SM_WMPP_v16.SemanticModel/definition/tables/_Measures.tmdl:1023
Python/Spark SQL producer/reference spans: 04_gold_model.py:232; 05_gold_dimensions.py:128</x:v>
      </x:c>
      <x:c r="G101" s="13" t="str">
        <x:v>Referrals Created This Financial Year</x:v>
      </x:c>
      <x:c r="H101" s="13" t="str">
        <x:v>Section 3 - Timebased</x:v>
      </x:c>
      <x:c r="I101" s="30" t="n">
        <x:v>46260</x:v>
      </x:c>
    </x:row>
    <x:row r="102" ht="267" customHeight="1">
      <x:c r="A102" s="13" t="str">
        <x:v>KPI-23</x:v>
      </x:c>
      <x:c r="B102" s="13" t="str">
        <x:v>[R24,R52]</x:v>
      </x:c>
      <x:c r="C102" s="13" t="str">
        <x:v>Referrals This Month</x:v>
      </x:c>
      <x:c r="D102" s="13" t="str">
        <x:v>Dashboard; reporting</x:v>
      </x:c>
      <x:c r="E102" s="13" t="str">
        <x:v>gold.dim_date; gold.fact_referral</x:v>
      </x:c>
      <x:c r="F102" s="13" t="str">
        <x:v>Original specification: Created current month
Original requirement/measure assessment: Defined in saved model; runtime/UAT pending. Referrals Created This Month; historical classification: 🔁 Alias
Latest saved source reviewed 17 October 2026. Static definition verified; refresh, role/context reconciliation and UAT remain pending.
Full current logic: KPI_LATEST_CALCULATIONS.md#business-referrals-created-this-month
DAX [Referrals Created This Month]:
VAR as_of = MAX ( 'fact_referral'[as_of_date] )
RETURN IF ( NOT ISBLANK ( as_of ), CALCULATE ( [Total Referrals], DATESBETWEEN ( 'dim_date'[date], DATE ( YEAR ( as_of ), MONTH ( as_of ), 1 ), as_of ) ) )
Saved source: project X/reports/WIP/SM WMPP v16 updated WIP/SM_WMPP_v16.SemanticModel/definition/tables/_Measures.tmdl:1004
Python/Spark SQL producer/reference spans: 04_gold_model.py:232; 05_gold_dimensions.py:128</x:v>
      </x:c>
      <x:c r="G102" s="13" t="str">
        <x:v>Referrals Created This Month</x:v>
      </x:c>
      <x:c r="H102" s="13" t="str">
        <x:v>Section 3 - Timebased</x:v>
      </x:c>
      <x:c r="I102" s="30" t="n">
        <x:v>46260</x:v>
      </x:c>
    </x:row>
    <x:row r="103" ht="228" customHeight="1">
      <x:c r="A103" s="13" t="str">
        <x:v>KPI-02</x:v>
      </x:c>
      <x:c r="B103" s="13" t="str">
        <x:v>[R24,R36]</x:v>
      </x:c>
      <x:c r="C103" s="13" t="str">
        <x:v>Referrals With Offers</x:v>
      </x:c>
      <x:c r="D103" s="13" t="str">
        <x:v>R24 referral status; R36 outstanding offers</x:v>
      </x:c>
      <x:c r="E103" s="13" t="str">
        <x:v>gold.fact_referral</x:v>
      </x:c>
      <x:c r="F103" s="13" t="str">
        <x:v>Original specification: COUNT DISTINCT referrals with valid offers
Original requirement/measure assessment: Defined in saved model; runtime/UAT pending. Referrals With an Offer; historical classification: ✅ Covered
Latest saved source reviewed 17 October 2026. Static definition verified; refresh, role/context reconciliation and UAT remain pending.
Full current logic: KPI_LATEST_CALCULATIONS.md#business-referrals-with-an-offer
DAX [Referrals With an Offer]:
CALCULATE ( [Total Referrals], 'fact_referral'[has_offer] = TRUE () )
Saved source: project X/reports/WIP/SM WMPP v16 updated WIP/SM_WMPP_v16.SemanticModel/definition/tables/_Measures.tmdl:900
Python/Spark SQL producer/reference spans: 04_gold_model.py:232</x:v>
      </x:c>
      <x:c r="G103" s="13" t="str">
        <x:v>Referrals With an Offer</x:v>
      </x:c>
      <x:c r="H103" s="13" t="str">
        <x:v>Section 1 - Referral Volume KPIs</x:v>
      </x:c>
      <x:c r="I103" s="30" t="n">
        <x:v>46260</x:v>
      </x:c>
    </x:row>
    <x:row r="104" ht="254" customHeight="1">
      <x:c r="A104" s="13" t="str">
        <x:v>KPI-09</x:v>
      </x:c>
      <x:c r="B104" s="13" t="str">
        <x:v>[R24,R51]</x:v>
      </x:c>
      <x:c r="C104" s="13" t="str">
        <x:v>Referrals With Offers (Created in Period)</x:v>
      </x:c>
      <x:c r="D104" s="13" t="str">
        <x:v>R24 dashboard; R51 reporting</x:v>
      </x:c>
      <x:c r="E104" s="13" t="str">
        <x:v>gold.fact_referral</x:v>
      </x:c>
      <x:c r="F104" s="13" t="str">
        <x:v>Original specification: KPI-02 filtered by created period
Original requirement/measure assessment: Defined in saved model; runtime/UAT pending. Referrals With Offers (Created in Period); historical classification: ✅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KPI_LATEST_CALCULATIONS.md#business-referrals-with-an-offer
DAX [Referrals With an Offer]:
CALCULATE ( [Total Referrals], 'fact_referral'[has_offer] = TRUE () )
Saved source: project X/reports/WIP/SM WMPP v16 updated WIP/SM_WMPP_v16.SemanticModel/definition/tables/_Measures.tmdl:900
Python/Spark SQL producer/reference spans: 04_gold_model.py:232</x:v>
      </x:c>
      <x:c r="G104" s="13" t="str">
        <x:v>Referrals With an Offer</x:v>
      </x:c>
      <x:c r="H104" s="13" t="str">
        <x:v>Section 1 - Referral Volume KPIs</x:v>
      </x:c>
      <x:c r="I104" s="30" t="n">
        <x:v>46260</x:v>
      </x:c>
    </x:row>
    <x:row r="105" ht="228" customHeight="1">
      <x:c r="A105" s="13" t="str">
        <x:v>KPI-33</x:v>
      </x:c>
      <x:c r="B105" s="13" t="str">
        <x:v>[R24]</x:v>
      </x:c>
      <x:c r="C105" s="13" t="str">
        <x:v>Referrals With One or More Offers</x:v>
      </x:c>
      <x:c r="D105" s="13" t="str">
        <x:v>Dashboard</x:v>
      </x:c>
      <x:c r="E105" s="13" t="str">
        <x:v>gold.fact_referral</x:v>
      </x:c>
      <x:c r="F105" s="13" t="str">
        <x:v>Original specification: Referrals with valid offers
Original requirement/measure assessment: Defined in saved model; runtime/UAT pending. Referrals With an Offer; historical classification: 🔁 Alias
Latest saved source reviewed 17 October 2026. Static definition verified; refresh, role/context reconciliation and UAT remain pending.
Full current logic: KPI_LATEST_CALCULATIONS.md#business-referrals-with-an-offer
DAX [Referrals With an Offer]:
CALCULATE ( [Total Referrals], 'fact_referral'[has_offer] = TRUE () )
Saved source: project X/reports/WIP/SM WMPP v16 updated WIP/SM_WMPP_v16.SemanticModel/definition/tables/_Measures.tmdl:900
Python/Spark SQL producer/reference spans: 04_gold_model.py:232</x:v>
      </x:c>
      <x:c r="G105" s="13" t="str">
        <x:v>Referrals With an Offer</x:v>
      </x:c>
      <x:c r="H105" s="13" t="str">
        <x:v>Section 5 - Referral Offers</x:v>
      </x:c>
      <x:c r="I105" s="30" t="n">
        <x:v>46260</x:v>
      </x:c>
    </x:row>
    <x:row r="106" ht="241" customHeight="1">
      <x:c r="A106" s="13" t="str">
        <x:v>KPI-49</x:v>
      </x:c>
      <x:c r="B106" s="13" t="str">
        <x:v>[R96]    </x:v>
      </x:c>
      <x:c r="C106" s="13" t="str">
        <x:v>Residential Homes                  </x:v>
      </x:c>
      <x:c r="D106" s="13" t="str">
        <x:v>Residential framework     </x:v>
      </x:c>
      <x:c r="E106" s="13" t="str">
        <x:v>gold.dim_provider; gold.dim_provider_home</x:v>
      </x:c>
      <x:c r="F106" s="13" t="str">
        <x:v>Original specification: Residential homes
Original requirement/measure assessment: Defined in saved model; runtime/UAT pending. Residential Homes; historical classification: ✅ Covered
Latest saved source reviewed 17 October 2026. Static definition verified; refresh, role/context reconciliation and UAT remain pending.
Full current logic: KPI_LATEST_CALCULATIONS.md#business-residential-homes
DAX [Residential Homes]:
CALCULATE ( [Provider Homes Registered], 'dim_provider_home'[service_type] = "Residential" )
Saved source: project X/reports/WIP/SM WMPP v16 updated WIP/SM_WMPP_v16.SemanticModel/definition/tables/_Measures.tmdl:257
Python/Spark SQL producer/reference spans: 05_gold_dimensions.py:163; 05_gold_dimensions.py:155</x:v>
      </x:c>
      <x:c r="G106" s="13" t="str">
        <x:v>Residential Homes</x:v>
      </x:c>
      <x:c r="H106" s="13" t="str">
        <x:v>Section 6 - Provider Registry</x:v>
      </x:c>
      <x:c r="I106" s="30" t="n">
        <x:v>46260</x:v>
      </x:c>
    </x:row>
    <x:row r="107" ht="371" customHeight="1">
      <x:c r="A107" s="13" t="str">
        <x:v>KPI-27</x:v>
      </x:c>
      <x:c r="B107" s="13" t="str">
        <x:v>[R18]</x:v>
      </x:c>
      <x:c r="C107" s="13" t="str">
        <x:v>Spot Offers (Under Offer Referrals)</x:v>
      </x:c>
      <x:c r="D107" s="13" t="str">
        <x:v>Emergency placement reporting</x:v>
      </x:c>
      <x:c r="E107" s="13" t="str">
        <x:v>gold.dim_provider_home; gold.fact_offer; gold.fact_referral</x:v>
      </x:c>
      <x:c r="F107" s="13" t="str">
        <x:v>Original specification: Spot offers only
Original requirement/measure assessment: Defined in saved model; runtime/UAT pending. Spot Offers on Referrals Under Offer; spot is not emergency; historical classification: Covered
Latest saved source reviewed 17 October 2026. Static definition verified; refresh, role/context reconciliation and UAT remain pending.
Full current logic: KPI_LATEST_CALCULATIONS.md#business-spot-offers-on-referrals-under-offer
DAX [Spot Offers on Referrals Under Offer]:
VAR homes =
CALCULATETABLE (
VALUES ( 'dim_provider_home'[provider_home_id] ),
KEEPFILTERS ( 'dim_provider_home'[is_spot] == TRUE () )
)
RETURN
CALCULATE (
[Offers on Referrals Under Offer],
KEEPFILTERS ( TREATAS ( homes, 'fact_offer'[provider_home_id] ) )
)
Saved source: project X/reports/WIP/SM WMPP v16 updated WIP/SM_WMPP_v16.SemanticModel/definition/tables/_Measures.tmdl:1350
Python/Spark SQL producer/reference spans: 04_gold_model.py:232; 05_gold_dimensions.py:163; 04_gold_model.py:712</x:v>
      </x:c>
      <x:c r="G107" s="13" t="str">
        <x:v>Spot Offers on Referrals Under Offer</x:v>
      </x:c>
      <x:c r="H107" s="13" t="str">
        <x:v>Section 4 - Spot vs Framework</x:v>
      </x:c>
      <x:c r="I107" s="30" t="n">
        <x:v>46260</x:v>
      </x:c>
    </x:row>
    <x:row r="108" ht="358" customHeight="1">
      <x:c r="A108" s="13" t="str">
        <x:v>KPI-15</x:v>
      </x:c>
      <x:c r="B108" s="13" t="str">
        <x:v>[R28]</x:v>
      </x:c>
      <x:c r="C108" s="13" t="str">
        <x:v>Successful Offers (Under Offer Referrals)</x:v>
      </x:c>
      <x:c r="D108" s="13" t="str">
        <x:v>R28 accept placements</x:v>
      </x:c>
      <x:c r="E108" s="13" t="str">
        <x:v>gold.fact_offer; gold.fact_referral</x:v>
      </x:c>
      <x:c r="F108" s="13" t="str">
        <x:v>Original specification: Accepted offers
Original requirement/measure assessment: Defined in saved model; runtime/UAT pending. Successful Offers on Referrals Under Offer; historical classification: ✅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KPI_LATEST_CALCULATIONS.md#business-successful-offers-on-referrals-under-offer
DAX [Successful Offers on Referrals Under Offer]:
CALCULATE (
[Accepted Offers],
FILTER (
'fact_referral',
'fact_referral'[is_open] = TRUE () &amp;&amp; 'fact_referral'[current_status] = "UNDER_OFFER"
)
)
Saved source: project X/reports/WIP/SM WMPP v16 updated WIP/SM_WMPP_v16.SemanticModel/definition/tables/_Measures.tmdl:34
Python/Spark SQL producer/reference spans: 04_gold_model.py:232; 04_gold_model.py:712</x:v>
      </x:c>
      <x:c r="G108" s="13" t="str">
        <x:v>Successful Offers on Referrals Under Offer</x:v>
      </x:c>
      <x:c r="H108" s="13" t="str">
        <x:v>Section 2 - Provider Activity</x:v>
      </x:c>
      <x:c r="I108" s="30" t="n">
        <x:v>46260</x:v>
      </x:c>
    </x:row>
    <x:row r="109" ht="293" customHeight="1">
      <x:c r="A109" s="13" t="str">
        <x:v>KPI-86</x:v>
      </x:c>
      <x:c r="B109" s="13" t="str">
        <x:v>[R35]    </x:v>
      </x:c>
      <x:c r="C109" s="13" t="str">
        <x:v>Successful Offers to IPA Completed %</x:v>
      </x:c>
      <x:c r="D109" s="13" t="str">
        <x:v>R35 (digitised IPA)                         </x:v>
      </x:c>
      <x:c r="E109" s="13" t="str">
        <x:v>gold.fact_ipa; gold.fact_offer</x:v>
      </x:c>
      <x:c r="F109" s="13" t="str">
        <x:v>Original specification: `COUNT(DISTINCT completed_ipa) / COUNT(DISTINCT accepted_offers) * 100`
Original requirement/measure assessment: Defined in saved model; runtime/UAT pending. Successful Offers to IPA Completed %; completed IPAs / accepted offers; historical classification: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KPI_LATEST_CALCULATIONS.md#business-successful-offers-to-ipa-completed-percent
DAX [Successful Offers to IPA Completed %]:
DIVIDE ( [IPA Completed], [Accepted Offers] )
Saved source: project X/reports/WIP/SM WMPP v16 updated WIP/SM_WMPP_v16.SemanticModel/definition/tables/_Measures.tmdl:459
Python/Spark SQL producer/reference spans: 04_gold_model.py:817; 04_gold_model.py:712</x:v>
      </x:c>
      <x:c r="G109" s="13" t="str">
        <x:v>Successful Offers to IPA Completed %</x:v>
      </x:c>
      <x:c r="H109" s="13" t="str">
        <x:v>Section 8 - IPA Measures</x:v>
      </x:c>
      <x:c r="I109" s="30" t="n">
        <x:v>46260</x:v>
      </x:c>
    </x:row>
    <x:row r="110" ht="280" customHeight="1">
      <x:c r="A110" s="13" t="str">
        <x:v>KPI-50</x:v>
      </x:c>
      <x:c r="B110" s="13" t="str">
        <x:v>[R91]    </x:v>
      </x:c>
      <x:c r="C110" s="13" t="str">
        <x:v>Supported Accommodation Homes      </x:v>
      </x:c>
      <x:c r="D110" s="13" t="str">
        <x:v>Registration              </x:v>
      </x:c>
      <x:c r="E110" s="13" t="str">
        <x:v>gold.dim_provider; gold.dim_provider_home</x:v>
      </x:c>
      <x:c r="F110" s="13" t="str">
        <x:v>Original specification: Supported homes
Original requirement/measure assessment: Defined in saved model; runtime/UAT pending. Supported Accommodation Homes; historical classification: ✅ Covered
Latest saved source reviewed 17 October 2026. Static definition verified; refresh, role/context reconciliation and UAT remain pending.
Full current logic: KPI_LATEST_CALCULATIONS.md#business-supported-accommodation-homes
DAX [Supported Accommodation Homes]:
CALCULATE (
[Provider Homes Registered],
'dim_provider_home'[service_type] = "Supported Accommodation"
)
Saved source: project X/reports/WIP/SM WMPP v16 updated WIP/SM_WMPP_v16.SemanticModel/definition/tables/_Measures.tmdl:262
Python/Spark SQL producer/reference spans: 05_gold_dimensions.py:163; 05_gold_dimensions.py:155</x:v>
      </x:c>
      <x:c r="G110" s="13" t="str">
        <x:v>Supported Accommodation Homes</x:v>
      </x:c>
      <x:c r="H110" s="13" t="str">
        <x:v>Section 6 - Provider Registry</x:v>
      </x:c>
      <x:c r="I110" s="30" t="n">
        <x:v>46260</x:v>
      </x:c>
    </x:row>
    <x:row r="111" ht="267" customHeight="1">
      <x:c r="A111" s="13" t="str">
        <x:v>KPI-07</x:v>
      </x:c>
      <x:c r="B111" s="13" t="str">
        <x:v>[R51]</x:v>
      </x:c>
      <x:c r="C111" s="13" t="str">
        <x:v>Total Gendered Referrals</x:v>
      </x:c>
      <x:c r="D111" s="13" t="str">
        <x:v>R51 demographic monitoring</x:v>
      </x:c>
      <x:c r="E111" s="13" t="str">
        <x:v>gold.dim_person; gold.fact_referral</x:v>
      </x:c>
      <x:c r="F111" s="13" t="str">
        <x:v>Original specification: Sum of gender counts
Original requirement/measure assessment: Defined in saved model; runtime/UAT pending. Total Gendered Referrals; historical classification: ✅ Covered
Latest saved source reviewed 17 October 2026. Static definition verified; refresh, role/context reconciliation and UAT remain pending.
Full current logic: KPI_LATEST_CALCULATIONS.md#business-total-gendered-referrals
DAX [Total Gendered Referrals]:
CALCULATE ( [Total Referrals], KEEPFILTERS ( FILTER ( 'dim_person', NOT ISBLANK ( 'dim_person'[gender_clean] ) &amp;&amp; 'dim_person'[gender_clean] &lt;&gt; "Unknown" ) ) )
Saved source: project X/reports/WIP/SM WMPP v16 updated WIP/SM_WMPP_v16.SemanticModel/definition/tables/_Measures.tmdl:84
Python/Spark SQL producer/reference spans: 05_gold_dimensions.py:194; 04_gold_model.py:232</x:v>
      </x:c>
      <x:c r="G111" s="13" t="str">
        <x:v>Total Gendered Referrals</x:v>
      </x:c>
      <x:c r="H111" s="13" t="str">
        <x:v>Section 1 - Referral Volume KPIs</x:v>
      </x:c>
      <x:c r="I111" s="30" t="n">
        <x:v>46260</x:v>
      </x:c>
    </x:row>
    <x:row r="112" ht="267" customHeight="1">
      <x:c r="A112" s="13" t="str">
        <x:v>KPI-25</x:v>
      </x:c>
      <x:c r="B112" s="13" t="str">
        <x:v>[R67,R68]</x:v>
      </x:c>
      <x:c r="C112" s="13" t="str">
        <x:v>Total Offers Made</x:v>
      </x:c>
      <x:c r="D112" s="13" t="str">
        <x:v>Framework management</x:v>
      </x:c>
      <x:c r="E112" s="13" t="str">
        <x:v>gold.fact_offer</x:v>
      </x:c>
      <x:c r="F112" s="13" t="str">
        <x:v>Original specification: Non-draft offers
Original requirement/measure assessment: Defined in saved model; runtime/UAT pending. Non-Draft Offers; historical classification: Alias
Latest saved source reviewed 17 October 2026. Static definition verified; refresh, role/context reconciliation and UAT remain pending.
Full current logic: KPI_LATEST_CALCULATIONS.md#business-non-draft-offers
DAX [Non-Draft Offers]:
CALCULATE (
[Offers Submitted],
KEEPFILTERS ( FILTER ( 'fact_offer', NOT ISBLANK ( 'fact_offer'[offer_status] ) &amp;&amp; LOWER ( 'fact_offer'[offer_status] ) &lt;&gt; "draft" ) )
)
Saved source: project X/reports/WIP/SM WMPP v16 updated WIP/SM_WMPP_v16.SemanticModel/definition/tables/_Measures.tmdl:1051
Python/Spark SQL producer/reference spans: 04_gold_model.py:712</x:v>
      </x:c>
      <x:c r="G112" s="13" t="str">
        <x:v>Non-Draft Offers</x:v>
      </x:c>
      <x:c r="H112" s="13" t="str">
        <x:v>Section 4 - Spot vs Framework</x:v>
      </x:c>
      <x:c r="I112" s="30" t="n">
        <x:v>46260</x:v>
      </x:c>
    </x:row>
    <x:row r="113" ht="332" customHeight="1">
      <x:c r="A113" s="13" t="str">
        <x:v>KPI-35</x:v>
      </x:c>
      <x:c r="B113" s="13" t="str">
        <x:v>[R25-R29]</x:v>
      </x:c>
      <x:c r="C113" s="13" t="str">
        <x:v>Total Offers Made (Active Referrals Under Offer)</x:v>
      </x:c>
      <x:c r="D113" s="13" t="str">
        <x:v>Provider offer management</x:v>
      </x:c>
      <x:c r="E113" s="13" t="str">
        <x:v>gold.fact_offer; gold.fact_referral</x:v>
      </x:c>
      <x:c r="F113" s="13" t="str">
        <x:v>Original specification: Non-draft offers
Original requirement/measure assessment: Defined in saved model; runtime/UAT pending. Offers on Referrals Under Offer; historical classification: ✅ Covered
Latest saved source reviewed 17 October 2026. Static definition verified; refresh, role/context reconciliation and UAT remain pending.
Full current logic: KPI_LATEST_CALCULATIONS.md#business-offers-on-referrals-under-offer
DAX [Offers on Referrals Under Offer]:
CALCULATE (
[Non-Draft Offers],
FILTER (
'fact_referral',
'fact_referral'[is_open] = TRUE () &amp;&amp; 'fact_referral'[current_status] = "UNDER_OFFER"
)
)
Saved source: project X/reports/WIP/SM WMPP v16 updated WIP/SM_WMPP_v16.SemanticModel/definition/tables/_Measures.tmdl:1111
Python/Spark SQL producer/reference spans: 04_gold_model.py:232; 04_gold_model.py:712</x:v>
      </x:c>
      <x:c r="G113" s="13" t="str">
        <x:v>Offers on Referrals Under Offer</x:v>
      </x:c>
      <x:c r="H113" s="13" t="str">
        <x:v>Section 5 - Referral Offers</x:v>
      </x:c>
      <x:c r="I113" s="30" t="n">
        <x:v>46260</x:v>
      </x:c>
    </x:row>
    <x:row r="114" ht="267" customHeight="1">
      <x:c r="A114" s="13" t="str">
        <x:v>KPI-12</x:v>
      </x:c>
      <x:c r="B114" s="13" t="str">
        <x:v>[R25-R29]</x:v>
      </x:c>
      <x:c r="C114" s="13" t="str">
        <x:v>Total Offers Made Historically</x:v>
      </x:c>
      <x:c r="D114" s="13" t="str">
        <x:v>Provider offer management</x:v>
      </x:c>
      <x:c r="E114" s="13" t="str">
        <x:v>gold.fact_offer</x:v>
      </x:c>
      <x:c r="F114" s="13" t="str">
        <x:v>Original specification: Distinct offers excluding Draft
Original requirement/measure assessment: Defined in saved model; runtime/UAT pending. Non-Draft Offers; historical classification: Alias
Latest saved source reviewed 17 October 2026. Static definition verified; refresh, role/context reconciliation and UAT remain pending.
Full current logic: KPI_LATEST_CALCULATIONS.md#business-non-draft-offers
DAX [Non-Draft Offers]:
CALCULATE (
[Offers Submitted],
KEEPFILTERS ( FILTER ( 'fact_offer', NOT ISBLANK ( 'fact_offer'[offer_status] ) &amp;&amp; LOWER ( 'fact_offer'[offer_status] ) &lt;&gt; "draft" ) )
)
Saved source: project X/reports/WIP/SM WMPP v16 updated WIP/SM_WMPP_v16.SemanticModel/definition/tables/_Measures.tmdl:1051
Python/Spark SQL producer/reference spans: 04_gold_model.py:712</x:v>
      </x:c>
      <x:c r="G114" s="13" t="str">
        <x:v>Non-Draft Offers</x:v>
      </x:c>
      <x:c r="H114" s="13" t="str">
        <x:v>Section 2 - Provider Activity</x:v>
      </x:c>
      <x:c r="I114" s="30" t="n">
        <x:v>46260</x:v>
      </x:c>
    </x:row>
    <x:row r="115" ht="215" customHeight="1">
      <x:c r="A115" s="13" t="str">
        <x:v>KPI-01</x:v>
      </x:c>
      <x:c r="B115" s="13" t="str">
        <x:v>[R24,R51]</x:v>
      </x:c>
      <x:c r="C115" s="13" t="str">
        <x:v>Total Referrals</x:v>
      </x:c>
      <x:c r="D115" s="13" t="str">
        <x:v>R24 dashboard referral status overview; R51 robust data model</x:v>
      </x:c>
      <x:c r="E115" s="13" t="str">
        <x:v>gold.fact_referral</x:v>
      </x:c>
      <x:c r="F115" s="13" t="str">
        <x:v>Original specification: COUNT(DISTINCT referral_id) WHERE status IS NOT NULL
Original requirement/measure assessment: Defined in saved model; runtime/UAT pending. Total Referrals; historical classification: ✅ Covered
Latest saved source reviewed 17 October 2026. Static definition verified; refresh, role/context reconciliation and UAT remain pending.
Full current logic: KPI_LATEST_CALCULATIONS.md#business-total-referrals
DAX [Total Referrals]:
DISTINCTCOUNT ( 'fact_referral'[referral_id] )
Saved source: project X/reports/WIP/SM WMPP v16 updated WIP/SM_WMPP_v16.SemanticModel/definition/tables/_Measures.tmdl:4
Python/Spark SQL producer/reference spans: 04_gold_model.py:232</x:v>
      </x:c>
      <x:c r="G115" s="13" t="str">
        <x:v>Total Referrals</x:v>
      </x:c>
      <x:c r="H115" s="13" t="str">
        <x:v>Section 1 - Referral Volume KPIs</x:v>
      </x:c>
      <x:c r="I115" s="30" t="n">
        <x:v>46260</x:v>
      </x:c>
    </x:row>
    <x:row r="116" ht="150" customHeight="1">
      <x:c r="A116" s="13" t="str">
        <x:v>KPI-10</x:v>
      </x:c>
      <x:c r="B116" s="13" t="str">
        <x:v>[R51]</x:v>
      </x:c>
      <x:c r="C116" s="13" t="str">
        <x:v>Total Referrals That Received Offers</x:v>
      </x:c>
      <x:c r="D116" s="13" t="str">
        <x:v>R51 referral offer rate</x:v>
      </x:c>
      <x:c r="E116" s="13" t="str">
        <x:v>No physical source asserted; see current assessment.</x:v>
      </x:c>
      <x:c r="F116" s="13" t="str">
        <x:v>Original specification: Referrals having valid offer
Original requirement/measure assessment: No current standalone implementation verified. Total Referrals That Received Offers; historical classification: Covered The current suffixed Ratio measure returns a proportion with a zero fallback, not the original count; it is not silently substituted.
Latest saved source reviewed 17 October 2026. Static definition verified; refresh, role/context reconciliation and UAT remain pending.
No exact current named measure verified. The original missing/retired/proxy disposition remains explicit; no replacement logic is invented.</x:v>
      </x:c>
      <x:c r="G116" s="13" t="str">
        <x:v>Not implemented / retired; see Calculation</x:v>
      </x:c>
      <x:c r="H116" s="13" t="str">
        <x:v>Section 1 - Referral Volume KPIs</x:v>
      </x:c>
      <x:c r="I116" s="30" t="n">
        <x:v>46260</x:v>
      </x:c>
    </x:row>
    <x:row r="117" ht="319" customHeight="1">
      <x:c r="A117" s="13" t="str">
        <x:v>KPI-107</x:v>
      </x:c>
      <x:c r="B117" s="13" t="str">
        <x:v>[R62]    </x:v>
      </x:c>
      <x:c r="C117" s="13" t="str">
        <x:v>Total Weekly Fee Liability               </x:v>
      </x:c>
      <x:c r="D117" s="13" t="str">
        <x:v>R62 finance payment reporting                               </x:v>
      </x:c>
      <x:c r="E117" s="13" t="str">
        <x:v>gold.fact_ipa</x:v>
      </x:c>
      <x:c r="F117" s="16" t="str">
        <x:v>Original specification: `SUM(costs_total_weekly_fee) WHERE signed_by_local_authority = true AND signed_by_provider = true AND closed = false`
Original requirement/measure assessment: Defined in saved model; runtime/UAT pending. Estimated Active Weekly Cost — estimate, not signed-only actuals; historical classification: ⚠️ Proxy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KPI_LATEST_CALCULATIONS.md#business-estimated-active-weekly-cost
DAX [Estimated Active Weekly Cost]:
CALCULATE (
SUM ( 'fact_ipa'[estimated_weekly_cost] ),
'fact_ipa'[is_placement_closed] = FALSE ()
)
Saved source: project X/reports/WIP/SM WMPP v16 updated WIP/SM_WMPP_v16.SemanticModel/definition/tables/_Measures.tmdl:862
Python/Spark SQL producer/reference spans: 04_gold_model.py:817</x:v>
      </x:c>
      <x:c r="G117" s="13" t="str">
        <x:v>Estimated Active Weekly Cost</x:v>
      </x:c>
      <x:c r="H117" s="18" t="str">
        <x:v>Section 10 - Outstanding Measures</x:v>
      </x:c>
      <x:c r="I117" s="31" t="n">
        <x:v>46260</x:v>
      </x:c>
    </x:row>
    <x:row r="118" ht="358" customHeight="1">
      <x:c r="A118" s="13" t="str">
        <x:v>KPI-16</x:v>
      </x:c>
      <x:c r="B118" s="13" t="str">
        <x:v>[R28]</x:v>
      </x:c>
      <x:c r="C118" s="13" t="str">
        <x:v>Unsuccessful Offers (Under Offer Referrals)</x:v>
      </x:c>
      <x:c r="D118" s="13" t="str">
        <x:v>R28 reject placements</x:v>
      </x:c>
      <x:c r="E118" s="13" t="str">
        <x:v>gold.fact_offer; gold.fact_referral</x:v>
      </x:c>
      <x:c r="F118" s="13" t="str">
        <x:v>Original specification: Declined/Rejected/Withdrawn offers
Original requirement/measure assessment: Defined in saved model; runtime/UAT pending. Unsuccessful Offers on Referrals Under Offer; historical classification: Covered Compare population, grain and filters with the original specification; a named alternative does not establish semantic equivalence.
Latest saved source reviewed 17 October 2026. Static definition verified; refresh, role/context reconciliation and UAT remain pending.
Full current logic: KPI_LATEST_CALCULATIONS.md#business-unsuccessful-offers-on-referrals-under-offer
DAX [Unsuccessful Offers on Referrals Under Offer]:
CALCULATE (
[Unsuccessful Offers],
FILTER (
'fact_referral',
'fact_referral'[is_open] = TRUE () &amp;&amp; 'fact_referral'[current_status] = "UNDER_OFFER"
)
)
Saved source: project X/reports/WIP/SM WMPP v16 updated WIP/SM_WMPP_v16.SemanticModel/definition/tables/_Measures.tmdl:1067
Python/Spark SQL producer/reference spans: 04_gold_model.py:232; 04_gold_model.py:712</x:v>
      </x:c>
      <x:c r="G118" s="13" t="str">
        <x:v>Unsuccessful Offers on Referrals Under Offer</x:v>
      </x:c>
      <x:c r="H118" s="13" t="str">
        <x:v>Section 2 - Provider Activity</x:v>
      </x:c>
      <x:c r="I118" s="30" t="n">
        <x:v>46260</x:v>
      </x:c>
    </x:row>
    <x:row r="119" ht="215" hidden="0" customHeight="1">
      <x:c r="A119" s="13" t="str">
        <x:v>GOLD-KPI-110</x:v>
      </x:c>
      <x:c r="B119" s="13" t="str">
        <x:v>[R51]</x:v>
      </x:c>
      <x:c r="C119" s="13" t="str">
        <x:v>Male Referrals</x:v>
      </x:c>
      <x:c r="D119" s="13" t="str">
        <x:v>Proposed requirement association; owner approval pending.
R51: Robust data model: placement records, market intelligence, value analysis</x:v>
      </x:c>
      <x:c r="E119" s="13" t="str">
        <x:v>gold.dim_person; gold.fact_referral</x:v>
      </x:c>
      <x:c r="F119" s="13" t="str">
        <x:v>Existing catalogue entry. Gender-based referral analysis; reconcile unknowns and validate access controls.
Latest saved source reviewed 17 October 2026. Static definition verified; refresh, role/context reconciliation and UAT remain pending.
Full current logic: KPI_LATEST_CALCULATIONS.md#business-male-referrals
DAX [Male Referrals]:
CALCULATE ( [Total Referrals], 'dim_person'[gender_clean] = "Male" )
Saved source: project X/reports/WIP/SM WMPP v16 updated WIP/SM_WMPP_v16.SemanticModel/definition/tables/_Measures.tmdl:69
Python/Spark SQL producer/reference spans: 05_gold_dimensions.py:194; 04_gold_model.py:232</x:v>
      </x:c>
      <x:c r="G119" s="13" t="str">
        <x:v>Male Referrals</x:v>
      </x:c>
      <x:c r="H119" s="13" t="str">
        <x:v>Section 9 - Other Measures</x:v>
      </x:c>
      <x:c r="I119" s="30" t="n">
        <x:v>46295</x:v>
      </x:c>
    </x:row>
    <x:row r="120" ht="215" hidden="0" customHeight="1">
      <x:c r="A120" s="13" t="str">
        <x:v>GOLD-KPI-111</x:v>
      </x:c>
      <x:c r="B120" s="13" t="str">
        <x:v>[R51]</x:v>
      </x:c>
      <x:c r="C120" s="13" t="str">
        <x:v>Female Referrals</x:v>
      </x:c>
      <x:c r="D120" s="13" t="str">
        <x:v>Proposed requirement association; owner approval pending.
R51: Robust data model: placement records, market intelligence, value analysis</x:v>
      </x:c>
      <x:c r="E120" s="13" t="str">
        <x:v>gold.dim_person; gold.fact_referral</x:v>
      </x:c>
      <x:c r="F120" s="13" t="str">
        <x:v>Existing catalogue entry. Gender-based referral analysis; reconcile unknowns and validate access controls.
Latest saved source reviewed 17 October 2026. Static definition verified; refresh, role/context reconciliation and UAT remain pending.
Full current logic: KPI_LATEST_CALCULATIONS.md#business-female-referrals
DAX [Female Referrals]:
CALCULATE ( [Total Referrals], 'dim_person'[gender_clean] = "Female" )
Saved source: project X/reports/WIP/SM WMPP v16 updated WIP/SM_WMPP_v16.SemanticModel/definition/tables/_Measures.tmdl:74
Python/Spark SQL producer/reference spans: 05_gold_dimensions.py:194; 04_gold_model.py:232</x:v>
      </x:c>
      <x:c r="G120" s="13" t="str">
        <x:v>Female Referrals</x:v>
      </x:c>
      <x:c r="H120" s="13" t="str">
        <x:v>Section 9 - Other Measures</x:v>
      </x:c>
      <x:c r="I120" s="30" t="n">
        <x:v>46295</x:v>
      </x:c>
    </x:row>
    <x:row r="121" ht="215" hidden="0" customHeight="1">
      <x:c r="A121" s="13" t="str">
        <x:v>GOLD-KPI-112</x:v>
      </x:c>
      <x:c r="B121" s="13" t="str">
        <x:v>[R51]</x:v>
      </x:c>
      <x:c r="C121" s="13" t="str">
        <x:v>Other Gender Referrals</x:v>
      </x:c>
      <x:c r="D121" s="13" t="str">
        <x:v>Proposed requirement association; owner approval pending.
R51: Robust data model: placement records, market intelligence, value analysis</x:v>
      </x:c>
      <x:c r="E121" s="13" t="str">
        <x:v>gold.dim_person; gold.fact_referral</x:v>
      </x:c>
      <x:c r="F121" s="13" t="str">
        <x:v>Existing catalogue entry. Gender-based referral analysis; reconcile unknowns and validate access controls.
Latest saved source reviewed 17 October 2026. Static definition verified; refresh, role/context reconciliation and UAT remain pending.
Full current logic: KPI_LATEST_CALCULATIONS.md#business-other-gender-referrals
DAX [Other Gender Referrals]:
CALCULATE ( [Total Referrals], 'dim_person'[gender_clean] = "Other" )
Saved source: project X/reports/WIP/SM WMPP v16 updated WIP/SM_WMPP_v16.SemanticModel/definition/tables/_Measures.tmdl:79
Python/Spark SQL producer/reference spans: 05_gold_dimensions.py:194; 04_gold_model.py:232</x:v>
      </x:c>
      <x:c r="G121" s="13" t="str">
        <x:v>Other Gender Referrals</x:v>
      </x:c>
      <x:c r="H121" s="13" t="str">
        <x:v>Section 9 - Other Measures</x:v>
      </x:c>
      <x:c r="I121" s="30" t="n">
        <x:v>46295</x:v>
      </x:c>
    </x:row>
    <x:row r="122" ht="254" hidden="0" customHeight="1">
      <x:c r="A122" s="13" t="str">
        <x:v>GOLD-KPI-113</x:v>
      </x:c>
      <x:c r="B122" s="13" t="str">
        <x:v>[R51]</x:v>
      </x:c>
      <x:c r="C122" s="13" t="str">
        <x:v>Total Gendered Referrals</x:v>
      </x:c>
      <x:c r="D122" s="13" t="str">
        <x:v>Proposed requirement association; owner approval pending.
R51: Robust data model: placement records, market intelligence, value analysis</x:v>
      </x:c>
      <x:c r="E122" s="13" t="str">
        <x:v>gold.dim_person; gold.fact_referral</x:v>
      </x:c>
      <x:c r="F122" s="13" t="str">
        <x:v>Existing catalogue entry. Gender-based referral analysis; reconcile unknowns and validate access controls.
Latest saved source reviewed 17 October 2026. Static definition verified; refresh, role/context reconciliation and UAT remain pending.
Full current logic: KPI_LATEST_CALCULATIONS.md#business-total-gendered-referrals
DAX [Total Gendered Referrals]:
CALCULATE ( [Total Referrals], KEEPFILTERS ( FILTER ( 'dim_person', NOT ISBLANK ( 'dim_person'[gender_clean] ) &amp;&amp; 'dim_person'[gender_clean] &lt;&gt; "Unknown" ) ) )
Saved source: project X/reports/WIP/SM WMPP v16 updated WIP/SM_WMPP_v16.SemanticModel/definition/tables/_Measures.tmdl:84
Python/Spark SQL producer/reference spans: 05_gold_dimensions.py:194; 04_gold_model.py:232</x:v>
      </x:c>
      <x:c r="G122" s="13" t="str">
        <x:v>Total Gendered Referrals</x:v>
      </x:c>
      <x:c r="H122" s="13" t="str">
        <x:v>Section 9 - Other Measures</x:v>
      </x:c>
      <x:c r="I122" s="30" t="n">
        <x:v>46295</x:v>
      </x:c>
    </x:row>
    <x:row r="123" ht="215" hidden="0" customHeight="1">
      <x:c r="A123" s="13" t="str">
        <x:v>GOLD-KPI-114</x:v>
      </x:c>
      <x:c r="B123" s="13" t="str">
        <x:v>[R15,R35,R62]</x:v>
      </x:c>
      <x:c r="C123" s="13" t="str">
        <x:v>IPA Completed</x:v>
      </x:c>
      <x:c r="D123" s="13" t="str">
        <x:v>Proposed requirement association; owner approval pending.
R15: Digital info &amp; signatures for IPA
R35: Digitised IPA (review, approvals, signing, audit)
R62: View completed placements, access IPAs, extract payment info</x:v>
      </x:c>
      <x:c r="E123" s="13" t="str">
        <x:v>gold.fact_ipa</x:v>
      </x:c>
      <x:c r="F123" s="13" t="str">
        <x:v>Existing catalogue entry. IPA-grain completion/signing backlog; completed includes closed signed records; pending excludes closed unsigned records.
Latest saved source reviewed 17 October 2026. Static definition verified; refresh, role/context reconciliation and UAT remain pending.
Full current logic: KPI_LATEST_CALCULATIONS.md#business-ipa-completed
DAX [IPA Completed]:
CALCULATE ( [IPAs Created], KEEPFILTERS ( 'fact_ipa'[is_ipa_completed] = TRUE () ) )
Saved source: project X/reports/WIP/SM WMPP v16 updated WIP/SM_WMPP_v16.SemanticModel/definition/tables/_Measures.tmdl:405
Python/Spark SQL producer/reference spans: 04_gold_model.py:817</x:v>
      </x:c>
      <x:c r="G123" s="13" t="str">
        <x:v>IPA Completed</x:v>
      </x:c>
      <x:c r="H123" s="13" t="str">
        <x:v>Section 8 - IPA Measures</x:v>
      </x:c>
      <x:c r="I123" s="30" t="n">
        <x:v>46295</x:v>
      </x:c>
    </x:row>
    <x:row r="124" ht="228" hidden="0" customHeight="1">
      <x:c r="A124" s="13" t="str">
        <x:v>GOLD-KPI-115</x:v>
      </x:c>
      <x:c r="B124" s="13" t="str">
        <x:v>[R15,R35,R62]</x:v>
      </x:c>
      <x:c r="C124" s="13" t="str">
        <x:v>IPAs Pending Completion</x:v>
      </x:c>
      <x:c r="D124" s="13" t="str">
        <x:v>Proposed requirement association; owner approval pending.
R15: Digital info &amp; signatures for IPA
R35: Digitised IPA (review, approvals, signing, audit)
R62: View completed placements, access IPAs, extract payment info</x:v>
      </x:c>
      <x:c r="E124" s="13" t="str">
        <x:v>gold.fact_ipa</x:v>
      </x:c>
      <x:c r="F124" s="13" t="str">
        <x:v>Existing catalogue entry. IPA-grain completion/signing backlog; completed includes closed signed records; pending excludes closed unsigned records.
Latest saved source reviewed 17 October 2026. Static definition verified; refresh, role/context reconciliation and UAT remain pending.
Full current logic: KPI_LATEST_CALCULATIONS.md#business-ipas-pending-completion
DAX [IPAs Pending Completion]:
CALCULATE ( [IPAs Created], KEEPFILTERS ( 'fact_ipa'[is_ipa_pending] = TRUE () ) )
Saved source: project X/reports/WIP/SM WMPP v16 updated WIP/SM_WMPP_v16.SemanticModel/definition/tables/_Measures.tmdl:410
Python/Spark SQL producer/reference spans: 04_gold_model.py:817</x:v>
      </x:c>
      <x:c r="G124" s="13" t="str">
        <x:v>IPAs Pending Completion</x:v>
      </x:c>
      <x:c r="H124" s="13" t="str">
        <x:v>Section 8 - IPA Measures</x:v>
      </x:c>
      <x:c r="I124" s="30" t="n">
        <x:v>46295</x:v>
      </x:c>
    </x:row>
    <x:row r="125" ht="228" hidden="0" customHeight="1">
      <x:c r="A125" s="13" t="str">
        <x:v>GOLD-KPI-116</x:v>
      </x:c>
      <x:c r="B125" s="13" t="str">
        <x:v>[R15,R35,R62]</x:v>
      </x:c>
      <x:c r="C125" s="13" t="str">
        <x:v>IPAs Signed by Provider</x:v>
      </x:c>
      <x:c r="D125" s="13" t="str">
        <x:v>Proposed requirement association; owner approval pending.
R15: Digital info &amp; signatures for IPA
R35: Digitised IPA (review, approvals, signing, audit)
R62: View completed placements, access IPAs, extract payment info</x:v>
      </x:c>
      <x:c r="E125" s="13" t="str">
        <x:v>gold.fact_ipa</x:v>
      </x:c>
      <x:c r="F125" s="13" t="str">
        <x:v>Existing catalogue entry. IPA-grain completion/signing backlog; completed includes closed signed records; pending excludes closed unsigned records.
Latest saved source reviewed 17 October 2026. Static definition verified; refresh, role/context reconciliation and UAT remain pending.
Full current logic: KPI_LATEST_CALCULATIONS.md#business-ipas-signed-by-provider
DAX [IPAs Signed by Provider]:
CALCULATE ( [IPAs Created], KEEPFILTERS ( 'fact_ipa'[signed_by_provider] = TRUE () ) )
Saved source: project X/reports/WIP/SM WMPP v16 updated WIP/SM_WMPP_v16.SemanticModel/definition/tables/_Measures.tmdl:1612
Python/Spark SQL producer/reference spans: 04_gold_model.py:817</x:v>
      </x:c>
      <x:c r="G125" s="13" t="str">
        <x:v>IPAs Signed by Provider</x:v>
      </x:c>
      <x:c r="H125" s="13" t="str">
        <x:v>Section 8 - IPA Measures</x:v>
      </x:c>
      <x:c r="I125" s="30" t="n">
        <x:v>46295</x:v>
      </x:c>
    </x:row>
    <x:row r="126" ht="228" hidden="0" customHeight="1">
      <x:c r="A126" s="13" t="str">
        <x:v>GOLD-KPI-117</x:v>
      </x:c>
      <x:c r="B126" s="13" t="str">
        <x:v>[R15,R35,R62]</x:v>
      </x:c>
      <x:c r="C126" s="13" t="str">
        <x:v>IPAs Signed by Local Authority</x:v>
      </x:c>
      <x:c r="D126" s="13" t="str">
        <x:v>Proposed requirement association; owner approval pending.
R15: Digital info &amp; signatures for IPA
R35: Digitised IPA (review, approvals, signing, audit)
R62: View completed placements, access IPAs, extract payment info</x:v>
      </x:c>
      <x:c r="E126" s="13" t="str">
        <x:v>gold.fact_ipa</x:v>
      </x:c>
      <x:c r="F126" s="13" t="str">
        <x:v>Existing catalogue entry. IPA-grain completion/signing backlog; completed includes closed signed records; pending excludes closed unsigned records.
Latest saved source reviewed 17 October 2026. Static definition verified; refresh, role/context reconciliation and UAT remain pending.
Full current logic: KPI_LATEST_CALCULATIONS.md#business-ipas-signed-by-local-authority
DAX [IPAs Signed by Local Authority]:
CALCULATE ( [IPAs Created], KEEPFILTERS ( 'fact_ipa'[signed_by_local_authority] = TRUE () ) )
Saved source: project X/reports/WIP/SM WMPP v16 updated WIP/SM_WMPP_v16.SemanticModel/definition/tables/_Measures.tmdl:1617
Python/Spark SQL producer/reference spans: 04_gold_model.py:817</x:v>
      </x:c>
      <x:c r="G126" s="13" t="str">
        <x:v>IPAs Signed by Local Authority</x:v>
      </x:c>
      <x:c r="H126" s="13" t="str">
        <x:v>Section 8 - IPA Measures</x:v>
      </x:c>
      <x:c r="I126" s="30" t="n">
        <x:v>46295</x:v>
      </x:c>
    </x:row>
    <x:row r="127" ht="267" hidden="0" customHeight="1">
      <x:c r="A127" s="13" t="str">
        <x:v>GOLD-KPI-118</x:v>
      </x:c>
      <x:c r="B127" s="13" t="str">
        <x:v>[R24,R51,R52]</x:v>
      </x:c>
      <x:c r="C127" s="13" t="str">
        <x:v>Snapshot referrals previous month</x:v>
      </x:c>
      <x:c r="D127" s="13" t="str">
        <x:v>Proposed requirement association; owner approval pending.
R24: Dashboard: status overview, provider updates, task mgmt, quick updates
R51: Robust data model: placement records, market intelligence, value analysis
R52: Accurate and customisable reporting</x:v>
      </x:c>
      <x:c r="E127" s="13" t="str">
        <x:v>gold.dim_snapshot_month; gold.fact_referral_snapshot</x:v>
      </x:c>
      <x:c r="F127" s="13" t="str">
        <x:v>Existing catalogue entry. Compare retained month-end state with the prior calendar month; missing prior data remains blank.
Latest saved source reviewed 17 October 2026. Static definition verified; refresh, role/context reconciliation and UAT remain pending.
Full current logic: KPI_LATEST_CALCULATIONS.md#business-snapshot-referrals-previous-month
DAX [Snapshot referrals previous month]:
VAR currentMonth = SELECTEDVALUE('dim_snapshot_month'[month_start])
RETURN IF(NOT ISBLANK(currentMonth), CALCULATE([Snapshot Referrals], REMOVEFILTERS('dim_snapshot_month'), 'dim_snapshot_month'[month_start] = EDATE(currentMonth,-1)))
Saved source: project X/reports/WIP/SM WMPP v16 updated WIP/SM_WMPP_v16.SemanticModel/definition/tables/_Story Measures.tmdl:24
Python/Spark SQL producer/reference spans: 05_gold_dimensions.py:390; 04_gold_model.py:567</x:v>
      </x:c>
      <x:c r="G127" s="13" t="str">
        <x:v>Snapshot referrals previous month</x:v>
      </x:c>
      <x:c r="H127" s="13" t="str">
        <x:v>Section 3 - Timebased</x:v>
      </x:c>
      <x:c r="I127" s="30" t="n">
        <x:v>46295</x:v>
      </x:c>
    </x:row>
    <x:row r="128" ht="267" hidden="0" customHeight="1">
      <x:c r="A128" s="13" t="str">
        <x:v>GOLD-KPI-119</x:v>
      </x:c>
      <x:c r="B128" s="13" t="str">
        <x:v>[R24,R51,R52]</x:v>
      </x:c>
      <x:c r="C128" s="13" t="str">
        <x:v>Snapshot referrals MoM change</x:v>
      </x:c>
      <x:c r="D128" s="13" t="str">
        <x:v>Proposed requirement association; owner approval pending.
R24: Dashboard: status overview, provider updates, task mgmt, quick updates
R51: Robust data model: placement records, market intelligence, value analysis
R52: Accurate and customisable reporting</x:v>
      </x:c>
      <x:c r="E128" s="13" t="str">
        <x:v>gold.dim_snapshot_month; gold.fact_referral_snapshot</x:v>
      </x:c>
      <x:c r="F128" s="13" t="str">
        <x:v>Existing catalogue entry. Compare retained month-end state with the prior calendar month; missing prior data remains blank.
Latest saved source reviewed 17 October 2026. Static definition verified; refresh, role/context reconciliation and UAT remain pending.
Full current logic: KPI_LATEST_CALCULATIONS.md#business-snapshot-referrals-mom-change
DAX [Snapshot referrals MoM change]:
VAR currentTotal = [Snapshot Referrals]
VAR previousTotal = [Snapshot referrals previous month]
RETURN IF(NOT ISBLANK(currentTotal) &amp;&amp; NOT ISBLANK(previousTotal), currentTotal - previousTotal)
Saved source: project X/reports/WIP/SM WMPP v16 updated WIP/SM_WMPP_v16.SemanticModel/definition/tables/_Story Measures.tmdl:31
Python/Spark SQL producer/reference spans: 05_gold_dimensions.py:390; 04_gold_model.py:567</x:v>
      </x:c>
      <x:c r="G128" s="13" t="str">
        <x:v>Snapshot referrals MoM change</x:v>
      </x:c>
      <x:c r="H128" s="18" t="str">
        <x:v>Section 3 - Timebased</x:v>
      </x:c>
      <x:c r="I128" s="31" t="n">
        <x:v>46295</x:v>
      </x:c>
    </x:row>
    <x:row r="129" ht="228" hidden="0" customHeight="1">
      <x:c r="A129" s="13" t="str">
        <x:v>GOLD-KPI-120</x:v>
      </x:c>
      <x:c r="B129" s="13" t="str">
        <x:v>[R24,R51,R52]</x:v>
      </x:c>
      <x:c r="C129" s="13" t="str">
        <x:v>Snapshot referrals MoM percent</x:v>
      </x:c>
      <x:c r="D129" s="13" t="str">
        <x:v>Proposed requirement association; owner approval pending.
R24: Dashboard: status overview, provider updates, task mgmt, quick updates
R51: Robust data model: placement records, market intelligence, value analysis
R52: Accurate and customisable reporting</x:v>
      </x:c>
      <x:c r="E129" s="13" t="str">
        <x:v>gold.dim_snapshot_month; gold.fact_referral_snapshot</x:v>
      </x:c>
      <x:c r="F129" s="13" t="str">
        <x:v>Existing catalogue entry. Compare retained month-end state with the prior calendar month; missing prior data remains blank.
Latest saved source reviewed 17 October 2026. Static definition verified; refresh, role/context reconciliation and UAT remain pending.
Full current logic: KPI_LATEST_CALCULATIONS.md#business-snapshot-referrals-mom-percent
DAX [Snapshot referrals MoM percent]:
DIVIDE([Snapshot referrals MoM change],[Snapshot referrals previous month])
Saved source: project X/reports/WIP/SM WMPP v16 updated WIP/SM_WMPP_v16.SemanticModel/definition/tables/_Story Measures.tmdl:39
Python/Spark SQL producer/reference spans: 05_gold_dimensions.py:390; 04_gold_model.py:567</x:v>
      </x:c>
      <x:c r="G129" s="13" t="str">
        <x:v>Snapshot referrals MoM percent</x:v>
      </x:c>
      <x:c r="H129" s="13" t="str">
        <x:v>Section 3 - Timebased</x:v>
      </x:c>
      <x:c r="I129" s="30" t="n">
        <x:v>46295</x:v>
      </x:c>
    </x:row>
    <x:row r="130" ht="267" hidden="0" customHeight="1">
      <x:c r="A130" s="13" t="str">
        <x:v>GOLD-KPI-121</x:v>
      </x:c>
      <x:c r="B130" s="13" t="str">
        <x:v>[R24,R51]</x:v>
      </x:c>
      <x:c r="C130" s="13" t="str">
        <x:v>Referrals closed during month</x:v>
      </x:c>
      <x:c r="D130" s="13" t="str">
        <x:v>Proposed requirement association; owner approval pending.
R24: Dashboard: status overview, provider updates, task mgmt, quick updates
R51: Robust data model: placement records, market intelligence, value analysis</x:v>
      </x:c>
      <x:c r="E130" s="13" t="str">
        <x:v>gold.dim_date; gold.fact_referral</x:v>
      </x:c>
      <x:c r="F130" s="13" t="str">
        <x:v>Existing catalogue entry. Distinct referrals by closure date in month; a flow measure, not closed state at snapshot. Closure date is derived.
Latest saved source reviewed 17 October 2026. Static definition verified; refresh, role/context reconciliation and UAT remain pending.
Full current logic: KPI_LATEST_CALCULATIONS.md#business-referrals-closed-during-month
DAX [Referrals closed during month]:
CALCULATE(DISTINCTCOUNT('fact_referral'[referral_id]), USERELATIONSHIP('fact_referral'[referral_closed_date],'dim_date'[date]), CROSSFILTER('fact_referral'[referral_created_date],'dim_date'[date],NONE), KEEPFILTERS(NOT ISBLANK('fact_referral'[referral_closed_date])))
Saved source: project X/reports/WIP/SM WMPP v16 updated WIP/SM_WMPP_v16.SemanticModel/definition/tables/_Story Measures.tmdl:19
Python/Spark SQL producer/reference spans: 04_gold_model.py:232; 05_gold_dimensions.py:128</x:v>
      </x:c>
      <x:c r="G130" s="13" t="str">
        <x:v>Referrals closed during month</x:v>
      </x:c>
      <x:c r="H130" s="18" t="str">
        <x:v>Section 3 - Timebased</x:v>
      </x:c>
      <x:c r="I130" s="31" t="n">
        <x:v>46295</x:v>
      </x:c>
    </x:row>
    <x:row r="131" ht="267" hidden="0" customHeight="1">
      <x:c r="A131" s="13" t="str">
        <x:v>GOLD-KPI-122</x:v>
      </x:c>
      <x:c r="B131" s="13" t="str">
        <x:v>[R13,R24,R25]</x:v>
      </x:c>
      <x:c r="C131" s="13" t="str">
        <x:v>Matching referrals</x:v>
      </x:c>
      <x:c r="D131" s="13" t="str">
        <x:v>Proposed requirement association; owner approval pending.
R13: Filter by specialisms, placement type, placement status
R24: Dashboard: status overview, provider updates, task mgmt, quick updates
R25: Quickly review detailed placement requests</x:v>
      </x:c>
      <x:c r="E131" s="13" t="str">
        <x:v>gold.bridge_referral_framework_category; gold.dim_framework_category; gold.fact_offer; gold.fact_referral</x:v>
      </x:c>
      <x:c r="F131" s="13" t="str">
        <x:v>Existing catalogue entry. Distinct referrals after category and matching-offer filters; category totals are not additive.
Latest saved source reviewed 17 October 2026. Static definition verified; refresh, role/context reconciliation and UAT remain pending.
Full current logic: KPI_LATEST_CALCULATIONS.md#business-matching-referrals
DAX [Matching referrals]:
[Explorer referrals]
Saved source: project X/reports/WIP/SM WMPP v16 updated WIP/SM_WMPP_v16.SemanticModel/definition/tables/_Story Measures.tmdl:4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1" s="13" t="str">
        <x:v>Matching referrals</x:v>
      </x:c>
      <x:c r="H131" s="13" t="str">
        <x:v>Section 1 - Referral Volume KPIs</x:v>
      </x:c>
      <x:c r="I131" s="30" t="n">
        <x:v>46295</x:v>
      </x:c>
    </x:row>
    <x:row r="132" ht="293" hidden="0" customHeight="1">
      <x:c r="A132" s="13" t="str">
        <x:v>GOLD-KPI-123</x:v>
      </x:c>
      <x:c r="B132" s="13" t="str">
        <x:v>[R24,R25,R35,R51]</x:v>
      </x:c>
      <x:c r="C132" s="13" t="str">
        <x:v>Journey referrals 1</x:v>
      </x:c>
      <x:c r="D132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2" s="13" t="str">
        <x:v>gold.bridge_referral_framework_category; gold.dim_framework_category; gold.fact_offer; gold.fact_referral</x:v>
      </x:c>
      <x:c r="F132" s="13" t="str">
        <x:v>Existing catalogue entry. Referral created.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KPI_LATEST_CALCULATIONS.md#business-journey-referrals-1
DAX [Journey referrals 1]:
COALESCE(CALCULATE([Matching referrals], KEEPFILTERS('fact_referral'[Journey stage order] = 1)), 0)
Saved source: project X/reports/WIP/SM WMPP v16 updated WIP/SM_WMPP_v16.SemanticModel/definition/tables/_Journey Measures.tmdl:4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2" s="13" t="str">
        <x:v>Journey referrals 1</x:v>
      </x:c>
      <x:c r="H132" s="13" t="str">
        <x:v>Section 1 - Referral Volume KPIs</x:v>
      </x:c>
      <x:c r="I132" s="30" t="n">
        <x:v>46295</x:v>
      </x:c>
    </x:row>
    <x:row r="133" ht="293" hidden="0" customHeight="1">
      <x:c r="A133" s="13" t="str">
        <x:v>GOLD-KPI-124</x:v>
      </x:c>
      <x:c r="B133" s="13" t="str">
        <x:v>[R24,R25,R35,R51]</x:v>
      </x:c>
      <x:c r="C133" s="13" t="str">
        <x:v>Journey referrals 2</x:v>
      </x:c>
      <x:c r="D133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3" s="13" t="str">
        <x:v>gold.bridge_referral_framework_category; gold.dim_framework_category; gold.fact_offer; gold.fact_referral</x:v>
      </x:c>
      <x:c r="F133" s="13" t="str">
        <x:v>Existing catalogue entry. Provider search.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KPI_LATEST_CALCULATIONS.md#business-journey-referrals-2
DAX [Journey referrals 2]:
COALESCE(CALCULATE([Matching referrals], KEEPFILTERS('fact_referral'[Journey stage order] = 2)), 0)
Saved source: project X/reports/WIP/SM WMPP v16 updated WIP/SM_WMPP_v16.SemanticModel/definition/tables/_Journey Measures.tmdl:9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3" s="13" t="str">
        <x:v>Journey referrals 2</x:v>
      </x:c>
      <x:c r="H133" s="18" t="str">
        <x:v>Section 1 - Referral Volume KPIs</x:v>
      </x:c>
      <x:c r="I133" s="31" t="n">
        <x:v>46295</x:v>
      </x:c>
    </x:row>
    <x:row r="134" ht="293" hidden="0" customHeight="1">
      <x:c r="A134" s="13" t="str">
        <x:v>GOLD-KPI-125</x:v>
      </x:c>
      <x:c r="B134" s="13" t="str">
        <x:v>[R24,R25,R35,R51]</x:v>
      </x:c>
      <x:c r="C134" s="13" t="str">
        <x:v>Journey referrals 3</x:v>
      </x:c>
      <x:c r="D134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4" s="13" t="str">
        <x:v>gold.bridge_referral_framework_category; gold.dim_framework_category; gold.fact_offer; gold.fact_referral</x:v>
      </x:c>
      <x:c r="F134" s="13" t="str">
        <x:v>Existing catalogue entry. Offers received.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KPI_LATEST_CALCULATIONS.md#business-journey-referrals-3
DAX [Journey referrals 3]:
COALESCE(CALCULATE([Matching referrals], KEEPFILTERS('fact_referral'[Journey stage order] = 3)), 0)
Saved source: project X/reports/WIP/SM WMPP v16 updated WIP/SM_WMPP_v16.SemanticModel/definition/tables/_Journey Measures.tmdl:14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4" s="13" t="str">
        <x:v>Journey referrals 3</x:v>
      </x:c>
      <x:c r="H134" s="13" t="str">
        <x:v>Section 1 - Referral Volume KPIs</x:v>
      </x:c>
      <x:c r="I134" s="30" t="n">
        <x:v>46295</x:v>
      </x:c>
    </x:row>
    <x:row r="135" ht="293" hidden="0" customHeight="1">
      <x:c r="A135" s="13" t="str">
        <x:v>GOLD-KPI-126</x:v>
      </x:c>
      <x:c r="B135" s="13" t="str">
        <x:v>[R24,R25,R35,R51]</x:v>
      </x:c>
      <x:c r="C135" s="13" t="str">
        <x:v>Journey referrals 4</x:v>
      </x:c>
      <x:c r="D135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5" s="13" t="str">
        <x:v>gold.bridge_referral_framework_category; gold.dim_framework_category; gold.fact_offer; gold.fact_referral</x:v>
      </x:c>
      <x:c r="F135" s="13" t="str">
        <x:v>Existing catalogue entry. Offer accepted.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KPI_LATEST_CALCULATIONS.md#business-journey-referrals-4
DAX [Journey referrals 4]:
COALESCE(CALCULATE([Matching referrals], KEEPFILTERS('fact_referral'[Journey stage order] = 4)), 0)
Saved source: project X/reports/WIP/SM WMPP v16 updated WIP/SM_WMPP_v16.SemanticModel/definition/tables/_Journey Measures.tmdl:19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5" s="13" t="str">
        <x:v>Journey referrals 4</x:v>
      </x:c>
      <x:c r="H135" s="13" t="str">
        <x:v>Section 1 - Referral Volume KPIs</x:v>
      </x:c>
      <x:c r="I135" s="30" t="n">
        <x:v>46295</x:v>
      </x:c>
    </x:row>
    <x:row r="136" ht="293" hidden="0" customHeight="1">
      <x:c r="A136" s="13" t="str">
        <x:v>GOLD-KPI-127</x:v>
      </x:c>
      <x:c r="B136" s="13" t="str">
        <x:v>[R24,R25,R35,R51]</x:v>
      </x:c>
      <x:c r="C136" s="13" t="str">
        <x:v>Journey referrals 5</x:v>
      </x:c>
      <x:c r="D136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6" s="13" t="str">
        <x:v>gold.bridge_referral_framework_category; gold.dim_framework_category; gold.fact_offer; gold.fact_referral</x:v>
      </x:c>
      <x:c r="F136" s="13" t="str">
        <x:v>Existing catalogue entry. IPA created.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KPI_LATEST_CALCULATIONS.md#business-journey-referrals-5
DAX [Journey referrals 5]:
COALESCE(CALCULATE([Matching referrals], KEEPFILTERS('fact_referral'[Journey stage order] = 5)), 0)
Saved source: project X/reports/WIP/SM WMPP v16 updated WIP/SM_WMPP_v16.SemanticModel/definition/tables/_Journey Measures.tmdl:24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6" s="13" t="str">
        <x:v>Journey referrals 5</x:v>
      </x:c>
      <x:c r="H136" s="13" t="str">
        <x:v>Section 1 - Referral Volume KPIs</x:v>
      </x:c>
      <x:c r="I136" s="30" t="n">
        <x:v>46295</x:v>
      </x:c>
    </x:row>
    <x:row r="137" ht="293" hidden="0" customHeight="1">
      <x:c r="A137" s="13" t="str">
        <x:v>GOLD-KPI-128</x:v>
      </x:c>
      <x:c r="B137" s="13" t="str">
        <x:v>[R24,R25,R35,R51]</x:v>
      </x:c>
      <x:c r="C137" s="13" t="str">
        <x:v>Journey referrals 6</x:v>
      </x:c>
      <x:c r="D137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7" s="13" t="str">
        <x:v>gold.bridge_referral_framework_category; gold.dim_framework_category; gold.fact_offer; gold.fact_referral</x:v>
      </x:c>
      <x:c r="F137" s="13" t="str">
        <x:v>Existing catalogue entry. IPA signed.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KPI_LATEST_CALCULATIONS.md#business-journey-referrals-6
DAX [Journey referrals 6]:
COALESCE(CALCULATE([Matching referrals], KEEPFILTERS('fact_referral'[Journey stage order] = 6)), 0)
Saved source: project X/reports/WIP/SM WMPP v16 updated WIP/SM_WMPP_v16.SemanticModel/definition/tables/_Journey Measures.tmdl:29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7" s="13" t="str">
        <x:v>Journey referrals 6</x:v>
      </x:c>
      <x:c r="H137" s="18" t="str">
        <x:v>Section 1 - Referral Volume KPIs</x:v>
      </x:c>
      <x:c r="I137" s="31" t="n">
        <x:v>46295</x:v>
      </x:c>
    </x:row>
    <x:row r="138" ht="293" hidden="0" customHeight="1">
      <x:c r="A138" s="13" t="str">
        <x:v>GOLD-KPI-129</x:v>
      </x:c>
      <x:c r="B138" s="13" t="str">
        <x:v>[R24,R25,R35,R51]</x:v>
      </x:c>
      <x:c r="C138" s="13" t="str">
        <x:v>Journey referrals 7</x:v>
      </x:c>
      <x:c r="D138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8" s="13" t="str">
        <x:v>gold.bridge_referral_framework_category; gold.dim_framework_category; gold.fact_offer; gold.fact_referral</x:v>
      </x:c>
      <x:c r="F138" s="13" t="str">
        <x:v>Existing catalogue entry. Closed / cancelled / withdrawn.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KPI_LATEST_CALCULATIONS.md#business-journey-referrals-7
DAX [Journey referrals 7]:
COALESCE(CALCULATE([Matching referrals], KEEPFILTERS('fact_referral'[Journey stage order] = 7)), 0)
Saved source: project X/reports/WIP/SM WMPP v16 updated WIP/SM_WMPP_v16.SemanticModel/definition/tables/_Journey Measures.tmdl:34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8" s="13" t="str">
        <x:v>Journey referrals 7</x:v>
      </x:c>
      <x:c r="H138" s="13" t="str">
        <x:v>Section 1 - Referral Volume KPIs</x:v>
      </x:c>
      <x:c r="I138" s="30" t="n">
        <x:v>46295</x:v>
      </x:c>
    </x:row>
    <x:row r="139" ht="293" hidden="0" customHeight="1">
      <x:c r="A139" s="13" t="str">
        <x:v>GOLD-KPI-130</x:v>
      </x:c>
      <x:c r="B139" s="13" t="str">
        <x:v>[R24,R25,R35,R51]</x:v>
      </x:c>
      <x:c r="C139" s="13" t="str">
        <x:v>Journey referrals 8</x:v>
      </x:c>
      <x:c r="D139" s="13" t="str">
        <x:v>Proposed requirement association; owner approval pending.
R24: Dashboard: status overview, provider updates, task mgmt, quick updates
R25: Quickly review detailed placement requests
R35: Digitised IPA (review, approvals, signing, audit)
R51: Robust data model: placement records, market intelligence, value analysis</x:v>
      </x:c>
      <x:c r="E139" s="13" t="str">
        <x:v>gold.bridge_referral_framework_category; gold.dim_framework_category; gold.fact_offer; gold.fact_referral</x:v>
      </x:c>
      <x:c r="F139" s="13" t="str">
        <x:v>Existing catalogue entry. Needs review. One current stage per referral at refresh. Closed status overrides milestones; counts are not historic funnel conversion.
Latest saved source reviewed 17 October 2026. Static definition verified; refresh, role/context reconciliation and UAT remain pending.
Full current logic: KPI_LATEST_CALCULATIONS.md#business-journey-referrals-8
DAX [Journey referrals 8]:
COALESCE(CALCULATE([Matching referrals], KEEPFILTERS('fact_referral'[Journey stage order] = 8)), 0)
Saved source: project X/reports/WIP/SM WMPP v16 updated WIP/SM_WMPP_v16.SemanticModel/definition/tables/_Journey Measures.tmdl:39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139" s="13" t="str">
        <x:v>Journey referrals 8</x:v>
      </x:c>
      <x:c r="H139" s="18" t="str">
        <x:v>Section 1 - Referral Volume KPIs</x:v>
      </x:c>
      <x:c r="I139" s="31" t="n">
        <x:v>46295</x:v>
      </x:c>
    </x:row>
    <x:row r="140" ht="306" hidden="0" customHeight="1">
      <x:c r="A140" s="13" t="str">
        <x:v>GOLD-KPI-131</x:v>
      </x:c>
      <x:c r="B140" s="13" t="str">
        <x:v>[R24,R26,R28,R35]</x:v>
      </x:c>
      <x:c r="C140" s="13" t="str">
        <x:v>Journey providers 0</x:v>
      </x:c>
      <x:c r="D140" s="13" t="str">
        <x:v>Proposed requirement association; owner approval pending.
R24: Dashboard: status overview, provider updates, task mgmt, quick updates
R26: Prioritise by match suitability, SOP, existing placements
R28: Accept / reject / request further info
R35: Digitised IPA (review, approvals, signing, audit)</x:v>
      </x:c>
      <x:c r="E140" s="13" t="str">
        <x:v>gold.dim_provider; gold.dim_provider_home; gold.dim_referral_provider_message; gold.fact_ipa; gold.fact_offer; gold.fact_referral_provider</x:v>
      </x:c>
      <x:c r="F140" s="13" t="str">
        <x:v>Existing catalogue entry. Assigned / draft / unclear. Distinct provider at furthest evidenced stage in current cohort; not additive offer counts. No browsing evidence.
Latest saved source reviewed 17 October 2026. Static definition verified; refresh, role/context reconciliation and UAT remain pending.
Full current logic: KPI_LATEST_CALCULATIONS.md#business-journey-providers-0
DAX [Journey providers 0]:
COALESCE(COUNTROWS(FILTER(VALUES('dim_provider'[provider_id]), NOT ISBLANK('dim_provider'[provider_id]) &amp;&amp; CALCULATE([Provider matches offer status]) = 1 &amp;&amp; CALCULATE([Journey provider stage]) == 0)), 0)
Saved source: project X/reports/WIP/SM WMPP v16 updated WIP/SM_WMPP_v16.SemanticModel/definition/tables/_Journey Measures.tmdl:216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140" s="13" t="str">
        <x:v>Journey providers 0</x:v>
      </x:c>
      <x:c r="H140" s="18" t="str">
        <x:v>Section 2 - Provider Activity</x:v>
      </x:c>
      <x:c r="I140" s="31" t="n">
        <x:v>46295</x:v>
      </x:c>
    </x:row>
    <x:row r="141" ht="306" hidden="0" customHeight="1">
      <x:c r="A141" s="13" t="str">
        <x:v>GOLD-KPI-132</x:v>
      </x:c>
      <x:c r="B141" s="13" t="str">
        <x:v>[R24,R26,R28,R35]</x:v>
      </x:c>
      <x:c r="C141" s="13" t="str">
        <x:v>Journey providers 1</x:v>
      </x:c>
      <x:c r="D141" s="13" t="str">
        <x:v>Proposed requirement association; owner approval pending.
R24: Dashboard: status overview, provider updates, task mgmt, quick updates
R26: Prioritise by match suitability, SOP, existing placements
R28: Accept / reject / request further info
R35: Digitised IPA (review, approvals, signing, audit)</x:v>
      </x:c>
      <x:c r="E141" s="13" t="str">
        <x:v>gold.dim_provider; gold.dim_provider_home; gold.dim_referral_provider_message; gold.fact_ipa; gold.fact_offer; gold.fact_referral_provider</x:v>
      </x:c>
      <x:c r="F141" s="13" t="str">
        <x:v>Existing catalogue entry. Message activity only. Distinct provider at furthest evidenced stage in current cohort; not additive offer counts. No browsing evidence.
Latest saved source reviewed 17 October 2026. Static definition verified; refresh, role/context reconciliation and UAT remain pending.
Full current logic: KPI_LATEST_CALCULATIONS.md#business-journey-providers-1
DAX [Journey providers 1]:
COALESCE(COUNTROWS(FILTER(VALUES('dim_provider'[provider_id]), NOT ISBLANK('dim_provider'[provider_id]) &amp;&amp; CALCULATE([Provider matches offer status]) = 1 &amp;&amp; CALCULATE([Journey provider stage]) == 1)), 0)
Saved source: project X/reports/WIP/SM WMPP v16 updated WIP/SM_WMPP_v16.SemanticModel/definition/tables/_Journey Measures.tmdl:221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141" s="13" t="str">
        <x:v>Journey providers 1</x:v>
      </x:c>
      <x:c r="H141" s="18" t="str">
        <x:v>Section 2 - Provider Activity</x:v>
      </x:c>
      <x:c r="I141" s="31" t="n">
        <x:v>46295</x:v>
      </x:c>
    </x:row>
    <x:row r="142" ht="293" hidden="0" customHeight="1">
      <x:c r="A142" s="13" t="str">
        <x:v>GOLD-KPI-133</x:v>
      </x:c>
      <x:c r="B142" s="13" t="str">
        <x:v>[R24,R26,R28,R35]</x:v>
      </x:c>
      <x:c r="C142" s="13" t="str">
        <x:v>Journey providers 2</x:v>
      </x:c>
      <x:c r="D142" s="13" t="str">
        <x:v>Proposed requirement association; owner approval pending.
R24: Dashboard: status overview, provider updates, task mgmt, quick updates
R26: Prioritise by match suitability, SOP, existing placements
R28: Accept / reject / request further info
R35: Digitised IPA (review, approvals, signing, audit)</x:v>
      </x:c>
      <x:c r="E142" s="13" t="str">
        <x:v>gold.dim_provider; gold.dim_provider_home; gold.dim_referral_provider_message; gold.fact_ipa; gold.fact_offer; gold.fact_referral_provider</x:v>
      </x:c>
      <x:c r="F142" s="13" t="str">
        <x:v>Existing catalogue entry. Offers made. Distinct provider at furthest evidenced stage in current cohort; not additive offer counts. No browsing evidence.
Latest saved source reviewed 17 October 2026. Static definition verified; refresh, role/context reconciliation and UAT remain pending.
Full current logic: KPI_LATEST_CALCULATIONS.md#business-journey-providers-2
DAX [Journey providers 2]:
COALESCE(COUNTROWS(FILTER(VALUES('dim_provider'[provider_id]), NOT ISBLANK('dim_provider'[provider_id]) &amp;&amp; CALCULATE([Provider matches offer status]) = 1 &amp;&amp; CALCULATE([Journey provider stage]) == 2)), 0)
Saved source: project X/reports/WIP/SM WMPP v16 updated WIP/SM_WMPP_v16.SemanticModel/definition/tables/_Journey Measures.tmdl:226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142" s="13" t="str">
        <x:v>Journey providers 2</x:v>
      </x:c>
      <x:c r="H142" s="13" t="str">
        <x:v>Section 2 - Provider Activity</x:v>
      </x:c>
      <x:c r="I142" s="30" t="n">
        <x:v>46295</x:v>
      </x:c>
    </x:row>
    <x:row r="143" ht="293" hidden="0" customHeight="1">
      <x:c r="A143" s="13" t="str">
        <x:v>GOLD-KPI-134</x:v>
      </x:c>
      <x:c r="B143" s="13" t="str">
        <x:v>[R24,R26,R28,R35]</x:v>
      </x:c>
      <x:c r="C143" s="13" t="str">
        <x:v>Journey providers 3</x:v>
      </x:c>
      <x:c r="D143" s="13" t="str">
        <x:v>Proposed requirement association; owner approval pending.
R24: Dashboard: status overview, provider updates, task mgmt, quick updates
R26: Prioritise by match suitability, SOP, existing placements
R28: Accept / reject / request further info
R35: Digitised IPA (review, approvals, signing, audit)</x:v>
      </x:c>
      <x:c r="E143" s="13" t="str">
        <x:v>gold.dim_provider; gold.dim_provider_home; gold.dim_referral_provider_message; gold.fact_ipa; gold.fact_offer; gold.fact_referral_provider</x:v>
      </x:c>
      <x:c r="F143" s="13" t="str">
        <x:v>Existing catalogue entry. Offer accepted. Distinct provider at furthest evidenced stage in current cohort; not additive offer counts. No browsing evidence.
Latest saved source reviewed 17 October 2026. Static definition verified; refresh, role/context reconciliation and UAT remain pending.
Full current logic: KPI_LATEST_CALCULATIONS.md#business-journey-providers-3
DAX [Journey providers 3]:
COALESCE(COUNTROWS(FILTER(VALUES('dim_provider'[provider_id]), NOT ISBLANK('dim_provider'[provider_id]) &amp;&amp; CALCULATE([Provider matches offer status]) = 1 &amp;&amp; CALCULATE([Journey provider stage]) == 3)), 0)
Saved source: project X/reports/WIP/SM WMPP v16 updated WIP/SM_WMPP_v16.SemanticModel/definition/tables/_Journey Measures.tmdl:231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143" s="13" t="str">
        <x:v>Journey providers 3</x:v>
      </x:c>
      <x:c r="H143" s="13" t="str">
        <x:v>Section 2 - Provider Activity</x:v>
      </x:c>
      <x:c r="I143" s="30" t="n">
        <x:v>46295</x:v>
      </x:c>
    </x:row>
    <x:row r="144" ht="293" hidden="0" customHeight="1">
      <x:c r="A144" s="13" t="str">
        <x:v>GOLD-KPI-135</x:v>
      </x:c>
      <x:c r="B144" s="13" t="str">
        <x:v>[R24,R26,R28,R35]</x:v>
      </x:c>
      <x:c r="C144" s="13" t="str">
        <x:v>Journey providers 5</x:v>
      </x:c>
      <x:c r="D144" s="13" t="str">
        <x:v>Proposed requirement association; owner approval pending.
R24: Dashboard: status overview, provider updates, task mgmt, quick updates
R26: Prioritise by match suitability, SOP, existing placements
R28: Accept / reject / request further info
R35: Digitised IPA (review, approvals, signing, audit)</x:v>
      </x:c>
      <x:c r="E144" s="13" t="str">
        <x:v>gold.dim_provider; gold.dim_provider_home; gold.dim_referral_provider_message; gold.fact_ipa; gold.fact_offer; gold.fact_referral_provider</x:v>
      </x:c>
      <x:c r="F144" s="13" t="str">
        <x:v>Existing catalogue entry. Provider signed. Distinct provider at furthest evidenced stage in current cohort; not additive offer counts. No browsing evidence.
Latest saved source reviewed 17 October 2026. Static definition verified; refresh, role/context reconciliation and UAT remain pending.
Full current logic: KPI_LATEST_CALCULATIONS.md#business-journey-providers-5
DAX [Journey providers 5]:
COALESCE(COUNTROWS(FILTER(VALUES('dim_provider'[provider_id]), NOT ISBLANK('dim_provider'[provider_id]) &amp;&amp; CALCULATE([Provider matches offer status]) = 1 &amp;&amp; CALCULATE([Journey provider stage]) == 5)), 0)
Saved source: project X/reports/WIP/SM WMPP v16 updated WIP/SM_WMPP_v16.SemanticModel/definition/tables/_Journey Measures.tmdl:236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144" s="13" t="str">
        <x:v>Journey providers 5</x:v>
      </x:c>
      <x:c r="H144" s="13" t="str">
        <x:v>Section 2 - Provider Activity</x:v>
      </x:c>
      <x:c r="I144" s="30" t="n">
        <x:v>46295</x:v>
      </x:c>
    </x:row>
    <x:row r="145" ht="345" hidden="0" customHeight="1">
      <x:c r="A145" s="13" t="str">
        <x:v>GOLD-KPI-136</x:v>
      </x:c>
      <x:c r="B145" s="13" t="str">
        <x:v>[R35,R62]</x:v>
      </x:c>
      <x:c r="C145" s="13" t="str">
        <x:v>Journey providers both signed</x:v>
      </x:c>
      <x:c r="D145" s="13" t="str">
        <x:v>Proposed requirement association; owner approval pending.
R35: Digitised IPA (review, approvals, signing, audit)
R62: View completed placements, access IPAs, extract payment info</x:v>
      </x:c>
      <x:c r="E145" s="13" t="str">
        <x:v>gold.dim_provider; gold.dim_provider_home; gold.fact_ipa; gold.fact_offer</x:v>
      </x:c>
      <x:c r="F145" s="13" t="str">
        <x:v>Existing catalogue entry. Providers with both-signed IPA evidence; subset of provider-signed, not a further stage.
Latest saved source reviewed 17 October 2026. Static definition verified; refresh, role/context reconciliation and UAT remain pending.
Full current logic: KPI_LATEST_CALCULATIONS.md#business-journey-providers-both-signed
DAX [Journey providers both signed]:
COALESCE(COUNTROWS(FILTER(VALUES('dim_provider'[provider_id]),
VAR offerIDs = CALCULATETABLE(VALUES('fact_offer'[offer_id]))
VAR signedIPAs = CALCULATETABLE('fact_ipa', KEEPFILTERS(TREATAS(offerIDs, 'fact_ipa'[accepted_offer_id])))
RETURN NOT ISBLANK('dim_provider'[provider_id]) &amp;&amp; CALCULATE([Provider matches offer status]) = 1 &amp;&amp; COUNTROWS(FILTER(signedIPAs, 'fact_ipa'[signed_by_provider] == TRUE() &amp;&amp; 'fact_ipa'[signed_by_local_authority] == TRUE())) &gt; 0)),0)
Saved source: project X/reports/WIP/SM WMPP v16 updated WIP/SM_WMPP_v16.SemanticModel/definition/tables/_Journey Measures.tmdl:249
Python/Spark SQL producer/reference spans: 04_gold_model.py:712; 04_gold_model.py:817; 05_gold_dimensions.py:155; 05_gold_dimensions.py:163
Calculated-table dependency: Provider Offer Status. Complete saved partition logic is included in the calculation document.</x:v>
      </x:c>
      <x:c r="G145" s="13" t="str">
        <x:v>Journey providers both signed</x:v>
      </x:c>
      <x:c r="H145" s="13" t="str">
        <x:v>Section 2 - Provider Activity</x:v>
      </x:c>
      <x:c r="I145" s="30" t="n">
        <x:v>46295</x:v>
      </x:c>
    </x:row>
    <x:row r="146" ht="202" hidden="0" customHeight="1">
      <x:c r="A146" s="13" t="str">
        <x:v>GOLD-KPI-137</x:v>
      </x:c>
      <x:c r="B146" s="13" t="str">
        <x:v>[R26,R51]</x:v>
      </x:c>
      <x:c r="C146" s="13" t="str">
        <x:v>Provider Response Rate</x:v>
      </x:c>
      <x:c r="D146" s="13" t="str">
        <x:v>Proposed requirement association; owner approval pending.
R26: Prioritise by match suitability, SOP, existing placements
R51: Robust data model: placement records, market intelligence, value analysis</x:v>
      </x:c>
      <x:c r="E146" s="13" t="str">
        <x:v>gold.fact_provider_kpi_monthly</x:v>
      </x:c>
      <x:c r="F146" s="13" t="str">
        <x:v>Existing catalogue entry. Assignment-cohort component based on qualifying offers/reasons. Not a message SLA, composite score or suitability rating.
Latest saved source reviewed 17 October 2026. Static definition verified; refresh, role/context reconciliation and UAT remain pending.
Full current logic: KPI_LATEST_CALCULATIONS.md#business-provider-response-rate
DAX [Provider Response Rate]:
DIVIDE ( [Provider Qualifying Responses], [Provider Response Opportunities] )
Saved source: project X/reports/WIP/SM WMPP v16 updated WIP/SM_WMPP_v16.SemanticModel/definition/tables/_Measures.tmdl:1657
Python/Spark SQL producer/reference spans: 04_gold_model.py:935</x:v>
      </x:c>
      <x:c r="G146" s="13" t="str">
        <x:v>Provider Response Rate</x:v>
      </x:c>
      <x:c r="H146" s="13" t="str">
        <x:v>Section 2 - Provider Activity</x:v>
      </x:c>
      <x:c r="I146" s="30" t="n">
        <x:v>46295</x:v>
      </x:c>
    </x:row>
    <x:row r="147" ht="306" hidden="0" customHeight="1">
      <x:c r="A147" s="13" t="str">
        <x:v>GOLD-KPI-138</x:v>
      </x:c>
      <x:c r="B147" s="13" t="str">
        <x:v>[R26,R51]</x:v>
      </x:c>
      <x:c r="C147" s="13" t="str">
        <x:v>Provider Average Response Hours</x:v>
      </x:c>
      <x:c r="D147" s="13" t="str">
        <x:v>Proposed requirement association; owner approval pending.
R26: Prioritise by match suitability, SOP, existing placements
R51: Robust data model: placement records, market intelligence, value analysis</x:v>
      </x:c>
      <x:c r="E147" s="13" t="str">
        <x:v>gold.fact_provider_kpi_monthly</x:v>
      </x:c>
      <x:c r="F147" s="13" t="str">
        <x:v>Existing catalogue entry. Assignment-cohort component based on qualifying offers/reasons. Not a message SLA, composite score or suitability rating.
Latest saved source reviewed 17 October 2026. Static definition verified; refresh, role/context reconciliation and UAT remain pending.
Full current logic: KPI_LATEST_CALCULATIONS.md#business-provider-average-response-hours
DAX [Provider Average Response Hours]:
DIVIDE (
SUMX (
'fact_provider_kpi_monthly',
'fact_provider_kpi_monthly'[average_response_minutes]
* 'fact_provider_kpi_monthly'[qualifying_response_count]
),
[Provider Qualifying Responses] * 60
)
Saved source: project X/reports/WIP/SM WMPP v16 updated WIP/SM_WMPP_v16.SemanticModel/definition/tables/_Measures.tmdl:1680
Python/Spark SQL producer/reference spans: 04_gold_model.py:935</x:v>
      </x:c>
      <x:c r="G147" s="13" t="str">
        <x:v>Provider Average Response Hours</x:v>
      </x:c>
      <x:c r="H147" s="13" t="str">
        <x:v>Section 2 - Provider Activity</x:v>
      </x:c>
      <x:c r="I147" s="30" t="n">
        <x:v>46295</x:v>
      </x:c>
    </x:row>
    <x:row r="148" ht="254" hidden="0" customHeight="1">
      <x:c r="A148" s="13" t="str">
        <x:v>GOLD-KPI-139</x:v>
      </x:c>
      <x:c r="B148" s="13" t="str">
        <x:v>[R26,R51]</x:v>
      </x:c>
      <x:c r="C148" s="13" t="str">
        <x:v>Provider Offer Conversion Rate</x:v>
      </x:c>
      <x:c r="D148" s="13" t="str">
        <x:v>Proposed requirement association; owner approval pending.
R26: Prioritise by match suitability, SOP, existing placements
R51: Robust data model: placement records, market intelligence, value analysis</x:v>
      </x:c>
      <x:c r="E148" s="13" t="str">
        <x:v>gold.fact_provider_kpi_monthly</x:v>
      </x:c>
      <x:c r="F148" s="13" t="str">
        <x:v>Existing catalogue entry. Assignment-cohort component based on qualifying offers/reasons. Not a message SLA, composite score or suitability rating.
Latest saved source reviewed 17 October 2026. Static definition verified; refresh, role/context reconciliation and UAT remain pending.
Full current logic: KPI_LATEST_CALCULATIONS.md#business-provider-offer-conversion-rate
DAX [Provider Offer Conversion Rate]:
DIVIDE (
SUM ( 'fact_provider_kpi_monthly'[accepted_offer_count] ),
SUM ( 'fact_provider_kpi_monthly'[offers_submitted_count] )
)
Saved source: project X/reports/WIP/SM WMPP v16 updated WIP/SM_WMPP_v16.SemanticModel/definition/tables/_Measures.tmdl:1662
Python/Spark SQL producer/reference spans: 04_gold_model.py:935</x:v>
      </x:c>
      <x:c r="G148" s="13" t="str">
        <x:v>Provider Offer Conversion Rate</x:v>
      </x:c>
      <x:c r="H148" s="13" t="str">
        <x:v>Section 2 - Provider Activity</x:v>
      </x:c>
      <x:c r="I148" s="30" t="n">
        <x:v>46295</x:v>
      </x:c>
    </x:row>
    <x:row r="149" ht="254" hidden="0" customHeight="1">
      <x:c r="A149" s="13" t="str">
        <x:v>GOLD-KPI-140</x:v>
      </x:c>
      <x:c r="B149" s="13" t="str">
        <x:v>[R26,R51]</x:v>
      </x:c>
      <x:c r="C149" s="13" t="str">
        <x:v>Provider Target Placement Rate</x:v>
      </x:c>
      <x:c r="D149" s="13" t="str">
        <x:v>Proposed requirement association; owner approval pending.
R26: Prioritise by match suitability, SOP, existing placements
R51: Robust data model: placement records, market intelligence, value analysis</x:v>
      </x:c>
      <x:c r="E149" s="13" t="str">
        <x:v>gold.fact_provider_kpi_monthly</x:v>
      </x:c>
      <x:c r="F149" s="13" t="str">
        <x:v>Existing catalogue entry. Assignment-cohort component based on qualifying offers/reasons. Not a message SLA, composite score or suitability rating.
Latest saved source reviewed 17 October 2026. Static definition verified; refresh, role/context reconciliation and UAT remain pending.
Full current logic: KPI_LATEST_CALCULATIONS.md#business-provider-target-placement-rate
DAX [Provider Target Placement Rate]:
DIVIDE (
SUM ( 'fact_provider_kpi_monthly'[placed_by_target_count] ),
SUM ( 'fact_provider_kpi_monthly'[successful_referral_count] )
)
Saved source: project X/reports/WIP/SM WMPP v16 updated WIP/SM_WMPP_v16.SemanticModel/definition/tables/_Measures.tmdl:1671
Python/Spark SQL producer/reference spans: 04_gold_model.py:935</x:v>
      </x:c>
      <x:c r="G149" s="13" t="str">
        <x:v>Provider Target Placement Rate</x:v>
      </x:c>
      <x:c r="H149" s="13" t="str">
        <x:v>Section 2 - Provider Activity</x:v>
      </x:c>
      <x:c r="I149" s="30" t="n">
        <x:v>46295</x:v>
      </x:c>
    </x:row>
    <x:row r="150" ht="215" hidden="0" customHeight="1">
      <x:c r="A150" s="13" t="str">
        <x:v>GOLD-KPI-141</x:v>
      </x:c>
      <x:c r="B150" s="13" t="str">
        <x:v>[R13,R51]</x:v>
      </x:c>
      <x:c r="C150" s="13" t="str">
        <x:v>Preferred-city distance coverage</x:v>
      </x:c>
      <x:c r="D150" s="13" t="str">
        <x:v>Proposed requirement association; owner approval pending.
R13: Filter by specialisms, placement type, placement status
R51: Robust data model: placement records, market intelligence, value analysis</x:v>
      </x:c>
      <x:c r="E150" s="13" t="str">
        <x:v>gold.fact_offer</x:v>
      </x:c>
      <x:c r="F150" s="13" t="str">
        <x:v>Existing catalogue entry. Share of offers with preference-city distance evidence. Missing coordinates are not zero distance.
Latest saved source reviewed 17 October 2026. Static definition verified; refresh, role/context reconciliation and UAT remain pending.
Full current logic: KPI_LATEST_CALCULATIONS.md#business-preferred-city-distance-coverage
DAX [Preferred-city distance coverage]:
DIVIDE([Offers with preferred-city distance],[Offers Submitted])
Saved source: project X/reports/WIP/SM WMPP v16 updated WIP/SM_WMPP_v16.SemanticModel/definition/tables/_Explore Measures.tmdl:77
Python/Spark SQL producer/reference spans: 04_gold_model.py:712</x:v>
      </x:c>
      <x:c r="G150" s="13" t="str">
        <x:v>Preferred-city distance coverage</x:v>
      </x:c>
      <x:c r="H150" s="13" t="str">
        <x:v>Section 9 - Other Measures</x:v>
      </x:c>
      <x:c r="I150" s="30" t="n">
        <x:v>46295</x:v>
      </x:c>
    </x:row>
    <x:row r="151" ht="241" hidden="0" customHeight="1">
      <x:c r="A151" s="13" t="str">
        <x:v>GOLD-KPI-142</x:v>
      </x:c>
      <x:c r="B151" s="13" t="str">
        <x:v>[R13,R51]</x:v>
      </x:c>
      <x:c r="C151" s="13" t="str">
        <x:v>Median preferred-city distance km</x:v>
      </x:c>
      <x:c r="D151" s="13" t="str">
        <x:v>Proposed requirement association; owner approval pending.
R13: Filter by specialisms, placement type, placement status
R51: Robust data model: placement records, market intelligence, value analysis</x:v>
      </x:c>
      <x:c r="E151" s="13" t="str">
        <x:v>gold.fact_offer</x:v>
      </x:c>
      <x:c r="F151" s="13" t="str">
        <x:v>Existing catalogue entry. City-centroid to postcode straight-line estimate, not child-address or road distance; approved coordinates required.
Latest saved source reviewed 17 October 2026. Static definition verified; refresh, role/context reconciliation and UAT remain pending.
Full current logic: KPI_LATEST_CALCULATIONS.md#business-median-preferred-city-distance-km
DAX [Median preferred-city distance km]:
MEDIANX(FILTER('fact_offer','fact_offer'[referral_to_home_distance_status]="APPROXIMATE_PREFERENCE_CITY" &amp;&amp; NOT ISBLANK('fact_offer'[referral_to_home_distance_km])),'fact_offer'[referral_to_home_distance_km])
Saved source: project X/reports/WIP/SM WMPP v16 updated WIP/SM_WMPP_v16.SemanticModel/definition/tables/_Explore Measures.tmdl:62
Python/Spark SQL producer/reference spans: 04_gold_model.py:712</x:v>
      </x:c>
      <x:c r="G151" s="13" t="str">
        <x:v>Median preferred-city distance km</x:v>
      </x:c>
      <x:c r="H151" s="18" t="str">
        <x:v>Section 9 - Other Measures</x:v>
      </x:c>
      <x:c r="I151" s="31" t="n">
        <x:v>46295</x:v>
      </x:c>
    </x:row>
    <x:row r="152" ht="228" hidden="0" customHeight="1">
      <x:c r="A152" s="13" t="str">
        <x:v>GOLD-KPI-143</x:v>
      </x:c>
      <x:c r="B152" s="13" t="str">
        <x:v>[R26,R51,R93]</x:v>
      </x:c>
      <x:c r="C152" s="13" t="str">
        <x:v>Homes Offered</x:v>
      </x:c>
      <x:c r="D152" s="13" t="str">
        <x:v>Proposed requirement association; owner approval pending.
R26: Prioritise by match suitability, SOP, existing placements
R51: Robust data model: placement records, market intelligence, value analysis
R93: Placement officer: provider directory, services, homes, docs</x:v>
      </x:c>
      <x:c r="E152" s="13" t="str">
        <x:v>gold.fact_offer</x:v>
      </x:c>
      <x:c r="F152" s="13" t="str">
        <x:v>Existing catalogue entry. Distinct offered homes in current context; not spare capacity or available beds.
Latest saved source reviewed 17 October 2026. Static definition verified; refresh, role/context reconciliation and UAT remain pending.
Full current logic: KPI_LATEST_CALCULATIONS.md#business-homes-offered
DAX [Homes Offered]:
CALCULATE ( DISTINCTCOUNT ( 'fact_offer'[provider_home_id] ),
KEEPFILTERS ( FILTER ( 'fact_offer', NOT ISBLANK ( 'fact_offer'[provider_home_id] ) &amp;&amp; 'fact_offer'[provider_home_id] &lt;&gt; "" ) ) )
Saved source: project X/reports/WIP/SM WMPP v16 updated WIP/SM_WMPP_v16.SemanticModel/definition/tables/_Design Measures.tmdl:82
Python/Spark SQL producer/reference spans: 04_gold_model.py:712</x:v>
      </x:c>
      <x:c r="G152" s="13" t="str">
        <x:v>Homes Offered</x:v>
      </x:c>
      <x:c r="H152" s="18" t="str">
        <x:v>Section 6 - Provider Registry</x:v>
      </x:c>
      <x:c r="I152" s="31" t="n">
        <x:v>46295</x:v>
      </x:c>
    </x:row>
    <x:row r="153" ht="228" hidden="0" customHeight="1">
      <x:c r="A153" s="13" t="str">
        <x:v>GOLD-KPI-144</x:v>
      </x:c>
      <x:c r="B153" s="13" t="str">
        <x:v>[R16,R24]</x:v>
      </x:c>
      <x:c r="C153" s="13" t="str">
        <x:v>Critical Overdue Referrals</x:v>
      </x:c>
      <x:c r="D153" s="13" t="str">
        <x:v>Proposed requirement association; owner approval pending.
R16: Priority information flagged in placement requests
R24: Dashboard: status overview, provider updates, task mgmt, quick updates</x:v>
      </x:c>
      <x:c r="E153" s="13" t="str">
        <x:v>gold.fact_referral</x:v>
      </x:c>
      <x:c r="F153" s="13" t="str">
        <x:v>Existing catalogue entry. Operational overdue/critical cohort; validate urgency rule with owner before escalation.
Latest saved source reviewed 17 October 2026. Static definition verified; refresh, role/context reconciliation and UAT remain pending.
Full current logic: KPI_LATEST_CALCULATIONS.md#business-critical-overdue-referrals
DAX [Critical Overdue Referrals]:
CALCULATE ( [Open Overdue Referrals],
KEEPFILTERS ( 'fact_referral'[placement_urgency_band] = "Critical" ) )
Saved source: project X/reports/WIP/SM WMPP v16 updated WIP/SM_WMPP_v16.SemanticModel/definition/tables/_Design Measures.tmdl:31
Python/Spark SQL producer/reference spans: 04_gold_model.py:232</x:v>
      </x:c>
      <x:c r="G153" s="13" t="str">
        <x:v>Critical Overdue Referrals</x:v>
      </x:c>
      <x:c r="H153" s="18" t="str">
        <x:v>Section 1 - Referral Volume KPIs</x:v>
      </x:c>
      <x:c r="I153" s="31" t="n">
        <x:v>46295</x:v>
      </x:c>
    </x:row>
    <x:row r="154" ht="215" customHeight="1">
      <x:c r="A154" s="13" t="str">
        <x:v>GOLD-KPI-145</x:v>
      </x:c>
      <x:c r="B154" s="13"/>
      <x:c r="C154" s="13" t="str">
        <x:v>Accepted Offers Linked to IPA %</x:v>
      </x:c>
      <x:c r="D154" s="13" t="str">
        <x:v>Requirement association not established; owner review required.</x:v>
      </x:c>
      <x:c r="E154" s="13" t="str">
        <x:v>gold.fact_ipa; gold.fact_offer</x:v>
      </x:c>
      <x:c r="F15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KPI_LATEST_CALCULATIONS.md#business-accepted-offers-linked-to-ipa-percent
DAX [Accepted Offers Linked to IPA %]:
DIVIDE ( [Accepted Offers With IPA], [Accepted Offers] )
Saved source: project X/reports/WIP/SM WMPP v16 updated WIP/SM_WMPP_v16.SemanticModel/definition/tables/_Measures.tmdl:1622
Python/Spark SQL producer/reference spans: 04_gold_model.py:817; 04_gold_model.py:712</x:v>
      </x:c>
      <x:c r="G154" s="13" t="str">
        <x:v>Accepted Offers Linked to IPA %</x:v>
      </x:c>
      <x:c r="H154" s="13" t="str">
        <x:v>Section 11 - Current Business Reporting</x:v>
      </x:c>
      <x:c r="I154" s="30" t="n">
        <x:v>46312</x:v>
      </x:c>
    </x:row>
    <x:row r="155" ht="241" customHeight="1">
      <x:c r="A155" s="13" t="str">
        <x:v>GOLD-KPI-099</x:v>
      </x:c>
      <x:c r="B155" s="13" t="str">
        <x:v>[R35]</x:v>
      </x:c>
      <x:c r="C155" s="13" t="str">
        <x:v>Accepted Offers With IPA</x:v>
      </x:c>
      <x:c r="D155" s="13" t="str">
        <x:v>Proposed requirement association; owner approval pending.</x:v>
      </x:c>
      <x:c r="E155" s="13" t="str">
        <x:v>gold.fact_ipa; gold.fact_offer</x:v>
      </x:c>
      <x:c r="F15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KPI_LATEST_CALCULATIONS.md#business-accepted-offers-with-ipa
DAX [Accepted Offers With IPA]:
VAR linked_offers = VALUES ( 'fact_ipa'[accepted_offer_id] )
RETURN CALCULATE ( [Accepted Offers], KEEPFILTERS ( TREATAS ( linked_offers, 'fact_offer'[offer_id] ) ) )
Saved source: project X/reports/WIP/SM WMPP v16 updated WIP/SM_WMPP_v16.SemanticModel/definition/tables/_Measures.tmdl:1193
Python/Spark SQL producer/reference spans: 04_gold_model.py:817; 04_gold_model.py:712</x:v>
      </x:c>
      <x:c r="G155" s="13" t="str">
        <x:v>Accepted Offers With IPA</x:v>
      </x:c>
      <x:c r="H155" s="13" t="str">
        <x:v>Section 11 - Current Business Reporting</x:v>
      </x:c>
      <x:c r="I155" s="30" t="n">
        <x:v>46260</x:v>
      </x:c>
    </x:row>
    <x:row r="156" ht="189" customHeight="1">
      <x:c r="A156" s="13" t="str">
        <x:v>GOLD-KPI-022</x:v>
      </x:c>
      <x:c r="B156" s="13" t="str">
        <x:v>[R35,R62]</x:v>
      </x:c>
      <x:c r="C156" s="13" t="str">
        <x:v>Active IPAs</x:v>
      </x:c>
      <x:c r="D156" s="13" t="str">
        <x:v>Proposed requirement association; owner approval pending.</x:v>
      </x:c>
      <x:c r="E156" s="13" t="str">
        <x:v>gold.fact_ipa</x:v>
      </x:c>
      <x:c r="F15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KPI_LATEST_CALCULATIONS.md#business-active-ipas
DAX [Active IPAs]:
CALCULATE ( [IPAs Created], 'fact_ipa'[is_placement_closed] = FALSE () )
Saved source: project X/reports/WIP/SM WMPP v16 updated WIP/SM_WMPP_v16.SemanticModel/definition/tables/_Measures.tmdl:983
Python/Spark SQL producer/reference spans: 04_gold_model.py:817</x:v>
      </x:c>
      <x:c r="G156" s="13" t="str">
        <x:v>Active IPAs</x:v>
      </x:c>
      <x:c r="H156" s="13" t="str">
        <x:v>Section 11 - Current Business Reporting</x:v>
      </x:c>
      <x:c r="I156" s="30" t="n">
        <x:v>46260</x:v>
      </x:c>
    </x:row>
    <x:row r="157" ht="306" customHeight="1">
      <x:c r="A157" s="13" t="str">
        <x:v>GOLD-KPI-146</x:v>
      </x:c>
      <x:c r="B157" s="13"/>
      <x:c r="C157" s="13" t="str">
        <x:v>Active Provider Response Rate at Snapshot</x:v>
      </x:c>
      <x:c r="D157" s="13" t="str">
        <x:v>Requirement association not established; owner review required.</x:v>
      </x:c>
      <x:c r="E157" s="13" t="str">
        <x:v>gold.fact_referral_snapshot</x:v>
      </x:c>
      <x:c r="F15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KPI_LATEST_CALCULATIONS.md#business-active-provider-response-rate-at-snapshot
DAX [Active Provider Response Rate at Snapshot]:
VAR eligible_open_referrals =
CALCULATE (
[Snapshot Referrals],
'fact_referral_snapshot'[is_open] = TRUE (),
FILTER (
'fact_referral_snapshot',
NOT ISBLANK ( 'fact_referral_snapshot'[has_provider_response] )
[EXCERPT; exact complete expression and dependencies in linked current calculation document]
Saved source: project X/reports/WIP/SM WMPP v16 updated WIP/SM_WMPP_v16.SemanticModel/definition/tables/_Measures.tmdl:778
Python/Spark SQL producer/reference spans: 04_gold_model.py:567</x:v>
      </x:c>
      <x:c r="G157" s="13" t="str">
        <x:v>Active Provider Response Rate at Snapshot</x:v>
      </x:c>
      <x:c r="H157" s="13" t="str">
        <x:v>Section 11 - Current Business Reporting</x:v>
      </x:c>
      <x:c r="I157" s="30" t="n">
        <x:v>46312</x:v>
      </x:c>
    </x:row>
    <x:row r="158" ht="228" customHeight="1">
      <x:c r="A158" s="13" t="str">
        <x:v>GOLD-KPI-147</x:v>
      </x:c>
      <x:c r="B158" s="13"/>
      <x:c r="C158" s="13" t="str">
        <x:v>Active Referral Engagement Rate MoM %</x:v>
      </x:c>
      <x:c r="D158" s="13" t="str">
        <x:v>Requirement association not established; owner review required.</x:v>
      </x:c>
      <x:c r="E158" s="13" t="str">
        <x:v>gold.dim_snapshot_month; gold.fact_referral_snapshot</x:v>
      </x:c>
      <x:c r="F15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KPI_LATEST_CALCULATIONS.md#business-active-referral-engagement-rate-mom-percent
DAX [Active Referral Engagement Rate MoM %]:
DIVIDE ( [Active Referral Engagement Rate Variance], [Active Referral Engagement Rate Previous Month] )
Saved source: project X/reports/WIP/SM WMPP v16 updated WIP/SM_WMPP_v16.SemanticModel/definition/tables/_Measures.tmdl:1299
Python/Spark SQL producer/reference spans: 05_gold_dimensions.py:390; 04_gold_model.py:567</x:v>
      </x:c>
      <x:c r="G158" s="13" t="str">
        <x:v>Active Referral Engagement Rate MoM %</x:v>
      </x:c>
      <x:c r="H158" s="13" t="str">
        <x:v>Section 11 - Current Business Reporting</x:v>
      </x:c>
      <x:c r="I158" s="30" t="n">
        <x:v>46312</x:v>
      </x:c>
    </x:row>
    <x:row r="159" ht="228" customHeight="1">
      <x:c r="A159" s="13" t="str">
        <x:v>GOLD-KPI-148</x:v>
      </x:c>
      <x:c r="B159" s="13"/>
      <x:c r="C159" s="13" t="str">
        <x:v>Active Referral Engagement Rate Previous Month</x:v>
      </x:c>
      <x:c r="D159" s="13" t="str">
        <x:v>Requirement association not established; owner review required.</x:v>
      </x:c>
      <x:c r="E159" s="13" t="str">
        <x:v>gold.dim_snapshot_month; gold.fact_referral_snapshot</x:v>
      </x:c>
      <x:c r="F15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KPI_LATEST_CALCULATIONS.md#business-active-referral-engagement-rate-previous-month
DAX [Active Referral Engagement Rate Previous Month]:
CALCULATE ( [Active Provider Response Rate at Snapshot], DATEADD ( 'dim_snapshot_month'[month_start], -1, MONTH ) )
Saved source: project X/reports/WIP/SM WMPP v16 updated WIP/SM_WMPP_v16.SemanticModel/definition/tables/_Measures.tmdl:674
Python/Spark SQL producer/reference spans: 05_gold_dimensions.py:390; 04_gold_model.py:567</x:v>
      </x:c>
      <x:c r="G159" s="13" t="str">
        <x:v>Active Referral Engagement Rate Previous Month</x:v>
      </x:c>
      <x:c r="H159" s="13" t="str">
        <x:v>Section 11 - Current Business Reporting</x:v>
      </x:c>
      <x:c r="I159" s="30" t="n">
        <x:v>46312</x:v>
      </x:c>
    </x:row>
    <x:row r="160" ht="228" customHeight="1">
      <x:c r="A160" s="13" t="str">
        <x:v>GOLD-KPI-149</x:v>
      </x:c>
      <x:c r="B160" s="13"/>
      <x:c r="C160" s="13" t="str">
        <x:v>Active Referral Engagement Rate Variance</x:v>
      </x:c>
      <x:c r="D160" s="13" t="str">
        <x:v>Requirement association not established; owner review required.</x:v>
      </x:c>
      <x:c r="E160" s="13" t="str">
        <x:v>gold.dim_snapshot_month; gold.fact_referral_snapshot</x:v>
      </x:c>
      <x:c r="F16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KPI_LATEST_CALCULATIONS.md#business-active-referral-engagement-rate-variance
DAX [Active Referral Engagement Rate Variance]:
[Active Provider Response Rate at Snapshot] - [Active Referral Engagement Rate Previous Month]
Saved source: project X/reports/WIP/SM WMPP v16 updated WIP/SM_WMPP_v16.SemanticModel/definition/tables/_Measures.tmdl:680
Python/Spark SQL producer/reference spans: 05_gold_dimensions.py:390; 04_gold_model.py:567</x:v>
      </x:c>
      <x:c r="G160" s="13" t="str">
        <x:v>Active Referral Engagement Rate Variance</x:v>
      </x:c>
      <x:c r="H160" s="13" t="str">
        <x:v>Section 11 - Current Business Reporting</x:v>
      </x:c>
      <x:c r="I160" s="30" t="n">
        <x:v>46312</x:v>
      </x:c>
    </x:row>
    <x:row r="161" ht="254" customHeight="1">
      <x:c r="A161" s="13" t="str">
        <x:v>GOLD-KPI-150</x:v>
      </x:c>
      <x:c r="B161" s="13"/>
      <x:c r="C161" s="13" t="str">
        <x:v>Active Referrals Awaiting Offers at Snapshot</x:v>
      </x:c>
      <x:c r="D161" s="13" t="str">
        <x:v>Requirement association not established; owner review required.</x:v>
      </x:c>
      <x:c r="E161" s="13" t="str">
        <x:v>gold.fact_referral_snapshot</x:v>
      </x:c>
      <x:c r="F16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KPI_LATEST_CALCULATIONS.md#business-active-referrals-awaiting-offers-at-snapshot
DAX [Active Referrals Awaiting Offers at Snapshot]:
CALCULATE (
[Snapshot Referrals],
'fact_referral_snapshot'[is_open] = TRUE (),
'fact_referral_snapshot'[is_awaiting_offer] = TRUE ()
)
Saved source: project X/reports/WIP/SM WMPP v16 updated WIP/SM_WMPP_v16.SemanticModel/definition/tables/_Measures.tmdl:724
Python/Spark SQL producer/reference spans: 04_gold_model.py:567</x:v>
      </x:c>
      <x:c r="G161" s="13" t="str">
        <x:v>Active Referrals Awaiting Offers at Snapshot</x:v>
      </x:c>
      <x:c r="H161" s="13" t="str">
        <x:v>Section 11 - Current Business Reporting</x:v>
      </x:c>
      <x:c r="I161" s="30" t="n">
        <x:v>46312</x:v>
      </x:c>
    </x:row>
    <x:row r="162" ht="228" customHeight="1">
      <x:c r="A162" s="13" t="str">
        <x:v>GOLD-KPI-151</x:v>
      </x:c>
      <x:c r="B162" s="13"/>
      <x:c r="C162" s="13" t="str">
        <x:v>Active Referrals Awaiting Offers Previous Month</x:v>
      </x:c>
      <x:c r="D162" s="13" t="str">
        <x:v>Requirement association not established; owner review required.</x:v>
      </x:c>
      <x:c r="E162" s="13" t="str">
        <x:v>gold.dim_snapshot_month; gold.fact_referral_snapshot</x:v>
      </x:c>
      <x:c r="F16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KPI_LATEST_CALCULATIONS.md#business-active-referrals-awaiting-offers-previous-month
DAX [Active Referrals Awaiting Offers Previous Month]:
CALCULATE ( [Active Referrals Awaiting Offers at Snapshot], DATEADD ( 'dim_snapshot_month'[month_start], -1, MONTH ) )
Saved source: project X/reports/WIP/SM WMPP v16 updated WIP/SM_WMPP_v16.SemanticModel/definition/tables/_Measures.tmdl:638
Python/Spark SQL producer/reference spans: 05_gold_dimensions.py:390; 04_gold_model.py:567</x:v>
      </x:c>
      <x:c r="G162" s="13" t="str">
        <x:v>Active Referrals Awaiting Offers Previous Month</x:v>
      </x:c>
      <x:c r="H162" s="13" t="str">
        <x:v>Section 11 - Current Business Reporting</x:v>
      </x:c>
      <x:c r="I162" s="30" t="n">
        <x:v>46312</x:v>
      </x:c>
    </x:row>
    <x:row r="163" ht="228" customHeight="1">
      <x:c r="A163" s="13" t="str">
        <x:v>GOLD-KPI-152</x:v>
      </x:c>
      <x:c r="B163" s="13"/>
      <x:c r="C163" s="13" t="str">
        <x:v>Active Referrals Awaiting Offers Variance</x:v>
      </x:c>
      <x:c r="D163" s="13" t="str">
        <x:v>Requirement association not established; owner review required.</x:v>
      </x:c>
      <x:c r="E163" s="13" t="str">
        <x:v>gold.dim_snapshot_month; gold.fact_referral_snapshot</x:v>
      </x:c>
      <x:c r="F16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KPI_LATEST_CALCULATIONS.md#business-active-referrals-awaiting-offers-variance
DAX [Active Referrals Awaiting Offers Variance]:
[Active Referrals Awaiting Offers at Snapshot] - [Active Referrals Awaiting Offers Previous Month]
Saved source: project X/reports/WIP/SM WMPP v16 updated WIP/SM_WMPP_v16.SemanticModel/definition/tables/_Measures.tmdl:648
Python/Spark SQL producer/reference spans: 05_gold_dimensions.py:390; 04_gold_model.py:567</x:v>
      </x:c>
      <x:c r="G163" s="13" t="str">
        <x:v>Active Referrals Awaiting Offers Variance</x:v>
      </x:c>
      <x:c r="H163" s="13" t="str">
        <x:v>Section 11 - Current Business Reporting</x:v>
      </x:c>
      <x:c r="I163" s="30" t="n">
        <x:v>46312</x:v>
      </x:c>
    </x:row>
    <x:row r="164" ht="254" customHeight="1">
      <x:c r="A164" s="13" t="str">
        <x:v>GOLD-KPI-153</x:v>
      </x:c>
      <x:c r="B164" s="13"/>
      <x:c r="C164" s="13" t="str">
        <x:v>Active Referrals Under Offer at Snapshot</x:v>
      </x:c>
      <x:c r="D164" s="13" t="str">
        <x:v>Requirement association not established; owner review required.</x:v>
      </x:c>
      <x:c r="E164" s="13" t="str">
        <x:v>gold.fact_referral_snapshot</x:v>
      </x:c>
      <x:c r="F16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KPI_LATEST_CALCULATIONS.md#business-active-referrals-under-offer-at-snapshot
DAX [Active Referrals Under Offer at Snapshot]:
CALCULATE (
[Snapshot Referrals],
'fact_referral_snapshot'[is_open] = TRUE (),
'fact_referral_snapshot'[current_status] = "UNDER_OFFER"
)
Saved source: project X/reports/WIP/SM WMPP v16 updated WIP/SM_WMPP_v16.SemanticModel/definition/tables/_Measures.tmdl:734
Python/Spark SQL producer/reference spans: 04_gold_model.py:567</x:v>
      </x:c>
      <x:c r="G164" s="13" t="str">
        <x:v>Active Referrals Under Offer at Snapshot</x:v>
      </x:c>
      <x:c r="H164" s="13" t="str">
        <x:v>Section 11 - Current Business Reporting</x:v>
      </x:c>
      <x:c r="I164" s="30" t="n">
        <x:v>46312</x:v>
      </x:c>
    </x:row>
    <x:row r="165" ht="228" customHeight="1">
      <x:c r="A165" s="13" t="str">
        <x:v>GOLD-KPI-154</x:v>
      </x:c>
      <x:c r="B165" s="13"/>
      <x:c r="C165" s="13" t="str">
        <x:v>Active Referrals Under Offer Previous Month</x:v>
      </x:c>
      <x:c r="D165" s="13" t="str">
        <x:v>Requirement association not established; owner review required.</x:v>
      </x:c>
      <x:c r="E165" s="13" t="str">
        <x:v>gold.dim_snapshot_month; gold.fact_referral_snapshot</x:v>
      </x:c>
      <x:c r="F16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KPI_LATEST_CALCULATIONS.md#business-active-referrals-under-offer-previous-month
DAX [Active Referrals Under Offer Previous Month]:
CALCULATE ( [Active Referrals Under Offer at Snapshot], DATEADD ( 'dim_snapshot_month'[month_start], -1, MONTH ) )
Saved source: project X/reports/WIP/SM WMPP v16 updated WIP/SM_WMPP_v16.SemanticModel/definition/tables/_Measures.tmdl:643
Python/Spark SQL producer/reference spans: 05_gold_dimensions.py:390; 04_gold_model.py:567</x:v>
      </x:c>
      <x:c r="G165" s="13" t="str">
        <x:v>Active Referrals Under Offer Previous Month</x:v>
      </x:c>
      <x:c r="H165" s="13" t="str">
        <x:v>Section 11 - Current Business Reporting</x:v>
      </x:c>
      <x:c r="I165" s="30" t="n">
        <x:v>46312</x:v>
      </x:c>
    </x:row>
    <x:row r="166" ht="228" customHeight="1">
      <x:c r="A166" s="13" t="str">
        <x:v>GOLD-KPI-155</x:v>
      </x:c>
      <x:c r="B166" s="13"/>
      <x:c r="C166" s="13" t="str">
        <x:v>Active Referrals Under Offer Variance</x:v>
      </x:c>
      <x:c r="D166" s="13" t="str">
        <x:v>Requirement association not established; owner review required.</x:v>
      </x:c>
      <x:c r="E166" s="13" t="str">
        <x:v>gold.dim_snapshot_month; gold.fact_referral_snapshot</x:v>
      </x:c>
      <x:c r="F16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KPI_LATEST_CALCULATIONS.md#business-active-referrals-under-offer-variance
DAX [Active Referrals Under Offer Variance]:
[Active Referrals Under Offer at Snapshot] - [Active Referrals Under Offer Previous Month]
Saved source: project X/reports/WIP/SM WMPP v16 updated WIP/SM_WMPP_v16.SemanticModel/definition/tables/_Measures.tmdl:661
Python/Spark SQL producer/reference spans: 05_gold_dimensions.py:390; 04_gold_model.py:567</x:v>
      </x:c>
      <x:c r="G166" s="13" t="str">
        <x:v>Active Referrals Under Offer Variance</x:v>
      </x:c>
      <x:c r="H166" s="13" t="str">
        <x:v>Section 11 - Current Business Reporting</x:v>
      </x:c>
      <x:c r="I166" s="30" t="n">
        <x:v>46312</x:v>
      </x:c>
    </x:row>
    <x:row r="167" ht="254" customHeight="1">
      <x:c r="A167" s="13" t="str">
        <x:v>GOLD-KPI-156</x:v>
      </x:c>
      <x:c r="B167" s="13"/>
      <x:c r="C167" s="13" t="str">
        <x:v>Active Referrals With Provider Response at Snapshot</x:v>
      </x:c>
      <x:c r="D167" s="13" t="str">
        <x:v>Requirement association not established; owner review required.</x:v>
      </x:c>
      <x:c r="E167" s="13" t="str">
        <x:v>gold.fact_referral_snapshot</x:v>
      </x:c>
      <x:c r="F16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KPI_LATEST_CALCULATIONS.md#business-active-referrals-with-provider-response-at-snapshot
DAX [Active Referrals With Provider Response at Snapshot]:
CALCULATE (
[Snapshot Referrals],
'fact_referral_snapshot'[is_open] = TRUE (),
'fact_referral_snapshot'[has_provider_response] = TRUE ()
)
Saved source: project X/reports/WIP/SM WMPP v16 updated WIP/SM_WMPP_v16.SemanticModel/definition/tables/_Measures.tmdl:768
Python/Spark SQL producer/reference spans: 04_gold_model.py:567</x:v>
      </x:c>
      <x:c r="G167" s="13" t="str">
        <x:v>Active Referrals With Provider Response at Snapshot</x:v>
      </x:c>
      <x:c r="H167" s="13" t="str">
        <x:v>Section 11 - Current Business Reporting</x:v>
      </x:c>
      <x:c r="I167" s="30" t="n">
        <x:v>46312</x:v>
      </x:c>
    </x:row>
    <x:row r="168" ht="202" customHeight="1">
      <x:c r="A168" s="13" t="str">
        <x:v>GOLD-KPI-097</x:v>
      </x:c>
      <x:c r="B168" s="13"/>
      <x:c r="C168" s="13" t="str">
        <x:v>Average Active IPA Weekly Cost</x:v>
      </x:c>
      <x:c r="D168" s="13" t="str">
        <x:v>Requirement association not established; owner review required.</x:v>
      </x:c>
      <x:c r="E168" s="13" t="str">
        <x:v>gold.fact_ipa</x:v>
      </x:c>
      <x:c r="F16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KPI_LATEST_CALCULATIONS.md#business-average-active-ipa-weekly-cost
DAX [Average Active IPA Weekly Cost]:
DIVIDE ( [Estimated Active Weekly Cost], [Active IPAs] )
Saved source: project X/reports/WIP/SM WMPP v16 updated WIP/SM_WMPP_v16.SemanticModel/definition/tables/_Measures.tmdl:1183
Python/Spark SQL producer/reference spans: 04_gold_model.py:817</x:v>
      </x:c>
      <x:c r="G168" s="13" t="str">
        <x:v>Average Active IPA Weekly Cost</x:v>
      </x:c>
      <x:c r="H168" s="13" t="str">
        <x:v>Section 11 - Current Business Reporting</x:v>
      </x:c>
      <x:c r="I168" s="30" t="n">
        <x:v>46260</x:v>
      </x:c>
    </x:row>
    <x:row r="169" ht="254" customHeight="1">
      <x:c r="A169" s="13" t="str">
        <x:v>GOLD-KPI-157</x:v>
      </x:c>
      <x:c r="B169" s="13"/>
      <x:c r="C169" s="13" t="str">
        <x:v>Average Days Early</x:v>
      </x:c>
      <x:c r="D169" s="13" t="str">
        <x:v>Requirement association not established; owner review required.</x:v>
      </x:c>
      <x:c r="E169" s="13" t="str">
        <x:v>gold.fact_referral</x:v>
      </x:c>
      <x:c r="F169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KPI_LATEST_CALCULATIONS.md#business-average-days-early
DAX [Average Days Early]:
AVERAGEX ( FILTER ( 'fact_referral',
NOT ISBLANK ( 'fact_referral'[ipa_issued_date] ) &amp;&amp; NOT ISBLANK ( 'fact_referral'[required_placement_date] )
&amp;&amp; 'fact_referral'[placed_by_required_date] = TRUE () ),
DATEDIFF ( 'fact_referral'[ipa_issued_date], 'fact_referral'[required_placement_date], DAY ) )
Saved source: project X/reports/WIP/SM WMPP v16 updated WIP/SM_WMPP_v16.SemanticModel/definition/tables/_Design Measures.tmdl:73
Python/Spark SQL producer/reference spans: 04_gold_model.py:232</x:v>
      </x:c>
      <x:c r="G169" s="13" t="str">
        <x:v>Average Days Early</x:v>
      </x:c>
      <x:c r="H169" s="13" t="str">
        <x:v>Section 11 - Current Business Reporting</x:v>
      </x:c>
      <x:c r="I169" s="30" t="n">
        <x:v>46312</x:v>
      </x:c>
    </x:row>
    <x:row r="170" ht="293" customHeight="1">
      <x:c r="A170" s="13" t="str">
        <x:v>GOLD-KPI-024</x:v>
      </x:c>
      <x:c r="B170" s="13" t="str">
        <x:v>[R62]</x:v>
      </x:c>
      <x:c r="C170" s="13" t="str">
        <x:v>Average Estimated Weekly Cost — Confirmed Referrals</x:v>
      </x:c>
      <x:c r="D170" s="13" t="str">
        <x:v>Proposed requirement association; owner approval pending.</x:v>
      </x:c>
      <x:c r="E170" s="13" t="str">
        <x:v>gold.fact_referral</x:v>
      </x:c>
      <x:c r="F17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KPI_LATEST_CALCULATIONS.md#business-average-estimated-weekly-cost-confirmed-referrals
DAX [Average Estimated Weekly Cost — Confirmed Referrals]:
AVERAGEX (
FILTER (
'fact_referral',
NOT ISBLANK ( 'fact_referral'[ipa_issued_date] )
&amp;&amp; NOT ISBLANK ( 'fact_referral'[estimated_weekly_cost] )
),
'fact_referral'[estimated_weekly_cost]
)
Saved source: project X/reports/WIP/SM WMPP v16 updated WIP/SM_WMPP_v16.SemanticModel/definition/tables/_Measures.tmdl:987
Python/Spark SQL producer/reference spans: 04_gold_model.py:232</x:v>
      </x:c>
      <x:c r="G170" s="13" t="str">
        <x:v>Average Estimated Weekly Cost — Confirmed Referrals</x:v>
      </x:c>
      <x:c r="H170" s="13" t="str">
        <x:v>Section 11 - Current Business Reporting</x:v>
      </x:c>
      <x:c r="I170" s="30" t="n">
        <x:v>46260</x:v>
      </x:c>
    </x:row>
    <x:row r="171" ht="202" customHeight="1">
      <x:c r="A171" s="13" t="str">
        <x:v>GOLD-KPI-107</x:v>
      </x:c>
      <x:c r="B171" s="13"/>
      <x:c r="C171" s="13" t="str">
        <x:v>Average Lifecycle Events per Referral</x:v>
      </x:c>
      <x:c r="D171" s="13" t="str">
        <x:v>Requirement association not established; owner review required.</x:v>
      </x:c>
      <x:c r="E171" s="13" t="str">
        <x:v>gold.fact_referral_lifecycle_event</x:v>
      </x:c>
      <x:c r="F17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KPI_LATEST_CALCULATIONS.md#business-average-lifecycle-events-per-referral
DAX [Average Lifecycle Events per Referral]:
DIVIDE ( [Referral Lifecycle Events], [Referrals With Lifecycle Activity] )
Saved source: project X/reports/WIP/SM WMPP v16 updated WIP/SM_WMPP_v16.SemanticModel/definition/tables/_Measures.tmdl:1522
Python/Spark SQL producer/reference spans: 04_gold_model.py:698</x:v>
      </x:c>
      <x:c r="G171" s="13" t="str">
        <x:v>Average Lifecycle Events per Referral</x:v>
      </x:c>
      <x:c r="H171" s="13" t="str">
        <x:v>Section 11 - Current Business Reporting</x:v>
      </x:c>
      <x:c r="I171" s="30" t="n">
        <x:v>46260</x:v>
      </x:c>
    </x:row>
    <x:row r="172" ht="202" customHeight="1">
      <x:c r="A172" s="13" t="str">
        <x:v>GOLD-KPI-057</x:v>
      </x:c>
      <x:c r="B172" s="13"/>
      <x:c r="C172" s="13" t="str">
        <x:v>Average Offers per Provider</x:v>
      </x:c>
      <x:c r="D172" s="13" t="str">
        <x:v>Requirement association not established; owner review required.</x:v>
      </x:c>
      <x:c r="E172" s="13" t="str">
        <x:v>gold.fact_offer</x:v>
      </x:c>
      <x:c r="F17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KPI_LATEST_CALCULATIONS.md#business-average-offers-per-provider
DAX [Average Offers per Provider]:
DIVIDE ( [Non-Draft Offers], [Providers Who Made Offers] )
Saved source: project X/reports/WIP/SM WMPP v16 updated WIP/SM_WMPP_v16.SemanticModel/definition/tables/_Measures.tmdl:1106
Python/Spark SQL producer/reference spans: 04_gold_model.py:712</x:v>
      </x:c>
      <x:c r="G172" s="13" t="str">
        <x:v>Average Offers per Provider</x:v>
      </x:c>
      <x:c r="H172" s="13" t="str">
        <x:v>Section 11 - Current Business Reporting</x:v>
      </x:c>
      <x:c r="I172" s="30" t="n">
        <x:v>46260</x:v>
      </x:c>
    </x:row>
    <x:row r="173" ht="254" customHeight="1">
      <x:c r="A173" s="13" t="str">
        <x:v>GOLD-KPI-158</x:v>
      </x:c>
      <x:c r="B173" s="13"/>
      <x:c r="C173" s="13" t="str">
        <x:v>Average Offers per Provider - Under Offer</x:v>
      </x:c>
      <x:c r="D173" s="13" t="str">
        <x:v>Requirement association not established; owner review required.</x:v>
      </x:c>
      <x:c r="E173" s="13" t="str">
        <x:v>gold.fact_offer; gold.fact_referral</x:v>
      </x:c>
      <x:c r="F17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KPI_LATEST_CALCULATIONS.md#business-average-offers-per-provider-under-offer
DAX [Average Offers per Provider - Under Offer]:
DIVIDE (
[Offers on Referrals Under Offer],
[Providers With Offers on Referrals Under Offer]
)
Saved source: project X/reports/WIP/SM WMPP v16 updated WIP/SM_WMPP_v16.SemanticModel/definition/tables/_Measures.tmdl:1386
Python/Spark SQL producer/reference spans: 04_gold_model.py:232; 04_gold_model.py:712</x:v>
      </x:c>
      <x:c r="G173" s="13" t="str">
        <x:v>Average Offers per Provider - Under Offer</x:v>
      </x:c>
      <x:c r="H173" s="13" t="str">
        <x:v>Section 11 - Current Business Reporting</x:v>
      </x:c>
      <x:c r="I173" s="30" t="n">
        <x:v>46312</x:v>
      </x:c>
    </x:row>
    <x:row r="174" ht="215" customHeight="1">
      <x:c r="A174" s="13" t="str">
        <x:v>GOLD-KPI-018</x:v>
      </x:c>
      <x:c r="B174" s="13"/>
      <x:c r="C174" s="13" t="str">
        <x:v>Average Offers per Referral</x:v>
      </x:c>
      <x:c r="D174" s="13" t="str">
        <x:v>Requirement association not established; owner review required.</x:v>
      </x:c>
      <x:c r="E174" s="13" t="str">
        <x:v>gold.fact_offer; gold.fact_referral</x:v>
      </x:c>
      <x:c r="F17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KPI_LATEST_CALCULATIONS.md#business-average-offers-per-referral
DAX [Average Offers per Referral]:
DIVIDE ( [Offers Submitted], [Referrals With an Offer] )
Saved source: project X/reports/WIP/SM WMPP v16 updated WIP/SM_WMPP_v16.SemanticModel/definition/tables/_Measures.tmdl:978
Python/Spark SQL producer/reference spans: 04_gold_model.py:232; 04_gold_model.py:712</x:v>
      </x:c>
      <x:c r="G174" s="13" t="str">
        <x:v>Average Offers per Referral</x:v>
      </x:c>
      <x:c r="H174" s="13" t="str">
        <x:v>Section 11 - Current Business Reporting</x:v>
      </x:c>
      <x:c r="I174" s="30" t="n">
        <x:v>46260</x:v>
      </x:c>
    </x:row>
    <x:row r="175" ht="319" customHeight="1">
      <x:c r="A175" s="13" t="str">
        <x:v>GOLD-KPI-159</x:v>
      </x:c>
      <x:c r="B175" s="13"/>
      <x:c r="C175" s="13" t="str">
        <x:v>Awaiting offer</x:v>
      </x:c>
      <x:c r="D175" s="13" t="str">
        <x:v>Requirement association not established; owner review required.</x:v>
      </x:c>
      <x:c r="E175" s="13" t="str">
        <x:v>gold.bridge_referral_framework_category; gold.dim_framework_category; gold.fact_referral</x:v>
      </x:c>
      <x:c r="F175" s="13" t="str">
        <x:v>Business metric. Saved category-aware exploration metric
Latest saved source reviewed 17 October 2026. Static definition verified; refresh, role/context reconciliation and UAT remain pending.
Full current logic: KPI_LATEST_CALCULATIONS.md#business-awaiting-offer
DAX [Awaiting offer]:
VAR selectedCategories=VALUES('Referral Category'[Category ID])
VAR ids=CALCULATETABLE(VALUES('bridge_referral_framework_category'[referral_id]),TREATAS(selectedCategories,'bridge_referral_framework_category'[framework_category_id]))
RETURN IF(ISCROSSFILTERED('Referral Category'),CALCULATE([Referrals Awaiting Offer],KEEPFILTERS(TREATAS(ids,'fact_referral'[referral_id]))),[Referrals Awaiting Offer])
Saved source: project X/reports/WIP/SM WMPP v16 updated WIP/SM_WMPP_v16.SemanticModel/definition/tables/_Explore Measures.tmdl:20
Python/Spark SQL producer/reference spans: 05_gold_dimensions.py:179; 04_gold_model.py:232; 05_gold_dimensions.py:210
Calculated-table dependency: Referral Category. Complete saved partition logic is included in the calculation document.</x:v>
      </x:c>
      <x:c r="G175" s="13" t="str">
        <x:v>Awaiting offer</x:v>
      </x:c>
      <x:c r="H175" s="13" t="str">
        <x:v>Section 11 - Current Business Reporting</x:v>
      </x:c>
      <x:c r="I175" s="30" t="n">
        <x:v>46312</x:v>
      </x:c>
    </x:row>
    <x:row r="176" ht="332" customHeight="1">
      <x:c r="A176" s="13" t="str">
        <x:v>GOLD-KPI-160</x:v>
      </x:c>
      <x:c r="B176" s="13"/>
      <x:c r="C176" s="13" t="str">
        <x:v>Category-aware open referrals</x:v>
      </x:c>
      <x:c r="D176" s="13" t="str">
        <x:v>Requirement association not established; owner review required.</x:v>
      </x:c>
      <x:c r="E176" s="13" t="str">
        <x:v>gold.bridge_referral_framework_category; gold.dim_framework_category; gold.fact_referral</x:v>
      </x:c>
      <x:c r="F176" s="13" t="str">
        <x:v>Business metric. Saved category-aware exploration metric
Latest saved source reviewed 17 October 2026. Static definition verified; refresh, role/context reconciliation and UAT remain pending.
Full current logic: KPI_LATEST_CALCULATIONS.md#business-category-aware-open-referrals
DAX [Category-aware open referrals]:
VAR selectedCategories=VALUES('Referral Category'[Category ID])
VAR ids=CALCULATETABLE(VALUES('bridge_referral_framework_category'[referral_id]),TREATAS(selectedCategories,'bridge_referral_framework_category'[framework_category_id]))
RETURN IF(ISCROSSFILTERED('Referral Category'),CALCULATE([Referrals Currently Active],KEEPFILTERS(TREATAS(ids,'fact_referral'[referral_id]))),[Referrals Currently Active])
Saved source: project X/reports/WIP/SM WMPP v16 updated WIP/SM_WMPP_v16.SemanticModel/definition/tables/_Explore Measures.tmdl:12
Python/Spark SQL producer/reference spans: 05_gold_dimensions.py:179; 04_gold_model.py:232; 05_gold_dimensions.py:210
Calculated-table dependency: Referral Category. Complete saved partition logic is included in the calculation document.</x:v>
      </x:c>
      <x:c r="G176" s="13" t="str">
        <x:v>Category-aware open referrals</x:v>
      </x:c>
      <x:c r="H176" s="13" t="str">
        <x:v>Section 11 - Current Business Reporting</x:v>
      </x:c>
      <x:c r="I176" s="30" t="n">
        <x:v>46312</x:v>
      </x:c>
    </x:row>
    <x:row r="177" ht="189" customHeight="1">
      <x:c r="A177" s="13" t="str">
        <x:v>GOLD-KPI-096</x:v>
      </x:c>
      <x:c r="B177" s="13"/>
      <x:c r="C177" s="13" t="str">
        <x:v>Closed IPAs</x:v>
      </x:c>
      <x:c r="D177" s="13" t="str">
        <x:v>Requirement association not established; owner review required.</x:v>
      </x:c>
      <x:c r="E177" s="13" t="str">
        <x:v>gold.fact_ipa</x:v>
      </x:c>
      <x:c r="F17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KPI_LATEST_CALCULATIONS.md#business-closed-ipas
DAX [Closed IPAs]:
CALCULATE ( [IPAs Created], 'fact_ipa'[is_placement_closed] = TRUE () )
Saved source: project X/reports/WIP/SM WMPP v16 updated WIP/SM_WMPP_v16.SemanticModel/definition/tables/_Measures.tmdl:1179
Python/Spark SQL producer/reference spans: 04_gold_model.py:817</x:v>
      </x:c>
      <x:c r="G177" s="13" t="str">
        <x:v>Closed IPAs</x:v>
      </x:c>
      <x:c r="H177" s="13" t="str">
        <x:v>Section 11 - Current Business Reporting</x:v>
      </x:c>
      <x:c r="I177" s="30" t="n">
        <x:v>46260</x:v>
      </x:c>
    </x:row>
    <x:row r="178" ht="293" customHeight="1">
      <x:c r="A178" s="13" t="str">
        <x:v>GOLD-KPI-161</x:v>
      </x:c>
      <x:c r="B178" s="13"/>
      <x:c r="C178" s="13" t="str">
        <x:v>Closed or Cancelled Referrals at Snapshot</x:v>
      </x:c>
      <x:c r="D178" s="13" t="str">
        <x:v>Requirement association not established; owner review required.</x:v>
      </x:c>
      <x:c r="E178" s="13" t="str">
        <x:v>gold.fact_referral_snapshot</x:v>
      </x:c>
      <x:c r="F17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KPI_LATEST_CALCULATIONS.md#business-closed-or-cancelled-referrals-at-snapshot
DAX [Closed or Cancelled Referrals at Snapshot]:
CALCULATE (
[Snapshot Referrals],
FILTER (
'fact_referral_snapshot',
LOWER ( COALESCE ( 'fact_referral_snapshot'[current_status], "" ) )
IN { "closed", "cancelled", "withdrawn", "completed" }
)
)
Saved source: project X/reports/WIP/SM WMPP v16 updated WIP/SM_WMPP_v16.SemanticModel/definition/tables/_Measures.tmdl:711
Python/Spark SQL producer/reference spans: 04_gold_model.py:567</x:v>
      </x:c>
      <x:c r="G178" s="13" t="str">
        <x:v>Closed or Cancelled Referrals at Snapshot</x:v>
      </x:c>
      <x:c r="H178" s="13" t="str">
        <x:v>Section 11 - Current Business Reporting</x:v>
      </x:c>
      <x:c r="I178" s="30" t="n">
        <x:v>46312</x:v>
      </x:c>
    </x:row>
    <x:row r="179" ht="228" customHeight="1">
      <x:c r="A179" s="13" t="str">
        <x:v>GOLD-KPI-162</x:v>
      </x:c>
      <x:c r="B179" s="13"/>
      <x:c r="C179" s="13" t="str">
        <x:v>Closed or Cancelled Referrals MoM %</x:v>
      </x:c>
      <x:c r="D179" s="13" t="str">
        <x:v>Requirement association not established; owner review required.</x:v>
      </x:c>
      <x:c r="E179" s="13" t="str">
        <x:v>gold.dim_date; gold.fact_referral</x:v>
      </x:c>
      <x:c r="F17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KPI_LATEST_CALCULATIONS.md#business-closed-or-cancelled-referrals-mom-percent
DAX [Closed or Cancelled Referrals MoM %]:
DIVIDE ( [Closed or Cancelled Referrals Variance], [Closed or Cancelled Referrals Previous Month] )
Saved source: project X/reports/WIP/SM WMPP v16 updated WIP/SM_WMPP_v16.SemanticModel/definition/tables/_Measures.tmdl:1288
Python/Spark SQL producer/reference spans: 04_gold_model.py:232; 05_gold_dimensions.py:128</x:v>
      </x:c>
      <x:c r="G179" s="13" t="str">
        <x:v>Closed or Cancelled Referrals MoM %</x:v>
      </x:c>
      <x:c r="H179" s="13" t="str">
        <x:v>Section 11 - Current Business Reporting</x:v>
      </x:c>
      <x:c r="I179" s="30" t="n">
        <x:v>46312</x:v>
      </x:c>
    </x:row>
    <x:row r="180" ht="228" customHeight="1">
      <x:c r="A180" s="13" t="str">
        <x:v>GOLD-KPI-163</x:v>
      </x:c>
      <x:c r="B180" s="13"/>
      <x:c r="C180" s="13" t="str">
        <x:v>Closed or Cancelled Referrals Previous Month</x:v>
      </x:c>
      <x:c r="D180" s="13" t="str">
        <x:v>Requirement association not established; owner review required.</x:v>
      </x:c>
      <x:c r="E180" s="13" t="str">
        <x:v>gold.dim_date; gold.fact_referral</x:v>
      </x:c>
      <x:c r="F18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KPI_LATEST_CALCULATIONS.md#business-closed-or-cancelled-referrals-previous-month
DAX [Closed or Cancelled Referrals Previous Month]:
CALCULATE ( [Closed or Cancelled Referrals], DATEADD ( 'dim_date'[date], -1, MONTH ) )
Saved source: project X/reports/WIP/SM WMPP v16 updated WIP/SM_WMPP_v16.SemanticModel/definition/tables/_Measures.tmdl:1280
Python/Spark SQL producer/reference spans: 04_gold_model.py:232; 05_gold_dimensions.py:128</x:v>
      </x:c>
      <x:c r="G180" s="13" t="str">
        <x:v>Closed or Cancelled Referrals Previous Month</x:v>
      </x:c>
      <x:c r="H180" s="13" t="str">
        <x:v>Section 11 - Current Business Reporting</x:v>
      </x:c>
      <x:c r="I180" s="30" t="n">
        <x:v>46312</x:v>
      </x:c>
    </x:row>
    <x:row r="181" ht="228" customHeight="1">
      <x:c r="A181" s="13" t="str">
        <x:v>GOLD-KPI-164</x:v>
      </x:c>
      <x:c r="B181" s="13"/>
      <x:c r="C181" s="13" t="str">
        <x:v>Closed or Cancelled Referrals Variance</x:v>
      </x:c>
      <x:c r="D181" s="13" t="str">
        <x:v>Requirement association not established; owner review required.</x:v>
      </x:c>
      <x:c r="E181" s="13" t="str">
        <x:v>gold.dim_date; gold.fact_referral</x:v>
      </x:c>
      <x:c r="F18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KPI_LATEST_CALCULATIONS.md#business-closed-or-cancelled-referrals-variance
DAX [Closed or Cancelled Referrals Variance]:
[Closed or Cancelled Referrals] - [Closed or Cancelled Referrals Previous Month]
Saved source: project X/reports/WIP/SM WMPP v16 updated WIP/SM_WMPP_v16.SemanticModel/definition/tables/_Measures.tmdl:1284
Python/Spark SQL producer/reference spans: 04_gold_model.py:232; 05_gold_dimensions.py:128</x:v>
      </x:c>
      <x:c r="G181" s="13" t="str">
        <x:v>Closed or Cancelled Referrals Variance</x:v>
      </x:c>
      <x:c r="H181" s="13" t="str">
        <x:v>Section 11 - Current Business Reporting</x:v>
      </x:c>
      <x:c r="I181" s="30" t="n">
        <x:v>46312</x:v>
      </x:c>
    </x:row>
    <x:row r="182" ht="189" customHeight="1">
      <x:c r="A182" s="13" t="str">
        <x:v>GOLD-KPI-003</x:v>
      </x:c>
      <x:c r="B182" s="13" t="str">
        <x:v>[R13]</x:v>
      </x:c>
      <x:c r="C182" s="13" t="str">
        <x:v>Closed Referrals</x:v>
      </x:c>
      <x:c r="D182" s="13" t="str">
        <x:v>Proposed requirement association; owner approval pending.</x:v>
      </x:c>
      <x:c r="E182" s="13" t="str">
        <x:v>gold.fact_referral</x:v>
      </x:c>
      <x:c r="F18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KPI_LATEST_CALCULATIONS.md#business-closed-referrals
DAX [Closed Referrals]:
CALCULATE ( [Total Referrals], 'fact_referral'[is_open] = FALSE () )
Saved source: project X/reports/WIP/SM WMPP v16 updated WIP/SM_WMPP_v16.SemanticModel/definition/tables/_Measures.tmdl:896
Python/Spark SQL producer/reference spans: 04_gold_model.py:232</x:v>
      </x:c>
      <x:c r="G182" s="13" t="str">
        <x:v>Closed Referrals</x:v>
      </x:c>
      <x:c r="H182" s="13" t="str">
        <x:v>Section 11 - Current Business Reporting</x:v>
      </x:c>
      <x:c r="I182" s="30" t="n">
        <x:v>46260</x:v>
      </x:c>
    </x:row>
    <x:row r="183" ht="306" customHeight="1">
      <x:c r="A183" s="13" t="str">
        <x:v>GOLD-KPI-030</x:v>
      </x:c>
      <x:c r="B183" s="13" t="str">
        <x:v>[R13]</x:v>
      </x:c>
      <x:c r="C183" s="13" t="str">
        <x:v>Closed Referrals at Snapshot</x:v>
      </x:c>
      <x:c r="D183" s="13" t="str">
        <x:v>Proposed requirement association; owner approval pending.</x:v>
      </x:c>
      <x:c r="E183" s="13" t="str">
        <x:v>gold.fact_referral_snapshot</x:v>
      </x:c>
      <x:c r="F18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KPI_LATEST_CALCULATIONS.md#business-closed-referrals-at-snapshot
DAX [Closed Referrals at Snapshot]:
CALCULATE (
[Snapshot Referrals],
FILTER (
'fact_referral_snapshot',
NOT ISBLANK ( 'fact_referral_snapshot'[referral_closed_date] )
&amp;&amp; 'fact_referral_snapshot'[referral_closed_date] &lt; 'fact_referral_snapshot'[snapshot_date] + 1
)
)
Saved source: project X/reports/WIP/SM WMPP v16 updated WIP/SM_WMPP_v16.SemanticModel/definition/tables/_Measures.tmdl:797
Python/Spark SQL producer/reference spans: 04_gold_model.py:567</x:v>
      </x:c>
      <x:c r="G183" s="13" t="str">
        <x:v>Closed Referrals at Snapshot</x:v>
      </x:c>
      <x:c r="H183" s="13" t="str">
        <x:v>Section 11 - Current Business Reporting</x:v>
      </x:c>
      <x:c r="I183" s="30" t="n">
        <x:v>46260</x:v>
      </x:c>
    </x:row>
    <x:row r="184" ht="215" customHeight="1">
      <x:c r="A184" s="13" t="str">
        <x:v>GOLD-KPI-165</x:v>
      </x:c>
      <x:c r="B184" s="13"/>
      <x:c r="C184" s="13" t="str">
        <x:v>Closed Referrals MoM %</x:v>
      </x:c>
      <x:c r="D184" s="13" t="str">
        <x:v>Requirement association not established; owner review required.</x:v>
      </x:c>
      <x:c r="E184" s="13" t="str">
        <x:v>gold.dim_snapshot_month; gold.fact_referral_snapshot</x:v>
      </x:c>
      <x:c r="F18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KPI_LATEST_CALCULATIONS.md#business-closed-referrals-mom-percent
DAX [Closed Referrals MoM %]:
DIVIDE ( [Closed Referrals Variance], [Closed Referrals Previous Month] )
Saved source: project X/reports/WIP/SM WMPP v16 updated WIP/SM_WMPP_v16.SemanticModel/definition/tables/_Measures.tmdl:480
Python/Spark SQL producer/reference spans: 05_gold_dimensions.py:390; 04_gold_model.py:567</x:v>
      </x:c>
      <x:c r="G184" s="13" t="str">
        <x:v>Closed Referrals MoM %</x:v>
      </x:c>
      <x:c r="H184" s="13" t="str">
        <x:v>Section 11 - Current Business Reporting</x:v>
      </x:c>
      <x:c r="I184" s="30" t="n">
        <x:v>46312</x:v>
      </x:c>
    </x:row>
    <x:row r="185" ht="228" customHeight="1">
      <x:c r="A185" s="13" t="str">
        <x:v>GOLD-KPI-166</x:v>
      </x:c>
      <x:c r="B185" s="13"/>
      <x:c r="C185" s="13" t="str">
        <x:v>Closed Referrals Previous Month</x:v>
      </x:c>
      <x:c r="D185" s="13" t="str">
        <x:v>Requirement association not established; owner review required.</x:v>
      </x:c>
      <x:c r="E185" s="13" t="str">
        <x:v>gold.dim_snapshot_month; gold.fact_referral_snapshot</x:v>
      </x:c>
      <x:c r="F18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KPI_LATEST_CALCULATIONS.md#business-closed-referrals-previous-month
DAX [Closed Referrals Previous Month]:
CALCULATE ( [Closed or Cancelled Referrals at Snapshot], DATEADD ( 'dim_snapshot_month'[month_start], -1, MONTH ) )
Saved source: project X/reports/WIP/SM WMPP v16 updated WIP/SM_WMPP_v16.SemanticModel/definition/tables/_Measures.tmdl:470
Python/Spark SQL producer/reference spans: 05_gold_dimensions.py:390; 04_gold_model.py:567</x:v>
      </x:c>
      <x:c r="G185" s="13" t="str">
        <x:v>Closed Referrals Previous Month</x:v>
      </x:c>
      <x:c r="H185" s="13" t="str">
        <x:v>Section 11 - Current Business Reporting</x:v>
      </x:c>
      <x:c r="I185" s="30" t="n">
        <x:v>46312</x:v>
      </x:c>
    </x:row>
    <x:row r="186" ht="228" customHeight="1">
      <x:c r="A186" s="13" t="str">
        <x:v>GOLD-KPI-167</x:v>
      </x:c>
      <x:c r="B186" s="13"/>
      <x:c r="C186" s="13" t="str">
        <x:v>Closed Referrals Variance</x:v>
      </x:c>
      <x:c r="D186" s="13" t="str">
        <x:v>Requirement association not established; owner review required.</x:v>
      </x:c>
      <x:c r="E186" s="13" t="str">
        <x:v>gold.dim_snapshot_month; gold.fact_referral_snapshot</x:v>
      </x:c>
      <x:c r="F18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KPI_LATEST_CALCULATIONS.md#business-closed-referrals-variance
DAX [Closed Referrals Variance]:
[Closed or Cancelled Referrals at Snapshot] - [Closed Referrals Previous Month]
Saved source: project X/reports/WIP/SM WMPP v16 updated WIP/SM_WMPP_v16.SemanticModel/definition/tables/_Measures.tmdl:505
Python/Spark SQL producer/reference spans: 05_gold_dimensions.py:390; 04_gold_model.py:567</x:v>
      </x:c>
      <x:c r="G186" s="13" t="str">
        <x:v>Closed Referrals Variance</x:v>
      </x:c>
      <x:c r="H186" s="13" t="str">
        <x:v>Section 11 - Current Business Reporting</x:v>
      </x:c>
      <x:c r="I186" s="30" t="n">
        <x:v>46312</x:v>
      </x:c>
    </x:row>
    <x:row r="187" ht="397" customHeight="1">
      <x:c r="A187" s="13" t="str">
        <x:v>GOLD-KPI-168</x:v>
      </x:c>
      <x:c r="B187" s="13"/>
      <x:c r="C187" s="13" t="str">
        <x:v>Cohort Placement Within Window</x:v>
      </x:c>
      <x:c r="D187" s="13" t="str">
        <x:v>Requirement association not established; owner review required.</x:v>
      </x:c>
      <x:c r="E187" s="13" t="str">
        <x:v>gold.fact_referral</x:v>
      </x:c>
      <x:c r="F187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KPI_LATEST_CALCULATIONS.md#business-cohort-placement-within-window
DAX [Cohort Placement Within Window]:
VAR days = SELECTEDVALUE ( 'Placement Window'[Ordinal] )
VAR eligible = FILTER ( 'fact_referral', NOT ISBLANK ( 'fact_referral'[referral_created_date] )
&amp;&amp; NOT ISBLANK ( 'fact_referral'[as_of_date] )
&amp;&amp; 'fact_referral'[referral_created_date] + days &lt;= 'fact_referral'[as_of_date] )
VAR placed = FILTER ( eligible, NOT ISBLANK ( 'fact_referral'[ipa_issued_date] )
&amp;&amp; 'fact_referral'[ipa_issued_date] &gt;= 'fact_referral'[referral_created_date]
&amp;&amp; 'fact_referral'[ipa_issued_date] &lt;= 'fact_referral'[referral_created_date] + days )
RETURN IF ( NOT ISBLANK ( days ), DIVIDE ( COUNTROWS ( placed ), COUNTROWS ( eligible ) ) )
Saved source: project X/reports/WIP/SM WMPP v16 updated WIP/SM_WMPP_v16.SemanticModel/definition/tables/_Design Measures.tmdl:140
Python/Spark SQL producer/reference spans: 04_gold_model.py:232
Calculated-table dependency: Placement Window. Complete saved partition logic is included in the calculation document.</x:v>
      </x:c>
      <x:c r="G187" s="13" t="str">
        <x:v>Cohort Placement Within Window</x:v>
      </x:c>
      <x:c r="H187" s="13" t="str">
        <x:v>Section 11 - Current Business Reporting</x:v>
      </x:c>
      <x:c r="I187" s="30" t="n">
        <x:v>46312</x:v>
      </x:c>
    </x:row>
    <x:row r="188" ht="306" customHeight="1">
      <x:c r="A188" s="13" t="str">
        <x:v>GOLD-KPI-169</x:v>
      </x:c>
      <x:c r="B188" s="13"/>
      <x:c r="C188" s="13" t="str">
        <x:v>Completed IPAs</x:v>
      </x:c>
      <x:c r="D188" s="13" t="str">
        <x:v>Requirement association not established; owner review required.</x:v>
      </x:c>
      <x:c r="E188" s="13" t="str">
        <x:v>gold.bridge_referral_framework_category; gold.dim_framework_category; gold.fact_ipa; gold.fact_referral</x:v>
      </x:c>
      <x:c r="F188" s="13" t="str">
        <x:v>Business metric. Saved category-aware exploration metric
Latest saved source reviewed 17 October 2026. Static definition verified; refresh, role/context reconciliation and UAT remain pending.
Full current logic: KPI_LATEST_CALCULATIONS.md#business-completed-ipas
DAX [Completed IPAs]:
VAR selectedCategories=VALUES('Referral Category'[Category ID])
VAR ids=CALCULATETABLE(VALUES('bridge_referral_framework_category'[referral_id]),TREATAS(selectedCategories,'bridge_referral_framework_category'[framework_category_id]))
RETURN IF(ISCROSSFILTERED('Referral Category'),CALCULATE([IPA Completed],KEEPFILTERS(TREATAS(ids,'fact_referral'[referral_id]))),[IPA Completed])
Saved source: project X/reports/WIP/SM WMPP v16 updated WIP/SM_WMPP_v16.SemanticModel/definition/tables/_Explore Measures.tmdl:44
Python/Spark SQL producer/reference spans: 05_gold_dimensions.py:179; 04_gold_model.py:817; 04_gold_model.py:232; 05_gold_dimensions.py:210
Calculated-table dependency: Referral Category. Complete saved partition logic is included in the calculation document.</x:v>
      </x:c>
      <x:c r="G188" s="13" t="str">
        <x:v>Completed IPAs</x:v>
      </x:c>
      <x:c r="H188" s="13" t="str">
        <x:v>Section 11 - Current Business Reporting</x:v>
      </x:c>
      <x:c r="I188" s="30" t="n">
        <x:v>46312</x:v>
      </x:c>
    </x:row>
    <x:row r="189" ht="267" customHeight="1">
      <x:c r="A189" s="13" t="str">
        <x:v>GOLD-KPI-170</x:v>
      </x:c>
      <x:c r="B189" s="13"/>
      <x:c r="C189" s="13" t="str">
        <x:v>Connection straight-line km</x:v>
      </x:c>
      <x:c r="D189" s="13" t="str">
        <x:v>Requirement association not established; owner review required.</x:v>
      </x:c>
      <x:c r="E189" s="13" t="str">
        <x:v>gold.dim_provider; gold.dim_provider_home; gold.fact_offer</x:v>
      </x:c>
      <x:c r="F189" s="13" t="str">
        <x:v>Business metric. Approximate record-level distance, not road distance or suitability
Latest saved source reviewed 17 October 2026. Static definition verified; refresh, role/context reconciliation and UAT remain pending.
Full current logic: KPI_LATEST_CALCULATIONS.md#business-connection-straight-line-km
DAX [Connection straight-line km]:
SELECTEDVALUE ( 'Offer Location Paths'[Distance km] )
Saved source: project X/reports/WIP/SM WMPP v16 updated WIP/SM_WMPP_v16.SemanticModel/definition/tables/Offer Location Paths.tmdl:66
Python/Spark SQL producer/reference spans: 04_gold_model.py:712; 05_gold_dimensions.py:163; 05_gold_dimensions.py:155
Calculated-table dependency: Offer Location Paths. Complete saved partition logic is included in the calculation document.</x:v>
      </x:c>
      <x:c r="G189" s="13" t="str">
        <x:v>Connection straight-line km</x:v>
      </x:c>
      <x:c r="H189" s="13" t="str">
        <x:v>Section 11 - Current Business Reporting</x:v>
      </x:c>
      <x:c r="I189" s="30" t="n">
        <x:v>46312</x:v>
      </x:c>
    </x:row>
    <x:row r="190" ht="215" customHeight="1">
      <x:c r="A190" s="13" t="str">
        <x:v>GOLD-KPI-171</x:v>
      </x:c>
      <x:c r="B190" s="13"/>
      <x:c r="C190" s="13" t="str">
        <x:v>Critical Target Hit Rate</x:v>
      </x:c>
      <x:c r="D190" s="13" t="str">
        <x:v>Requirement association not established; owner review required.</x:v>
      </x:c>
      <x:c r="E190" s="13" t="str">
        <x:v>gold.fact_referral</x:v>
      </x:c>
      <x:c r="F190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KPI_LATEST_CALCULATIONS.md#business-critical-target-hit-rate
DAX [Critical Target Hit Rate]:
CALCULATE ( [Placement Target Hit Rate],
KEEPFILTERS ( 'fact_referral'[placement_urgency_band] = "Critical" ) )
Saved source: project X/reports/WIP/SM WMPP v16 updated WIP/SM_WMPP_v16.SemanticModel/definition/tables/_Design Measures.tmdl:38
Python/Spark SQL producer/reference spans: 04_gold_model.py:232</x:v>
      </x:c>
      <x:c r="G190" s="13" t="str">
        <x:v>Critical Target Hit Rate</x:v>
      </x:c>
      <x:c r="H190" s="13" t="str">
        <x:v>Section 11 - Current Business Reporting</x:v>
      </x:c>
      <x:c r="I190" s="30" t="n">
        <x:v>46312</x:v>
      </x:c>
    </x:row>
    <x:row r="191" ht="254" customHeight="1">
      <x:c r="A191" s="13" t="str">
        <x:v>GOLD-KPI-172</x:v>
      </x:c>
      <x:c r="B191" s="13"/>
      <x:c r="C191" s="13" t="str">
        <x:v>Detail map points</x:v>
      </x:c>
      <x:c r="D191" s="13" t="str">
        <x:v>Requirement association not established; owner review required.</x:v>
      </x:c>
      <x:c r="E191" s="13" t="str">
        <x:v>gold.dim_provider; gold.dim_provider_home; gold.fact_offer; gold.fact_referral; gold.fact_referral_provider</x:v>
      </x:c>
      <x:c r="F191" s="13" t="str">
        <x:v>Business metric. Saved detail count in the required record context
Latest saved source reviewed 17 October 2026. Static definition verified; refresh, role/context reconciliation and UAT remain pending.
Full current logic: KPI_LATEST_CALCULATIONS.md#business-detail-map-points
DAX [Detail map points]:
IF([Detail referral selected] = 1, COUNTROWS('Referral Map Points'), BLANK())
Saved source: project X/reports/WIP/SM WMPP v16 updated WIP/SM_WMPP_v16.SemanticModel/definition/tables/_Story Measures.tmdl:14
Python/Spark SQL producer/reference spans: 04_gold_model.py:232; 05_gold_dimensions.py:163; 05_gold_dimensions.py:155; 04_gold_model.py:712; 04_gold_model.py:847
Calculated-table dependency: Referral Map Points. Complete saved partition logic is included in the calculation document.</x:v>
      </x:c>
      <x:c r="G191" s="13" t="str">
        <x:v>Detail map points</x:v>
      </x:c>
      <x:c r="H191" s="13" t="str">
        <x:v>Section 11 - Current Business Reporting</x:v>
      </x:c>
      <x:c r="I191" s="30" t="n">
        <x:v>46312</x:v>
      </x:c>
    </x:row>
    <x:row r="192" ht="319" customHeight="1">
      <x:c r="A192" s="13" t="str">
        <x:v>GOLD-KPI-173</x:v>
      </x:c>
      <x:c r="B192" s="13"/>
      <x:c r="C192" s="13" t="str">
        <x:v>Draft No Activity Since Creation (Under Offer Referrals)</x:v>
      </x:c>
      <x:c r="D192" s="13" t="str">
        <x:v>Requirement association not established; owner review required.</x:v>
      </x:c>
      <x:c r="E192" s="13" t="str">
        <x:v>gold.fact_offer; gold.fact_referral</x:v>
      </x:c>
      <x:c r="F19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KPI_LATEST_CALCULATIONS.md#business-draft-no-activity-since-creation-under-offer-referrals
DAX [Draft No Activity Since Creation (Under Offer Referrals)]:
CALCULATE (
[Offers Submitted],
'fact_offer'[is_draft_no_activity] = TRUE (),
FILTER (
'fact_referral',
'fact_referral'[is_open] = TRUE () &amp;&amp; 'fact_referral'[current_status] = "UNDER_OFFER"
)
)
Saved source: project X/reports/WIP/SM WMPP v16 updated WIP/SM_WMPP_v16.SemanticModel/definition/tables/_Measures.tmdl:121
Python/Spark SQL producer/reference spans: 04_gold_model.py:232; 04_gold_model.py:712</x:v>
      </x:c>
      <x:c r="G192" s="13" t="str">
        <x:v>Draft No Activity Since Creation (Under Offer Referrals)</x:v>
      </x:c>
      <x:c r="H192" s="13" t="str">
        <x:v>Section 11 - Current Business Reporting</x:v>
      </x:c>
      <x:c r="I192" s="30" t="n">
        <x:v>46312</x:v>
      </x:c>
    </x:row>
    <x:row r="193" ht="267" customHeight="1">
      <x:c r="A193" s="13" t="str">
        <x:v>GOLD-KPI-174</x:v>
      </x:c>
      <x:c r="B193" s="13"/>
      <x:c r="C193" s="13" t="str">
        <x:v>Draft Offer Count (Under Offer Referrals)</x:v>
      </x:c>
      <x:c r="D193" s="13" t="str">
        <x:v>Requirement association not established; owner review required.</x:v>
      </x:c>
      <x:c r="E193" s="13" t="str">
        <x:v>gold.fact_offer; gold.fact_referral</x:v>
      </x:c>
      <x:c r="F19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KPI_LATEST_CALCULATIONS.md#business-draft-offer-count-under-offer-referrals
DAX [Draft Offer Count (Under Offer Referrals)]:
CALCULATE (
[Offers in Draft],
FILTER ( 'fact_referral', 'fact_referral'[is_open] = TRUE () &amp;&amp; 'fact_referral'[current_status] = "UNDER_OFFER" )
)
Saved source: project X/reports/WIP/SM WMPP v16 updated WIP/SM_WMPP_v16.SemanticModel/definition/tables/_Measures.tmdl:190
Python/Spark SQL producer/reference spans: 04_gold_model.py:232; 04_gold_model.py:712</x:v>
      </x:c>
      <x:c r="G193" s="13" t="str">
        <x:v>Draft Offer Count (Under Offer Referrals)</x:v>
      </x:c>
      <x:c r="H193" s="13" t="str">
        <x:v>Section 11 - Current Business Reporting</x:v>
      </x:c>
      <x:c r="I193" s="30" t="n">
        <x:v>46312</x:v>
      </x:c>
    </x:row>
    <x:row r="194" ht="293" customHeight="1">
      <x:c r="A194" s="13" t="str">
        <x:v>GOLD-KPI-066</x:v>
      </x:c>
      <x:c r="B194" s="13"/>
      <x:c r="C194" s="13" t="str">
        <x:v>Draft Offers Stalled 14+ Days</x:v>
      </x:c>
      <x:c r="D194" s="13" t="str">
        <x:v>Requirement association not established; owner review required.</x:v>
      </x:c>
      <x:c r="E194" s="13" t="str">
        <x:v>gold.fact_offer</x:v>
      </x:c>
      <x:c r="F19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KPI_LATEST_CALCULATIONS.md#business-draft-offers-stalled-14-days
DAX [Draft Offers Stalled 14+ Days]:
CALCULATE (
[Offers Submitted],
FILTER (
'fact_offer',
LOWER ( COALESCE ( 'fact_offer'[offer_status], "" ) ) = "draft"
&amp;&amp; 'fact_offer'[days_since_offer_activity] &gt;= 14
)
)
Saved source: project X/reports/WIP/SM WMPP v16 updated WIP/SM_WMPP_v16.SemanticModel/definition/tables/_Measures.tmdl:1448
Python/Spark SQL producer/reference spans: 04_gold_model.py:712</x:v>
      </x:c>
      <x:c r="G194" s="13" t="str">
        <x:v>Draft Offers Stalled 14+ Days</x:v>
      </x:c>
      <x:c r="H194" s="13" t="str">
        <x:v>Section 11 - Current Business Reporting</x:v>
      </x:c>
      <x:c r="I194" s="30" t="n">
        <x:v>46260</x:v>
      </x:c>
    </x:row>
    <x:row r="195" ht="306" customHeight="1">
      <x:c r="A195" s="13" t="str">
        <x:v>GOLD-KPI-175</x:v>
      </x:c>
      <x:c r="B195" s="13"/>
      <x:c r="C195" s="13" t="str">
        <x:v>Draft Offers Stalled 14+ Days - Under Offer Referrals</x:v>
      </x:c>
      <x:c r="D195" s="13" t="str">
        <x:v>Requirement association not established; owner review required.</x:v>
      </x:c>
      <x:c r="E195" s="13" t="str">
        <x:v>gold.fact_offer; gold.fact_referral</x:v>
      </x:c>
      <x:c r="F19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KPI_LATEST_CALCULATIONS.md#business-draft-offers-stalled-14-days-under-offer-referrals
DAX [Draft Offers Stalled 14+ Days - Under Offer Referrals]:
CALCULATE (
[Draft Offers Stalled 14+ Days],
FILTER (
'fact_referral',
'fact_referral'[is_open] = TRUE () &amp;&amp; 'fact_referral'[current_status] = "UNDER_OFFER"
)
)
Saved source: project X/reports/WIP/SM WMPP v16 updated WIP/SM_WMPP_v16.SemanticModel/definition/tables/_Measures.tmdl:1567
Python/Spark SQL producer/reference spans: 04_gold_model.py:232; 04_gold_model.py:712</x:v>
      </x:c>
      <x:c r="G195" s="13" t="str">
        <x:v>Draft Offers Stalled 14+ Days - Under Offer Referrals</x:v>
      </x:c>
      <x:c r="H195" s="13" t="str">
        <x:v>Section 11 - Current Business Reporting</x:v>
      </x:c>
      <x:c r="I195" s="30" t="n">
        <x:v>46312</x:v>
      </x:c>
    </x:row>
    <x:row r="196" ht="293" customHeight="1">
      <x:c r="A196" s="13" t="str">
        <x:v>GOLD-KPI-020</x:v>
      </x:c>
      <x:c r="B196" s="13"/>
      <x:c r="C196" s="13" t="str">
        <x:v>Draft Offers Stalled 7+ Days</x:v>
      </x:c>
      <x:c r="D196" s="13" t="str">
        <x:v>Requirement association not established; owner review required.</x:v>
      </x:c>
      <x:c r="E196" s="13" t="str">
        <x:v>gold.fact_offer</x:v>
      </x:c>
      <x:c r="F19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KPI_LATEST_CALCULATIONS.md#business-draft-offers-stalled-7-days
DAX [Draft Offers Stalled 7+ Days]:
CALCULATE (
[Offers Submitted],
FILTER (
'fact_offer',
LOWER ( COALESCE ( 'fact_offer'[offer_status], "" ) ) = "draft"
&amp;&amp; 'fact_offer'[days_since_offer_activity] &gt;= 7
)
)
Saved source: project X/reports/WIP/SM WMPP v16 updated WIP/SM_WMPP_v16.SemanticModel/definition/tables/_Measures.tmdl:1416
Python/Spark SQL producer/reference spans: 04_gold_model.py:712</x:v>
      </x:c>
      <x:c r="G196" s="13" t="str">
        <x:v>Draft Offers Stalled 7+ Days</x:v>
      </x:c>
      <x:c r="H196" s="13" t="str">
        <x:v>Section 11 - Current Business Reporting</x:v>
      </x:c>
      <x:c r="I196" s="30" t="n">
        <x:v>46260</x:v>
      </x:c>
    </x:row>
    <x:row r="197" ht="306" customHeight="1">
      <x:c r="A197" s="13" t="str">
        <x:v>GOLD-KPI-176</x:v>
      </x:c>
      <x:c r="B197" s="13"/>
      <x:c r="C197" s="13" t="str">
        <x:v>Draft Offers With No Activity - Under Offer Referrals</x:v>
      </x:c>
      <x:c r="D197" s="13" t="str">
        <x:v>Requirement association not established; owner review required.</x:v>
      </x:c>
      <x:c r="E197" s="13" t="str">
        <x:v>gold.fact_offer; gold.fact_referral</x:v>
      </x:c>
      <x:c r="F19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KPI_LATEST_CALCULATIONS.md#business-draft-offers-with-no-activity-under-offer-referrals
DAX [Draft Offers With No Activity - Under Offer Referrals]:
CALCULATE (
[Draft Offers With No Activity Since Creation],
FILTER (
'fact_referral',
'fact_referral'[is_open] = TRUE () &amp;&amp; 'fact_referral'[current_status] = "UNDER_OFFER"
)
)
Saved source: project X/reports/WIP/SM WMPP v16 updated WIP/SM_WMPP_v16.SemanticModel/definition/tables/_Measures.tmdl:1556
Python/Spark SQL producer/reference spans: 04_gold_model.py:232; 04_gold_model.py:712</x:v>
      </x:c>
      <x:c r="G197" s="13" t="str">
        <x:v>Draft Offers With No Activity - Under Offer Referrals</x:v>
      </x:c>
      <x:c r="H197" s="13" t="str">
        <x:v>Section 11 - Current Business Reporting</x:v>
      </x:c>
      <x:c r="I197" s="30" t="n">
        <x:v>46312</x:v>
      </x:c>
    </x:row>
    <x:row r="198" ht="332" customHeight="1">
      <x:c r="A198" s="13" t="str">
        <x:v>GOLD-KPI-177</x:v>
      </x:c>
      <x:c r="B198" s="13"/>
      <x:c r="C198" s="13" t="str">
        <x:v>Drafts No Activity 14+ Days (Under Offer Referrals)</x:v>
      </x:c>
      <x:c r="D198" s="13" t="str">
        <x:v>Requirement association not established; owner review required.</x:v>
      </x:c>
      <x:c r="E198" s="13" t="str">
        <x:v>gold.fact_offer; gold.fact_referral</x:v>
      </x:c>
      <x:c r="F19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KPI_LATEST_CALCULATIONS.md#business-drafts-no-activity-14-days-under-offer-referrals
DAX [Drafts No Activity 14+ Days (Under Offer Referrals)]:
CALCULATE (
[Offers Submitted],
'fact_offer'[is_draft_no_activity] = TRUE (),
'fact_offer'[days_since_offer_activity] &gt;= 14,
FILTER (
'fact_referral',
'fact_referral'[is_open] = TRUE () &amp;&amp; 'fact_referral'[current_status] = "UNDER_OFFER"
)
)
Saved source: project X/reports/WIP/SM WMPP v16 updated WIP/SM_WMPP_v16.SemanticModel/definition/tables/_Measures.tmdl:149
Python/Spark SQL producer/reference spans: 04_gold_model.py:232; 04_gold_model.py:712</x:v>
      </x:c>
      <x:c r="G198" s="13" t="str">
        <x:v>Drafts No Activity 14+ Days (Under Offer Referrals)</x:v>
      </x:c>
      <x:c r="H198" s="13" t="str">
        <x:v>Section 11 - Current Business Reporting</x:v>
      </x:c>
      <x:c r="I198" s="30" t="n">
        <x:v>46312</x:v>
      </x:c>
    </x:row>
    <x:row r="199" ht="228" customHeight="1">
      <x:c r="A199" s="13" t="str">
        <x:v>GOLD-KPI-178</x:v>
      </x:c>
      <x:c r="B199" s="13"/>
      <x:c r="C199" s="13" t="str">
        <x:v>Drafts With No Activity Since Creation (Under Offer) %</x:v>
      </x:c>
      <x:c r="D199" s="13" t="str">
        <x:v>Requirement association not established; owner review required.</x:v>
      </x:c>
      <x:c r="E199" s="13" t="str">
        <x:v>gold.fact_offer; gold.fact_referral</x:v>
      </x:c>
      <x:c r="F19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KPI_LATEST_CALCULATIONS.md#business-drafts-with-no-activity-since-creation-under-offer-percent
DAX [Drafts With No Activity Since Creation (Under Offer) %]:
DIVIDE ( [Draft No Activity Since Creation (Under Offer Referrals)], [Draft Offer Count (Under Offer Referrals)] )
Saved source: project X/reports/WIP/SM WMPP v16 updated WIP/SM_WMPP_v16.SemanticModel/definition/tables/_Measures.tmdl:1637
Python/Spark SQL producer/reference spans: 04_gold_model.py:232; 04_gold_model.py:712</x:v>
      </x:c>
      <x:c r="G199" s="13" t="str">
        <x:v>Drafts With No Activity Since Creation (Under Offer) %</x:v>
      </x:c>
      <x:c r="H199" s="13" t="str">
        <x:v>Section 11 - Current Business Reporting</x:v>
      </x:c>
      <x:c r="I199" s="30" t="n">
        <x:v>46312</x:v>
      </x:c>
    </x:row>
    <x:row r="200" ht="371" customHeight="1">
      <x:c r="A200" s="13" t="str">
        <x:v>GOLD-KPI-179</x:v>
      </x:c>
      <x:c r="B200" s="13"/>
      <x:c r="C200" s="13" t="str">
        <x:v>Explorer Gold accepted offers</x:v>
      </x:c>
      <x:c r="D200" s="13" t="str">
        <x:v>Requirement association not established; owner review required.</x:v>
      </x:c>
      <x:c r="E200" s="13" t="str">
        <x:v>gold.dim_provider; gold.dim_provider_home; gold.dim_referral_provider_message; gold.fact_ipa; gold.fact_offer; gold.fact_provider_kpi_monthly; gold.fact_referral_provider</x:v>
      </x:c>
      <x:c r="F200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KPI_LATEST_CALCULATIONS.md#business-explorer-gold-accepted-offers
DAX [Explorer Gold accepted offers]: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Measures.tmdl:421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0" s="13" t="str">
        <x:v>Explorer Gold accepted offers</x:v>
      </x:c>
      <x:c r="H200" s="13" t="str">
        <x:v>Section 11 - Current Business Reporting</x:v>
      </x:c>
      <x:c r="I200" s="30" t="n">
        <x:v>46312</x:v>
      </x:c>
    </x:row>
    <x:row r="201" ht="371" customHeight="1">
      <x:c r="A201" s="13" t="str">
        <x:v>GOLD-KPI-180</x:v>
      </x:c>
      <x:c r="B201" s="13"/>
      <x:c r="C201" s="13" t="str">
        <x:v>Explorer Gold average response minutes</x:v>
      </x:c>
      <x:c r="D201" s="13" t="str">
        <x:v>Requirement association not established; owner review required.</x:v>
      </x:c>
      <x:c r="E201" s="13" t="str">
        <x:v>gold.dim_provider; gold.dim_provider_home; gold.dim_referral_provider_message; gold.fact_ipa; gold.fact_offer; gold.fact_provider_kpi_monthly; gold.fact_referral_provider</x:v>
      </x:c>
      <x:c r="F201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KPI_LATEST_CALCULATIONS.md#business-explorer-gold-average-response-minutes
DAX [Explorer Gold average response minutes]: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Measures.tmdl:487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1" s="13" t="str">
        <x:v>Explorer Gold average response minutes</x:v>
      </x:c>
      <x:c r="H201" s="13" t="str">
        <x:v>Section 11 - Current Business Reporting</x:v>
      </x:c>
      <x:c r="I201" s="30" t="n">
        <x:v>46312</x:v>
      </x:c>
    </x:row>
    <x:row r="202" ht="371" customHeight="1">
      <x:c r="A202" s="13" t="str">
        <x:v>GOLD-KPI-181</x:v>
      </x:c>
      <x:c r="B202" s="13"/>
      <x:c r="C202" s="13" t="str">
        <x:v>Explorer Gold median response minutes</x:v>
      </x:c>
      <x:c r="D202" s="13" t="str">
        <x:v>Requirement association not established; owner review required.</x:v>
      </x:c>
      <x:c r="E202" s="13" t="str">
        <x:v>gold.dim_provider; gold.dim_provider_home; gold.dim_referral_provider_message; gold.fact_ipa; gold.fact_offer; gold.fact_provider_kpi_monthly; gold.fact_referral_provider</x:v>
      </x:c>
      <x:c r="F202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KPI_LATEST_CALCULATIONS.md#business-explorer-gold-median-response-minutes
DAX [Explorer Gold median response minutes]: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Measures.tmdl:504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2" s="13" t="str">
        <x:v>Explorer Gold median response minutes</x:v>
      </x:c>
      <x:c r="H202" s="13" t="str">
        <x:v>Section 11 - Current Business Reporting</x:v>
      </x:c>
      <x:c r="I202" s="30" t="n">
        <x:v>46312</x:v>
      </x:c>
    </x:row>
    <x:row r="203" ht="306" customHeight="1">
      <x:c r="A203" s="13" t="str">
        <x:v>GOLD-KPI-182</x:v>
      </x:c>
      <x:c r="B203" s="13"/>
      <x:c r="C203" s="13" t="str">
        <x:v>Explorer Gold offer acceptance rate</x:v>
      </x:c>
      <x:c r="D203" s="13" t="str">
        <x:v>Requirement association not established; owner review required.</x:v>
      </x:c>
      <x:c r="E203" s="13" t="str">
        <x:v>gold.dim_provider; gold.dim_provider_home; gold.dim_referral_provider_message; gold.fact_ipa; gold.fact_offer; gold.fact_provider_kpi_monthly; gold.fact_referral_provider</x:v>
      </x:c>
      <x:c r="F203" s="13" t="str">
        <x:v>Business metric.
Latest saved source reviewed 17 October 2026. Static definition verified; refresh, role/context reconciliation and UAT remain pending.
Gold accepted offer component divided by Gold offer component; retain the recorded cohort and source draft semantics.
Full current logic: KPI_LATEST_CALCULATIONS.md#business-explorer-gold-offer-acceptance-rate
DAX [Explorer Gold offer acceptance rate]:
DIVIDE([Explorer Gold accepted offers],[Explorer Gold offers])
Saved source: project X/reports/WIP/SM WMPP v16 updated WIP/SM_WMPP_v16.SemanticModel/definition/tables/_Explorer KPI Measures.tmdl:477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3" s="13" t="str">
        <x:v>Explorer Gold offer acceptance rate</x:v>
      </x:c>
      <x:c r="H203" s="13" t="str">
        <x:v>Section 11 - Current Business Reporting</x:v>
      </x:c>
      <x:c r="I203" s="30" t="n">
        <x:v>46312</x:v>
      </x:c>
    </x:row>
    <x:row r="204" ht="358" customHeight="1">
      <x:c r="A204" s="13" t="str">
        <x:v>GOLD-KPI-183</x:v>
      </x:c>
      <x:c r="B204" s="13"/>
      <x:c r="C204" s="13" t="str">
        <x:v>Explorer Gold offers</x:v>
      </x:c>
      <x:c r="D204" s="13" t="str">
        <x:v>Requirement association not established; owner review required.</x:v>
      </x:c>
      <x:c r="E204" s="13" t="str">
        <x:v>gold.dim_provider; gold.dim_provider_home; gold.dim_referral_provider_message; gold.fact_ipa; gold.fact_offer; gold.fact_provider_kpi_monthly; gold.fact_referral_provider</x:v>
      </x:c>
      <x:c r="F204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KPI_LATEST_CALCULATIONS.md#business-explorer-gold-offers
DAX [Explorer Gold offers]: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Measures.tmdl:404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4" s="13" t="str">
        <x:v>Explorer Gold offers</x:v>
      </x:c>
      <x:c r="H204" s="13" t="str">
        <x:v>Section 11 - Current Business Reporting</x:v>
      </x:c>
      <x:c r="I204" s="30" t="n">
        <x:v>46312</x:v>
      </x:c>
    </x:row>
    <x:row r="205" ht="371" customHeight="1">
      <x:c r="A205" s="13" t="str">
        <x:v>GOLD-KPI-184</x:v>
      </x:c>
      <x:c r="B205" s="13"/>
      <x:c r="C205" s="13" t="str">
        <x:v>Explorer Gold opportunities</x:v>
      </x:c>
      <x:c r="D205" s="13" t="str">
        <x:v>Requirement association not established; owner review required.</x:v>
      </x:c>
      <x:c r="E205" s="13" t="str">
        <x:v>gold.dim_provider; gold.dim_provider_home; gold.dim_referral_provider_message; gold.fact_ipa; gold.fact_offer; gold.fact_provider_kpi_monthly; gold.fact_referral_provider</x:v>
      </x:c>
      <x:c r="F205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KPI_LATEST_CALCULATIONS.md#business-explorer-gold-opportunities
DAX [Explorer Gold opportunities]: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Measures.tmdl:370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5" s="13" t="str">
        <x:v>Explorer Gold opportunities</x:v>
      </x:c>
      <x:c r="H205" s="13" t="str">
        <x:v>Section 11 - Current Business Reporting</x:v>
      </x:c>
      <x:c r="I205" s="30" t="n">
        <x:v>46312</x:v>
      </x:c>
    </x:row>
    <x:row r="206" ht="371" customHeight="1">
      <x:c r="A206" s="13" t="str">
        <x:v>GOLD-KPI-185</x:v>
      </x:c>
      <x:c r="B206" s="13"/>
      <x:c r="C206" s="13" t="str">
        <x:v>Explorer Gold placed by target</x:v>
      </x:c>
      <x:c r="D206" s="13" t="str">
        <x:v>Requirement association not established; owner review required.</x:v>
      </x:c>
      <x:c r="E206" s="13" t="str">
        <x:v>gold.dim_provider; gold.dim_provider_home; gold.dim_referral_provider_message; gold.fact_ipa; gold.fact_offer; gold.fact_provider_kpi_monthly; gold.fact_referral_provider</x:v>
      </x:c>
      <x:c r="F206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KPI_LATEST_CALCULATIONS.md#business-explorer-gold-placed-by-target
DAX [Explorer Gold placed by target]: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Measures.tmdl:455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6" s="13" t="str">
        <x:v>Explorer Gold placed by target</x:v>
      </x:c>
      <x:c r="H206" s="13" t="str">
        <x:v>Section 11 - Current Business Reporting</x:v>
      </x:c>
      <x:c r="I206" s="30" t="n">
        <x:v>46312</x:v>
      </x:c>
    </x:row>
    <x:row r="207" ht="306" customHeight="1">
      <x:c r="A207" s="13" t="str">
        <x:v>GOLD-KPI-186</x:v>
      </x:c>
      <x:c r="B207" s="13"/>
      <x:c r="C207" s="13" t="str">
        <x:v>Explorer Gold response rate</x:v>
      </x:c>
      <x:c r="D207" s="13" t="str">
        <x:v>Requirement association not established; owner review required.</x:v>
      </x:c>
      <x:c r="E207" s="13" t="str">
        <x:v>gold.dim_provider; gold.dim_provider_home; gold.dim_referral_provider_message; gold.fact_ipa; gold.fact_offer; gold.fact_provider_kpi_monthly; gold.fact_referral_provider</x:v>
      </x:c>
      <x:c r="F207" s="13" t="str">
        <x:v>Business metric.
Latest saved source reviewed 17 October 2026. Static definition verified; refresh, role/context reconciliation and UAT remain pending.
Gold qualifying responses divided by Gold assignment-cohort opportunities; not message volume or an overall quality score.
Full current logic: KPI_LATEST_CALCULATIONS.md#business-explorer-gold-response-rate
DAX [Explorer Gold response rate]:
DIVIDE([Explorer Gold responses],[Explorer Gold opportunities])
Saved source: project X/reports/WIP/SM WMPP v16 updated WIP/SM_WMPP_v16.SemanticModel/definition/tables/_Explorer KPI Measures.tmdl:472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7" s="13" t="str">
        <x:v>Explorer Gold response rate</x:v>
      </x:c>
      <x:c r="H207" s="13" t="str">
        <x:v>Section 11 - Current Business Reporting</x:v>
      </x:c>
      <x:c r="I207" s="30" t="n">
        <x:v>46312</x:v>
      </x:c>
    </x:row>
    <x:row r="208" ht="371" customHeight="1">
      <x:c r="A208" s="13" t="str">
        <x:v>GOLD-KPI-187</x:v>
      </x:c>
      <x:c r="B208" s="13"/>
      <x:c r="C208" s="13" t="str">
        <x:v>Explorer Gold responses</x:v>
      </x:c>
      <x:c r="D208" s="13" t="str">
        <x:v>Requirement association not established; owner review required.</x:v>
      </x:c>
      <x:c r="E208" s="13" t="str">
        <x:v>gold.dim_provider; gold.dim_provider_home; gold.dim_referral_provider_message; gold.fact_ipa; gold.fact_offer; gold.fact_provider_kpi_monthly; gold.fact_referral_provider</x:v>
      </x:c>
      <x:c r="F208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KPI_LATEST_CALCULATIONS.md#business-explorer-gold-responses
DAX [Explorer Gold responses]: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Measures.tmdl:387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8" s="13" t="str">
        <x:v>Explorer Gold responses</x:v>
      </x:c>
      <x:c r="H208" s="13" t="str">
        <x:v>Section 11 - Current Business Reporting</x:v>
      </x:c>
      <x:c r="I208" s="30" t="n">
        <x:v>46312</x:v>
      </x:c>
    </x:row>
    <x:row r="209" ht="371" customHeight="1">
      <x:c r="A209" s="13" t="str">
        <x:v>GOLD-KPI-188</x:v>
      </x:c>
      <x:c r="B209" s="13"/>
      <x:c r="C209" s="13" t="str">
        <x:v>Explorer Gold successful referrals</x:v>
      </x:c>
      <x:c r="D209" s="13" t="str">
        <x:v>Requirement association not established; owner review required.</x:v>
      </x:c>
      <x:c r="E209" s="13" t="str">
        <x:v>gold.dim_provider; gold.dim_provider_home; gold.dim_referral_provider_message; gold.fact_ipa; gold.fact_offer; gold.fact_provider_kpi_monthly; gold.fact_referral_provider</x:v>
      </x:c>
      <x:c r="F209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KPI_LATEST_CALCULATIONS.md#business-explorer-gold-successful-referrals
DAX [Explorer Gold successful referrals]: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Measures.tmdl:438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09" s="13" t="str">
        <x:v>Explorer Gold successful referrals</x:v>
      </x:c>
      <x:c r="H209" s="13" t="str">
        <x:v>Section 11 - Current Business Reporting</x:v>
      </x:c>
      <x:c r="I209" s="30" t="n">
        <x:v>46312</x:v>
      </x:c>
    </x:row>
    <x:row r="210" ht="306" customHeight="1">
      <x:c r="A210" s="13" t="str">
        <x:v>GOLD-KPI-189</x:v>
      </x:c>
      <x:c r="B210" s="13"/>
      <x:c r="C210" s="13" t="str">
        <x:v>Explorer Gold target placement rate</x:v>
      </x:c>
      <x:c r="D210" s="13" t="str">
        <x:v>Requirement association not established; owner review required.</x:v>
      </x:c>
      <x:c r="E210" s="13" t="str">
        <x:v>gold.dim_provider; gold.dim_provider_home; gold.dim_referral_provider_message; gold.fact_ipa; gold.fact_offer; gold.fact_provider_kpi_monthly; gold.fact_referral_provider</x:v>
      </x:c>
      <x:c r="F210" s="13" t="str">
        <x:v>Business metric.
Latest saved source reviewed 17 October 2026. Static definition verified; refresh, role/context reconciliation and UAT remain pending.
Recorded placed-by-target component divided by successful-referral component; not independently confirmed admission.
Full current logic: KPI_LATEST_CALCULATIONS.md#business-explorer-gold-target-placement-rate
DAX [Explorer Gold target placement rate]:
DIVIDE([Explorer Gold placed by target],[Explorer Gold successful referrals])
Saved source: project X/reports/WIP/SM WMPP v16 updated WIP/SM_WMPP_v16.SemanticModel/definition/tables/_Explorer KPI Measures.tmdl:482
Python/Spark SQL producer/reference spans: 04_gold_model.py:847; 05_gold_dimensions.py:253; 04_gold_model.py:712; 04_gold_model.py:817; 05_gold_dimensions.py:155; 04_gold_model.py:935; 05_gold_dimensions.py:163
Calculated-table dependency: Provider Offer Status. Complete saved partition logic is included in the calculation document.</x:v>
      </x:c>
      <x:c r="G210" s="13" t="str">
        <x:v>Explorer Gold target placement rate</x:v>
      </x:c>
      <x:c r="H210" s="13" t="str">
        <x:v>Section 11 - Current Business Reporting</x:v>
      </x:c>
      <x:c r="I210" s="30" t="n">
        <x:v>46312</x:v>
      </x:c>
    </x:row>
    <x:row r="211" ht="371" customHeight="1">
      <x:c r="A211" s="13" t="str">
        <x:v>GOLD-KPI-190</x:v>
      </x:c>
      <x:c r="B211" s="13"/>
      <x:c r="C211" s="13" t="str">
        <x:v>Explorer provider accepted offers</x:v>
      </x:c>
      <x:c r="D211" s="13" t="str">
        <x:v>Requirement association not established; owner review required.</x:v>
      </x:c>
      <x:c r="E211" s="13" t="str">
        <x:v>gold.dim_provider; gold.dim_provider_home; gold.dim_referral_provider_message; gold.fact_ipa; gold.fact_offer; gold.fact_referral_provider</x:v>
      </x:c>
      <x:c r="F211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KPI_LATEST_CALCULATIONS.md#business-explorer-provider-accepted-offers
DAX [Explorer provider accepted offers]: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Measures.tmdl:169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1" s="13" t="str">
        <x:v>Explorer provider accepted offers</x:v>
      </x:c>
      <x:c r="H211" s="13" t="str">
        <x:v>Section 11 - Current Business Reporting</x:v>
      </x:c>
      <x:c r="I211" s="30" t="n">
        <x:v>46312</x:v>
      </x:c>
    </x:row>
    <x:row r="212" ht="371" customHeight="1">
      <x:c r="A212" s="13" t="str">
        <x:v>GOLD-KPI-191</x:v>
      </x:c>
      <x:c r="B212" s="13"/>
      <x:c r="C212" s="13" t="str">
        <x:v>Explorer provider assigned referrals</x:v>
      </x:c>
      <x:c r="D212" s="13" t="str">
        <x:v>Requirement association not established; owner review required.</x:v>
      </x:c>
      <x:c r="E212" s="13" t="str">
        <x:v>gold.dim_provider; gold.dim_provider_home; gold.dim_referral_provider_message; gold.fact_ipa; gold.fact_offer; gold.fact_referral_provider</x:v>
      </x:c>
      <x:c r="F212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KPI_LATEST_CALCULATIONS.md#business-explorer-provider-assigned-referrals
DAX [Explorer provider assigned referrals]: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Measures.tmdl:224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2" s="13" t="str">
        <x:v>Explorer provider assigned referrals</x:v>
      </x:c>
      <x:c r="H212" s="13" t="str">
        <x:v>Section 11 - Current Business Reporting</x:v>
      </x:c>
      <x:c r="I212" s="30" t="n">
        <x:v>46312</x:v>
      </x:c>
    </x:row>
    <x:row r="213" ht="371" customHeight="1">
      <x:c r="A213" s="13" t="str">
        <x:v>GOLD-KPI-192</x:v>
      </x:c>
      <x:c r="B213" s="13"/>
      <x:c r="C213" s="13" t="str">
        <x:v>Explorer provider assignments</x:v>
      </x:c>
      <x:c r="D213" s="13" t="str">
        <x:v>Requirement association not established; owner review required.</x:v>
      </x:c>
      <x:c r="E213" s="13" t="str">
        <x:v>gold.dim_provider; gold.dim_provider_home; gold.dim_referral_provider_message; gold.fact_ipa; gold.fact_offer; gold.fact_referral_provider</x:v>
      </x:c>
      <x:c r="F213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KPI_LATEST_CALCULATIONS.md#business-explorer-provider-assignments
DAX [Explorer provider assignments]: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Measures.tmdl:207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3" s="13" t="str">
        <x:v>Explorer provider assignments</x:v>
      </x:c>
      <x:c r="H213" s="13" t="str">
        <x:v>Section 11 - Current Business Reporting</x:v>
      </x:c>
      <x:c r="I213" s="30" t="n">
        <x:v>46312</x:v>
      </x:c>
    </x:row>
    <x:row r="214" ht="371" customHeight="1">
      <x:c r="A214" s="13" t="str">
        <x:v>GOLD-KPI-193</x:v>
      </x:c>
      <x:c r="B214" s="13"/>
      <x:c r="C214" s="13" t="str">
        <x:v>Explorer provider average response minutes</x:v>
      </x:c>
      <x:c r="D214" s="13" t="str">
        <x:v>Requirement association not established; owner review required.</x:v>
      </x:c>
      <x:c r="E214" s="13" t="str">
        <x:v>gold.dim_provider; gold.dim_provider_home; gold.dim_referral_provider_message; gold.fact_ipa; gold.fact_offer; gold.fact_referral_provider</x:v>
      </x:c>
      <x:c r="F214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KPI_LATEST_CALCULATIONS.md#business-explorer-provider-average-response-minutes
DAX [Explorer provider average response minutes]: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Measures.tmdl:285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4" s="13" t="str">
        <x:v>Explorer provider average response minutes</x:v>
      </x:c>
      <x:c r="H214" s="13" t="str">
        <x:v>Section 11 - Current Business Reporting</x:v>
      </x:c>
      <x:c r="I214" s="30" t="n">
        <x:v>46312</x:v>
      </x:c>
    </x:row>
    <x:row r="215" ht="358" customHeight="1">
      <x:c r="A215" s="13" t="str">
        <x:v>GOLD-KPI-194</x:v>
      </x:c>
      <x:c r="B215" s="13"/>
      <x:c r="C215" s="13" t="str">
        <x:v>Explorer provider beds</x:v>
      </x:c>
      <x:c r="D215" s="13" t="str">
        <x:v>Requirement association not established; owner review required.</x:v>
      </x:c>
      <x:c r="E215" s="13" t="str">
        <x:v>gold.dim_provider; gold.dim_provider_home; gold.dim_referral_provider_message; gold.fact_ipa; gold.fact_offer; gold.fact_referral_provider</x:v>
      </x:c>
      <x:c r="F215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KPI_LATEST_CALCULATIONS.md#business-explorer-provider-beds
DAX [Explorer provider beds]: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Measures.tmdl:95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5" s="13" t="str">
        <x:v>Explorer provider beds</x:v>
      </x:c>
      <x:c r="H215" s="13" t="str">
        <x:v>Section 11 - Current Business Reporting</x:v>
      </x:c>
      <x:c r="I215" s="30" t="n">
        <x:v>46312</x:v>
      </x:c>
    </x:row>
    <x:row r="216" ht="371" customHeight="1">
      <x:c r="A216" s="13" t="str">
        <x:v>GOLD-KPI-195</x:v>
      </x:c>
      <x:c r="B216" s="13"/>
      <x:c r="C216" s="13" t="str">
        <x:v>Explorer provider completed IPAs</x:v>
      </x:c>
      <x:c r="D216" s="13" t="str">
        <x:v>Requirement association not established; owner review required.</x:v>
      </x:c>
      <x:c r="E216" s="13" t="str">
        <x:v>gold.dim_provider; gold.dim_provider_home; gold.dim_referral_provider_message; gold.fact_ipa; gold.fact_offer; gold.fact_referral_provider</x:v>
      </x:c>
      <x:c r="F216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KPI_LATEST_CALCULATIONS.md#business-explorer-provider-completed-ipas
DAX [Explorer provider completed IPAs]: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Measures.tmdl:353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6" s="13" t="str">
        <x:v>Explorer provider completed IPAs</x:v>
      </x:c>
      <x:c r="H216" s="13" t="str">
        <x:v>Section 11 - Current Business Reporting</x:v>
      </x:c>
      <x:c r="I216" s="30" t="n">
        <x:v>46312</x:v>
      </x:c>
    </x:row>
    <x:row r="217" ht="371" customHeight="1">
      <x:c r="A217" s="13" t="str">
        <x:v>GOLD-KPI-196</x:v>
      </x:c>
      <x:c r="B217" s="13"/>
      <x:c r="C217" s="13" t="str">
        <x:v>Explorer provider drafts</x:v>
      </x:c>
      <x:c r="D217" s="13" t="str">
        <x:v>Requirement association not established; owner review required.</x:v>
      </x:c>
      <x:c r="E217" s="13" t="str">
        <x:v>gold.dim_provider; gold.dim_provider_home; gold.dim_referral_provider_message; gold.fact_ipa; gold.fact_offer; gold.fact_referral_provider</x:v>
      </x:c>
      <x:c r="F217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KPI_LATEST_CALCULATIONS.md#business-explorer-provider-drafts
DAX [Explorer provider drafts]: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Measures.tmdl:150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7" s="13" t="str">
        <x:v>Explorer provider drafts</x:v>
      </x:c>
      <x:c r="H217" s="13" t="str">
        <x:v>Section 11 - Current Business Reporting</x:v>
      </x:c>
      <x:c r="I217" s="30" t="n">
        <x:v>46312</x:v>
      </x:c>
    </x:row>
    <x:row r="218" ht="371" customHeight="1">
      <x:c r="A218" s="13" t="str">
        <x:v>GOLD-KPI-197</x:v>
      </x:c>
      <x:c r="B218" s="13"/>
      <x:c r="C218" s="13" t="str">
        <x:v>Explorer provider homes</x:v>
      </x:c>
      <x:c r="D218" s="13" t="str">
        <x:v>Requirement association not established; owner review required.</x:v>
      </x:c>
      <x:c r="E218" s="13" t="str">
        <x:v>gold.dim_provider; gold.dim_provider_home; gold.dim_referral_provider_message; gold.fact_ipa; gold.fact_offer; gold.fact_referral_provider</x:v>
      </x:c>
      <x:c r="F218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KPI_LATEST_CALCULATIONS.md#business-explorer-provider-homes
DAX [Explorer provider homes]: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Measures.tmdl:78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8" s="13" t="str">
        <x:v>Explorer provider homes</x:v>
      </x:c>
      <x:c r="H218" s="13" t="str">
        <x:v>Section 11 - Current Business Reporting</x:v>
      </x:c>
      <x:c r="I218" s="30" t="n">
        <x:v>46312</x:v>
      </x:c>
    </x:row>
    <x:row r="219" ht="358" customHeight="1">
      <x:c r="A219" s="13" t="str">
        <x:v>GOLD-KPI-198</x:v>
      </x:c>
      <x:c r="B219" s="13"/>
      <x:c r="C219" s="13" t="str">
        <x:v>Explorer provider IPAs</x:v>
      </x:c>
      <x:c r="D219" s="13" t="str">
        <x:v>Requirement association not established; owner review required.</x:v>
      </x:c>
      <x:c r="E219" s="13" t="str">
        <x:v>gold.dim_provider; gold.dim_provider_home; gold.dim_referral_provider_message; gold.fact_ipa; gold.fact_offer; gold.fact_referral_provider</x:v>
      </x:c>
      <x:c r="F219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KPI_LATEST_CALCULATIONS.md#business-explorer-provider-ipas
DAX [Explorer provider IPAs]: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Measures.tmdl:319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19" s="13" t="str">
        <x:v>Explorer provider IPAs</x:v>
      </x:c>
      <x:c r="H219" s="13" t="str">
        <x:v>Section 11 - Current Business Reporting</x:v>
      </x:c>
      <x:c r="I219" s="30" t="n">
        <x:v>46312</x:v>
      </x:c>
    </x:row>
    <x:row r="220" ht="371" customHeight="1">
      <x:c r="A220" s="13" t="str">
        <x:v>GOLD-KPI-199</x:v>
      </x:c>
      <x:c r="B220" s="13"/>
      <x:c r="C220" s="13" t="str">
        <x:v>Explorer provider median response minutes</x:v>
      </x:c>
      <x:c r="D220" s="13" t="str">
        <x:v>Requirement association not established; owner review required.</x:v>
      </x:c>
      <x:c r="E220" s="13" t="str">
        <x:v>gold.dim_provider; gold.dim_provider_home; gold.dim_referral_provider_message; gold.fact_ipa; gold.fact_offer; gold.fact_referral_provider</x:v>
      </x:c>
      <x:c r="F220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KPI_LATEST_CALCULATIONS.md#business-explorer-provider-median-response-minutes
DAX [Explorer provider median response minutes]: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Measures.tmdl:302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0" s="13" t="str">
        <x:v>Explorer provider median response minutes</x:v>
      </x:c>
      <x:c r="H220" s="13" t="str">
        <x:v>Section 11 - Current Business Reporting</x:v>
      </x:c>
      <x:c r="I220" s="30" t="n">
        <x:v>46312</x:v>
      </x:c>
    </x:row>
    <x:row r="221" ht="371" customHeight="1">
      <x:c r="A221" s="13" t="str">
        <x:v>GOLD-KPI-200</x:v>
      </x:c>
      <x:c r="B221" s="13"/>
      <x:c r="C221" s="13" t="str">
        <x:v>Explorer provider messages</x:v>
      </x:c>
      <x:c r="D221" s="13" t="str">
        <x:v>Requirement association not established; owner review required.</x:v>
      </x:c>
      <x:c r="E221" s="13" t="str">
        <x:v>gold.dim_provider; gold.dim_provider_home; gold.dim_referral_provider_message; gold.fact_ipa; gold.fact_offer; gold.fact_referral_provider</x:v>
      </x:c>
      <x:c r="F221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KPI_LATEST_CALCULATIONS.md#business-explorer-provider-messages
DAX [Explorer provider messages]: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Measures.tmdl:241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1" s="13" t="str">
        <x:v>Explorer provider messages</x:v>
      </x:c>
      <x:c r="H221" s="13" t="str">
        <x:v>Section 11 - Current Business Reporting</x:v>
      </x:c>
      <x:c r="I221" s="30" t="n">
        <x:v>46312</x:v>
      </x:c>
    </x:row>
    <x:row r="222" ht="267" customHeight="1">
      <x:c r="A222" s="13" t="str">
        <x:v>GOLD-KPI-201</x:v>
      </x:c>
      <x:c r="B222" s="13"/>
      <x:c r="C222" s="13" t="str">
        <x:v>Explorer provider offer acceptance rate</x:v>
      </x:c>
      <x:c r="D222" s="13" t="str">
        <x:v>Requirement association not established; owner review required.</x:v>
      </x:c>
      <x:c r="E222" s="13" t="str">
        <x:v>gold.dim_provider; gold.dim_provider_home; gold.dim_referral_provider_message; gold.fact_ipa; gold.fact_offer; gold.fact_referral_provider</x:v>
      </x:c>
      <x:c r="F222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KPI_LATEST_CALCULATIONS.md#business-explorer-provider-offer-acceptance-rate
DAX [Explorer provider offer acceptance rate]:
DIVIDE([Explorer provider accepted offers],[Explorer provider offers made])
Saved source: project X/reports/WIP/SM WMPP v16 updated WIP/SM_WMPP_v16.SemanticModel/definition/tables/_Explorer KPI Measures.tmdl:280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2" s="13" t="str">
        <x:v>Explorer provider offer acceptance rate</x:v>
      </x:c>
      <x:c r="H222" s="13" t="str">
        <x:v>Section 11 - Current Business Reporting</x:v>
      </x:c>
      <x:c r="I222" s="30" t="n">
        <x:v>46312</x:v>
      </x:c>
    </x:row>
    <x:row r="223" ht="371" customHeight="1">
      <x:c r="A223" s="13" t="str">
        <x:v>GOLD-KPI-202</x:v>
      </x:c>
      <x:c r="B223" s="13"/>
      <x:c r="C223" s="13" t="str">
        <x:v>Explorer provider offers</x:v>
      </x:c>
      <x:c r="D223" s="13" t="str">
        <x:v>Requirement association not established; owner review required.</x:v>
      </x:c>
      <x:c r="E223" s="13" t="str">
        <x:v>gold.dim_provider; gold.dim_provider_home; gold.dim_referral_provider_message; gold.fact_ipa; gold.fact_offer; gold.fact_referral_provider</x:v>
      </x:c>
      <x:c r="F223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KPI_LATEST_CALCULATIONS.md#business-explorer-provider-offers
DAX [Explorer provider offers]: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Measures.tmdl:112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3" s="13" t="str">
        <x:v>Explorer provider offers</x:v>
      </x:c>
      <x:c r="H223" s="13" t="str">
        <x:v>Section 11 - Current Business Reporting</x:v>
      </x:c>
      <x:c r="I223" s="30" t="n">
        <x:v>46312</x:v>
      </x:c>
    </x:row>
    <x:row r="224" ht="371" customHeight="1">
      <x:c r="A224" s="13" t="str">
        <x:v>GOLD-KPI-203</x:v>
      </x:c>
      <x:c r="B224" s="13"/>
      <x:c r="C224" s="13" t="str">
        <x:v>Explorer provider offers made</x:v>
      </x:c>
      <x:c r="D224" s="13" t="str">
        <x:v>Requirement association not established; owner review required.</x:v>
      </x:c>
      <x:c r="E224" s="13" t="str">
        <x:v>gold.dim_provider; gold.dim_provider_home; gold.dim_referral_provider_message; gold.fact_ipa; gold.fact_offer; gold.fact_referral_provider</x:v>
      </x:c>
      <x:c r="F224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KPI_LATEST_CALCULATIONS.md#business-explorer-provider-offers-made
DAX [Explorer provider offers made]: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Measures.tmdl:131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4" s="13" t="str">
        <x:v>Explorer provider offers made</x:v>
      </x:c>
      <x:c r="H224" s="13" t="str">
        <x:v>Section 11 - Current Business Reporting</x:v>
      </x:c>
      <x:c r="I224" s="30" t="n">
        <x:v>46312</x:v>
      </x:c>
    </x:row>
    <x:row r="225" ht="371" customHeight="1">
      <x:c r="A225" s="13" t="str">
        <x:v>GOLD-KPI-204</x:v>
      </x:c>
      <x:c r="B225" s="13"/>
      <x:c r="C225" s="13" t="str">
        <x:v>Explorer provider pending offers</x:v>
      </x:c>
      <x:c r="D225" s="13" t="str">
        <x:v>Requirement association not established; owner review required.</x:v>
      </x:c>
      <x:c r="E225" s="13" t="str">
        <x:v>gold.dim_provider; gold.dim_provider_home; gold.dim_referral_provider_message; gold.fact_ipa; gold.fact_offer; gold.fact_referral_provider</x:v>
      </x:c>
      <x:c r="F225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KPI_LATEST_CALCULATIONS.md#business-explorer-provider-pending-offers
DAX [Explorer provider pending offers]: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Measures.tmdl:188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5" s="13" t="str">
        <x:v>Explorer provider pending offers</x:v>
      </x:c>
      <x:c r="H225" s="13" t="str">
        <x:v>Section 11 - Current Business Reporting</x:v>
      </x:c>
      <x:c r="I225" s="30" t="n">
        <x:v>46312</x:v>
      </x:c>
    </x:row>
    <x:row r="226" ht="371" customHeight="1">
      <x:c r="A226" s="13" t="str">
        <x:v>GOLD-KPI-205</x:v>
      </x:c>
      <x:c r="B226" s="13"/>
      <x:c r="C226" s="13" t="str">
        <x:v>Explorer provider qualifying responses</x:v>
      </x:c>
      <x:c r="D226" s="13" t="str">
        <x:v>Requirement association not established; owner review required.</x:v>
      </x:c>
      <x:c r="E226" s="13" t="str">
        <x:v>gold.dim_provider; gold.dim_provider_home; gold.dim_referral_provider_message; gold.fact_ipa; gold.fact_offer; gold.fact_referral_provider</x:v>
      </x:c>
      <x:c r="F226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KPI_LATEST_CALCULATIONS.md#business-explorer-provider-qualifying-responses
DAX [Explorer provider qualifying responses]: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Measures.tmdl:258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6" s="13" t="str">
        <x:v>Explorer provider qualifying responses</x:v>
      </x:c>
      <x:c r="H226" s="13" t="str">
        <x:v>Section 11 - Current Business Reporting</x:v>
      </x:c>
      <x:c r="I226" s="30" t="n">
        <x:v>46312</x:v>
      </x:c>
    </x:row>
    <x:row r="227" ht="280" customHeight="1">
      <x:c r="A227" s="13" t="str">
        <x:v>GOLD-KPI-206</x:v>
      </x:c>
      <x:c r="B227" s="13"/>
      <x:c r="C227" s="13" t="str">
        <x:v>Explorer provider response rate</x:v>
      </x:c>
      <x:c r="D227" s="13" t="str">
        <x:v>Requirement association not established; owner review required.</x:v>
      </x:c>
      <x:c r="E227" s="13" t="str">
        <x:v>gold.dim_provider; gold.dim_provider_home; gold.dim_referral_provider_message; gold.fact_ipa; gold.fact_offer; gold.fact_referral_provider</x:v>
      </x:c>
      <x:c r="F227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KPI_LATEST_CALCULATIONS.md#business-explorer-provider-response-rate
DAX [Explorer provider response rate]:
DIVIDE([Explorer provider qualifying responses],[Explorer provider assignments])
Saved source: project X/reports/WIP/SM WMPP v16 updated WIP/SM_WMPP_v16.SemanticModel/definition/tables/_Explorer KPI Measures.tmdl:275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7" s="13" t="str">
        <x:v>Explorer provider response rate</x:v>
      </x:c>
      <x:c r="H227" s="13" t="str">
        <x:v>Section 11 - Current Business Reporting</x:v>
      </x:c>
      <x:c r="I227" s="30" t="n">
        <x:v>46312</x:v>
      </x:c>
    </x:row>
    <x:row r="228" ht="371" customHeight="1">
      <x:c r="A228" s="13" t="str">
        <x:v>GOLD-KPI-207</x:v>
      </x:c>
      <x:c r="B228" s="13"/>
      <x:c r="C228" s="13" t="str">
        <x:v>Explorer provider signed IPAs</x:v>
      </x:c>
      <x:c r="D228" s="13" t="str">
        <x:v>Requirement association not established; owner review required.</x:v>
      </x:c>
      <x:c r="E228" s="13" t="str">
        <x:v>gold.dim_provider; gold.dim_provider_home; gold.dim_referral_provider_message; gold.fact_ipa; gold.fact_offer; gold.fact_referral_provider</x:v>
      </x:c>
      <x:c r="F228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KPI_LATEST_CALCULATIONS.md#business-explorer-provider-signed-ipas
DAX [Explorer provider signed IPAs]: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Measures.tmdl:336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8" s="13" t="str">
        <x:v>Explorer provider signed IPAs</x:v>
      </x:c>
      <x:c r="H228" s="13" t="str">
        <x:v>Section 11 - Current Business Reporting</x:v>
      </x:c>
      <x:c r="I228" s="30" t="n">
        <x:v>46312</x:v>
      </x:c>
    </x:row>
    <x:row r="229" ht="358" customHeight="1">
      <x:c r="A229" s="13" t="str">
        <x:v>GOLD-KPI-208</x:v>
      </x:c>
      <x:c r="B229" s="13"/>
      <x:c r="C229" s="13" t="str">
        <x:v>Explorer providers</x:v>
      </x:c>
      <x:c r="D229" s="13" t="str">
        <x:v>Requirement association not established; owner review required.</x:v>
      </x:c>
      <x:c r="E229" s="13" t="str">
        <x:v>gold.dim_provider; gold.dim_provider_home; gold.dim_referral_provider_message; gold.fact_ipa; gold.fact_offer; gold.fact_referral_provider</x:v>
      </x:c>
      <x:c r="F229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KPI_LATEST_CALCULATIONS.md#business-explorer-providers
DAX [Explorer providers]: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Measures.tmdl:14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29" s="13" t="str">
        <x:v>Explorer providers</x:v>
      </x:c>
      <x:c r="H229" s="13" t="str">
        <x:v>Section 11 - Current Business Reporting</x:v>
      </x:c>
      <x:c r="I229" s="30" t="n">
        <x:v>46312</x:v>
      </x:c>
    </x:row>
    <x:row r="230" ht="371" customHeight="1">
      <x:c r="A230" s="13" t="str">
        <x:v>GOLD-KPI-209</x:v>
      </x:c>
      <x:c r="B230" s="13"/>
      <x:c r="C230" s="13" t="str">
        <x:v>Explorer providers without offers</x:v>
      </x:c>
      <x:c r="D230" s="13" t="str">
        <x:v>Requirement association not established; owner review required.</x:v>
      </x:c>
      <x:c r="E230" s="13" t="str">
        <x:v>gold.dim_provider; gold.dim_provider_home; gold.dim_referral_provider_message; gold.fact_ipa; gold.fact_offer; gold.fact_referral_provider</x:v>
      </x:c>
      <x:c r="F230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KPI_LATEST_CALCULATIONS.md#business-explorer-providers-without-offers
DAX [Explorer providers without offers]: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WIP/SM_WMPP_v16.SemanticModel/definition/tables/_Explorer KPI Measures.tmdl:31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230" s="13" t="str">
        <x:v>Explorer providers without offers</x:v>
      </x:c>
      <x:c r="H230" s="13" t="str">
        <x:v>Section 11 - Current Business Reporting</x:v>
      </x:c>
      <x:c r="I230" s="30" t="n">
        <x:v>46312</x:v>
      </x:c>
    </x:row>
    <x:row r="231" ht="409" customHeight="1">
      <x:c r="A231" s="13" t="str">
        <x:v>GOLD-KPI-210</x:v>
      </x:c>
      <x:c r="B231" s="13"/>
      <x:c r="C231" s="13" t="str">
        <x:v>Explorer referral accepted offers</x:v>
      </x:c>
      <x:c r="D231" s="13" t="str">
        <x:v>Requirement association not established; owner review required.</x:v>
      </x:c>
      <x:c r="E231" s="13" t="str">
        <x:v>gold.bridge_referral_framework_category; gold.dim_framework_category; gold.fact_offer; gold.fact_referral</x:v>
      </x:c>
      <x:c r="F231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KPI_LATEST_CALCULATIONS.md#business-explorer-referral-accepted-offers
DAX [Explorer referral accepted offers]: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Measures.tmdl:735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31" s="13" t="str">
        <x:v>Explorer referral accepted offers</x:v>
      </x:c>
      <x:c r="H231" s="13" t="str">
        <x:v>Section 11 - Current Business Reporting</x:v>
      </x:c>
      <x:c r="I231" s="30" t="n">
        <x:v>46312</x:v>
      </x:c>
    </x:row>
    <x:row r="232" ht="409" customHeight="1">
      <x:c r="A232" s="13" t="str">
        <x:v>GOLD-KPI-211</x:v>
      </x:c>
      <x:c r="B232" s="13"/>
      <x:c r="C232" s="13" t="str">
        <x:v>Explorer referral assignments</x:v>
      </x:c>
      <x:c r="D232" s="13" t="str">
        <x:v>Requirement association not established; owner review required.</x:v>
      </x:c>
      <x:c r="E232" s="13" t="str">
        <x:v>gold.bridge_referral_framework_category; gold.dim_framework_category; gold.fact_offer; gold.fact_referral; gold.fact_referral_provider</x:v>
      </x:c>
      <x:c r="F232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KPI_LATEST_CALCULATIONS.md#business-explorer-referral-assignments
DAX [Explorer referral assignments]: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Measures.tmdl:659
Python/Spark SQL producer/reference spans: 04_gold_model.py:847;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32" s="13" t="str">
        <x:v>Explorer referral assignments</x:v>
      </x:c>
      <x:c r="H232" s="13" t="str">
        <x:v>Section 11 - Current Business Reporting</x:v>
      </x:c>
      <x:c r="I232" s="30" t="n">
        <x:v>46312</x:v>
      </x:c>
    </x:row>
    <x:row r="233" ht="409" customHeight="1">
      <x:c r="A233" s="13" t="str">
        <x:v>GOLD-KPI-212</x:v>
      </x:c>
      <x:c r="B233" s="13"/>
      <x:c r="C233" s="13" t="str">
        <x:v>Explorer referral completed IPAs</x:v>
      </x:c>
      <x:c r="D233" s="13" t="str">
        <x:v>Requirement association not established; owner review required.</x:v>
      </x:c>
      <x:c r="E233" s="13" t="str">
        <x:v>gold.bridge_referral_framework_category; gold.dim_framework_category; gold.fact_ipa; gold.fact_offer; gold.fact_referral</x:v>
      </x:c>
      <x:c r="F233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KPI_LATEST_CALCULATIONS.md#business-explorer-referral-completed-ipas
DAX [Explorer referral completed IPAs]: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Measures.tmdl:716
Python/Spark SQL producer/reference spans: 04_gold_model.py:232; 05_gold_dimensions.py:210; 04_gold_model.py:712; 04_gold_model.py:817; 05_gold_dimensions.py:179
Calculated-table dependency: Explorer Offer Activity; Referral Category; Explorer Offer Status. Complete saved partition logic is included in the calculation document.</x:v>
      </x:c>
      <x:c r="G233" s="13" t="str">
        <x:v>Explorer referral completed IPAs</x:v>
      </x:c>
      <x:c r="H233" s="13" t="str">
        <x:v>Section 11 - Current Business Reporting</x:v>
      </x:c>
      <x:c r="I233" s="30" t="n">
        <x:v>46312</x:v>
      </x:c>
    </x:row>
    <x:row r="234" ht="409" customHeight="1">
      <x:c r="A234" s="13" t="str">
        <x:v>GOLD-KPI-213</x:v>
      </x:c>
      <x:c r="B234" s="13"/>
      <x:c r="C234" s="13" t="str">
        <x:v>Explorer referral IPAs</x:v>
      </x:c>
      <x:c r="D234" s="13" t="str">
        <x:v>Requirement association not established; owner review required.</x:v>
      </x:c>
      <x:c r="E234" s="13" t="str">
        <x:v>gold.bridge_referral_framework_category; gold.dim_framework_category; gold.fact_ipa; gold.fact_offer; gold.fact_referral</x:v>
      </x:c>
      <x:c r="F234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KPI_LATEST_CALCULATIONS.md#business-explorer-referral-ipas
DAX [Explorer referral IPAs]: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Measures.tmdl:697
Python/Spark SQL producer/reference spans: 04_gold_model.py:232; 05_gold_dimensions.py:210; 04_gold_model.py:712; 04_gold_model.py:817; 05_gold_dimensions.py:179
Calculated-table dependency: Explorer Offer Activity; Referral Category; Explorer Offer Status. Complete saved partition logic is included in the calculation document.</x:v>
      </x:c>
      <x:c r="G234" s="13" t="str">
        <x:v>Explorer referral IPAs</x:v>
      </x:c>
      <x:c r="H234" s="13" t="str">
        <x:v>Section 11 - Current Business Reporting</x:v>
      </x:c>
      <x:c r="I234" s="30" t="n">
        <x:v>46312</x:v>
      </x:c>
    </x:row>
    <x:row r="235" ht="409" customHeight="1">
      <x:c r="A235" s="13" t="str">
        <x:v>GOLD-KPI-214</x:v>
      </x:c>
      <x:c r="B235" s="13"/>
      <x:c r="C235" s="13" t="str">
        <x:v>Explorer referral messages</x:v>
      </x:c>
      <x:c r="D235" s="13" t="str">
        <x:v>Requirement association not established; owner review required.</x:v>
      </x:c>
      <x:c r="E235" s="13" t="str">
        <x:v>gold.bridge_referral_framework_category; gold.dim_framework_category; gold.dim_referral_provider_message; gold.fact_offer; gold.fact_referral</x:v>
      </x:c>
      <x:c r="F235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KPI_LATEST_CALCULATIONS.md#business-explorer-referral-messages
DAX [Explorer referral messages]: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Measures.tmdl:678
Python/Spark SQL producer/reference spans: 04_gold_model.py:232; 05_gold_dimensions.py:210; 05_gold_dimensions.py:253; 04_gold_model.py:712; 05_gold_dimensions.py:179
Calculated-table dependency: Explorer Offer Activity; Referral Category; Explorer Offer Status. Complete saved partition logic is included in the calculation document.</x:v>
      </x:c>
      <x:c r="G235" s="13" t="str">
        <x:v>Explorer referral messages</x:v>
      </x:c>
      <x:c r="H235" s="13" t="str">
        <x:v>Section 11 - Current Business Reporting</x:v>
      </x:c>
      <x:c r="I235" s="30" t="n">
        <x:v>46312</x:v>
      </x:c>
    </x:row>
    <x:row r="236" ht="267" customHeight="1">
      <x:c r="A236" s="13" t="str">
        <x:v>GOLD-KPI-215</x:v>
      </x:c>
      <x:c r="B236" s="13"/>
      <x:c r="C236" s="13" t="str">
        <x:v>Explorer referral offer coverage</x:v>
      </x:c>
      <x:c r="D236" s="13" t="str">
        <x:v>Requirement association not established; owner review required.</x:v>
      </x:c>
      <x:c r="E236" s="13" t="str">
        <x:v>gold.bridge_referral_framework_category; gold.dim_framework_category; gold.fact_offer; gold.fact_referral</x:v>
      </x:c>
      <x:c r="F236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KPI_LATEST_CALCULATIONS.md#business-explorer-referral-offer-coverage
DAX [Explorer referral offer coverage]:
DIVIDE([Explorer referrals with offers],[Explorer referrals])
Saved source: project X/reports/WIP/SM WMPP v16 updated WIP/SM_WMPP_v16.SemanticModel/definition/tables/_Explorer KPI Measures.tmdl:754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36" s="13" t="str">
        <x:v>Explorer referral offer coverage</x:v>
      </x:c>
      <x:c r="H236" s="13" t="str">
        <x:v>Section 11 - Current Business Reporting</x:v>
      </x:c>
      <x:c r="I236" s="30" t="n">
        <x:v>46312</x:v>
      </x:c>
    </x:row>
    <x:row r="237" ht="409" customHeight="1">
      <x:c r="A237" s="13" t="str">
        <x:v>GOLD-KPI-216</x:v>
      </x:c>
      <x:c r="B237" s="13"/>
      <x:c r="C237" s="13" t="str">
        <x:v>Explorer referral offers</x:v>
      </x:c>
      <x:c r="D237" s="13" t="str">
        <x:v>Requirement association not established; owner review required.</x:v>
      </x:c>
      <x:c r="E237" s="13" t="str">
        <x:v>gold.bridge_referral_framework_category; gold.dim_framework_category; gold.fact_offer; gold.fact_referral</x:v>
      </x:c>
      <x:c r="F237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KPI_LATEST_CALCULATIONS.md#business-explorer-referral-offers
DAX [Explorer referral offers]: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Measures.tmdl:616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37" s="13" t="str">
        <x:v>Explorer referral offers</x:v>
      </x:c>
      <x:c r="H237" s="13" t="str">
        <x:v>Section 11 - Current Business Reporting</x:v>
      </x:c>
      <x:c r="I237" s="30" t="n">
        <x:v>46312</x:v>
      </x:c>
    </x:row>
    <x:row r="238" ht="409" customHeight="1">
      <x:c r="A238" s="13" t="str">
        <x:v>GOLD-KPI-217</x:v>
      </x:c>
      <x:c r="B238" s="13"/>
      <x:c r="C238" s="13" t="str">
        <x:v>Explorer referrals</x:v>
      </x:c>
      <x:c r="D238" s="13" t="str">
        <x:v>Requirement association not established; owner review required.</x:v>
      </x:c>
      <x:c r="E238" s="13" t="str">
        <x:v>gold.bridge_referral_framework_category; gold.dim_framework_category; gold.fact_offer; gold.fact_referral</x:v>
      </x:c>
      <x:c r="F238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KPI_LATEST_CALCULATIONS.md#business-explorer-referrals
DAX [Explorer referrals]: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Measures.tmdl:540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38" s="13" t="str">
        <x:v>Explorer referrals</x:v>
      </x:c>
      <x:c r="H238" s="13" t="str">
        <x:v>Section 11 - Current Business Reporting</x:v>
      </x:c>
      <x:c r="I238" s="30" t="n">
        <x:v>46312</x:v>
      </x:c>
    </x:row>
    <x:row r="239" ht="409" customHeight="1">
      <x:c r="A239" s="13" t="str">
        <x:v>GOLD-KPI-218</x:v>
      </x:c>
      <x:c r="B239" s="13"/>
      <x:c r="C239" s="13" t="str">
        <x:v>Explorer referrals closed</x:v>
      </x:c>
      <x:c r="D239" s="13" t="str">
        <x:v>Requirement association not established; owner review required.</x:v>
      </x:c>
      <x:c r="E239" s="13" t="str">
        <x:v>gold.bridge_referral_framework_category; gold.dim_framework_category; gold.fact_offer; gold.fact_referral</x:v>
      </x:c>
      <x:c r="F239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KPI_LATEST_CALCULATIONS.md#business-explorer-referrals-closed
DAX [Explorer referrals closed]: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Measures.tmdl:597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39" s="13" t="str">
        <x:v>Explorer referrals closed</x:v>
      </x:c>
      <x:c r="H239" s="13" t="str">
        <x:v>Section 11 - Current Business Reporting</x:v>
      </x:c>
      <x:c r="I239" s="30" t="n">
        <x:v>46312</x:v>
      </x:c>
    </x:row>
    <x:row r="240" ht="409" customHeight="1">
      <x:c r="A240" s="13" t="str">
        <x:v>GOLD-KPI-219</x:v>
      </x:c>
      <x:c r="B240" s="13"/>
      <x:c r="C240" s="13" t="str">
        <x:v>Explorer referrals open</x:v>
      </x:c>
      <x:c r="D240" s="13" t="str">
        <x:v>Requirement association not established; owner review required.</x:v>
      </x:c>
      <x:c r="E240" s="13" t="str">
        <x:v>gold.bridge_referral_framework_category; gold.dim_framework_category; gold.fact_offer; gold.fact_referral</x:v>
      </x:c>
      <x:c r="F240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KPI_LATEST_CALCULATIONS.md#business-explorer-referrals-open
DAX [Explorer referrals open]: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Measures.tmdl:559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40" s="13" t="str">
        <x:v>Explorer referrals open</x:v>
      </x:c>
      <x:c r="H240" s="13" t="str">
        <x:v>Section 11 - Current Business Reporting</x:v>
      </x:c>
      <x:c r="I240" s="30" t="n">
        <x:v>46312</x:v>
      </x:c>
    </x:row>
    <x:row r="241" ht="409" customHeight="1">
      <x:c r="A241" s="13" t="str">
        <x:v>GOLD-KPI-220</x:v>
      </x:c>
      <x:c r="B241" s="13"/>
      <x:c r="C241" s="13" t="str">
        <x:v>Explorer referrals open overdue</x:v>
      </x:c>
      <x:c r="D241" s="13" t="str">
        <x:v>Requirement association not established; owner review required.</x:v>
      </x:c>
      <x:c r="E241" s="13" t="str">
        <x:v>gold.bridge_referral_framework_category; gold.dim_framework_category; gold.fact_offer; gold.fact_referral</x:v>
      </x:c>
      <x:c r="F241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KPI_LATEST_CALCULATIONS.md#business-explorer-referrals-open-overdue
DAX [Explorer referrals open overdue]: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Measures.tmdl:578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41" s="13" t="str">
        <x:v>Explorer referrals open overdue</x:v>
      </x:c>
      <x:c r="H241" s="13" t="str">
        <x:v>Section 11 - Current Business Reporting</x:v>
      </x:c>
      <x:c r="I241" s="30" t="n">
        <x:v>46312</x:v>
      </x:c>
    </x:row>
    <x:row r="242" ht="409" customHeight="1">
      <x:c r="A242" s="13" t="str">
        <x:v>GOLD-KPI-221</x:v>
      </x:c>
      <x:c r="B242" s="13"/>
      <x:c r="C242" s="13" t="str">
        <x:v>Explorer referrals with offers</x:v>
      </x:c>
      <x:c r="D242" s="13" t="str">
        <x:v>Requirement association not established; owner review required.</x:v>
      </x:c>
      <x:c r="E242" s="13" t="str">
        <x:v>gold.bridge_referral_framework_category; gold.dim_framework_category; gold.fact_offer; gold.fact_referral</x:v>
      </x:c>
      <x:c r="F242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KPI_LATEST_CALCULATIONS.md#business-explorer-referrals-with-offers
DAX [Explorer referrals with offers]: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WIP/SM_WMPP_v16.SemanticModel/definition/tables/_Explorer KPI Measures.tmdl:635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42" s="13" t="str">
        <x:v>Explorer referrals with offers</x:v>
      </x:c>
      <x:c r="H242" s="13" t="str">
        <x:v>Section 11 - Current Business Reporting</x:v>
      </x:c>
      <x:c r="I242" s="30" t="n">
        <x:v>46312</x:v>
      </x:c>
    </x:row>
    <x:row r="243" ht="267" customHeight="1">
      <x:c r="A243" s="13" t="str">
        <x:v>GOLD-KPI-222</x:v>
      </x:c>
      <x:c r="B243" s="13"/>
      <x:c r="C243" s="13" t="str">
        <x:v>Explorer referrals without offers</x:v>
      </x:c>
      <x:c r="D243" s="13" t="str">
        <x:v>Requirement association not established; owner review required.</x:v>
      </x:c>
      <x:c r="E243" s="13" t="str">
        <x:v>gold.bridge_referral_framework_category; gold.dim_framework_category; gold.fact_offer; gold.fact_referral</x:v>
      </x:c>
      <x:c r="F243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KPI_LATEST_CALCULATIONS.md#business-explorer-referrals-without-offers
DAX [Explorer referrals without offers]:
[Explorer referrals] - [Explorer referrals with offers]
Saved source: project X/reports/WIP/SM WMPP v16 updated WIP/SM_WMPP_v16.SemanticModel/definition/tables/_Explorer KPI Measures.tmdl:654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43" s="13" t="str">
        <x:v>Explorer referrals without offers</x:v>
      </x:c>
      <x:c r="H243" s="13" t="str">
        <x:v>Section 11 - Current Business Reporting</x:v>
      </x:c>
      <x:c r="I243" s="30" t="n">
        <x:v>46312</x:v>
      </x:c>
    </x:row>
    <x:row r="244" ht="215" customHeight="1">
      <x:c r="A244" s="13" t="str">
        <x:v>GOLD-KPI-083</x:v>
      </x:c>
      <x:c r="B244" s="13"/>
      <x:c r="C244" s="13" t="str">
        <x:v>Fostering Homes</x:v>
      </x:c>
      <x:c r="D244" s="13" t="str">
        <x:v>Requirement association not established; owner review required.</x:v>
      </x:c>
      <x:c r="E244" s="13" t="str">
        <x:v>gold.dim_provider; gold.dim_provider_home</x:v>
      </x:c>
      <x:c r="F24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KPI_LATEST_CALCULATIONS.md#business-fostering-homes
DAX [Fostering Homes]:
CALCULATE ( [Provider Homes Registered], 'dim_provider_home'[service_type] = "Fostering" )
Saved source: project X/reports/WIP/SM WMPP v16 updated WIP/SM_WMPP_v16.SemanticModel/definition/tables/_Measures.tmdl:1126
Python/Spark SQL producer/reference spans: 05_gold_dimensions.py:163; 05_gold_dimensions.py:155</x:v>
      </x:c>
      <x:c r="G244" s="13" t="str">
        <x:v>Fostering Homes</x:v>
      </x:c>
      <x:c r="H244" s="13" t="str">
        <x:v>Section 11 - Current Business Reporting</x:v>
      </x:c>
      <x:c r="I244" s="30" t="n">
        <x:v>46260</x:v>
      </x:c>
    </x:row>
    <x:row r="245" ht="306" customHeight="1">
      <x:c r="A245" s="13" t="str">
        <x:v>GOLD-KPI-223</x:v>
      </x:c>
      <x:c r="B245" s="13"/>
      <x:c r="C245" s="13" t="str">
        <x:v>Framework Offers on Referrals Under Offer</x:v>
      </x:c>
      <x:c r="D245" s="13" t="str">
        <x:v>Requirement association not established; owner review required.</x:v>
      </x:c>
      <x:c r="E245" s="13" t="str">
        <x:v>gold.dim_provider_home; gold.fact_offer; gold.fact_referral</x:v>
      </x:c>
      <x:c r="F24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KPI_LATEST_CALCULATIONS.md#business-framework-offers-on-referrals-under-offer
DAX [Framework Offers on Referrals Under Offer]:
CALCULATE (
[Non-Spot Offers],
FILTER (
'fact_referral',
'fact_referral'[is_open] = TRUE () &amp;&amp; 'fact_referral'[current_status] = "UNDER_OFFER"
)
)
Saved source: project X/reports/WIP/SM WMPP v16 updated WIP/SM_WMPP_v16.SemanticModel/definition/tables/_Measures.tmdl:1364
Python/Spark SQL producer/reference spans: 04_gold_model.py:232; 04_gold_model.py:712; 05_gold_dimensions.py:163</x:v>
      </x:c>
      <x:c r="G245" s="13" t="str">
        <x:v>Framework Offers on Referrals Under Offer</x:v>
      </x:c>
      <x:c r="H245" s="13" t="str">
        <x:v>Section 11 - Current Business Reporting</x:v>
      </x:c>
      <x:c r="I245" s="30" t="n">
        <x:v>46312</x:v>
      </x:c>
    </x:row>
    <x:row r="246" ht="202" customHeight="1">
      <x:c r="A246" s="13" t="str">
        <x:v>GOLD-KPI-224</x:v>
      </x:c>
      <x:c r="B246" s="13"/>
      <x:c r="C246" s="13" t="str">
        <x:v>IPA Signature Pending Rate</x:v>
      </x:c>
      <x:c r="D246" s="13" t="str">
        <x:v>Requirement association not established; owner review required.</x:v>
      </x:c>
      <x:c r="E246" s="13" t="str">
        <x:v>gold.fact_ipa</x:v>
      </x:c>
      <x:c r="F24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KPI_LATEST_CALCULATIONS.md#business-ipa-signature-pending-rate
DAX [IPA Signature Pending Rate]:
DIVIDE ( [IPAs Pending Completion], [IPAs Created] )
Saved source: project X/reports/WIP/SM WMPP v16 updated WIP/SM_WMPP_v16.SemanticModel/definition/tables/_Measures.tmdl:1399
Python/Spark SQL producer/reference spans: 04_gold_model.py:817</x:v>
      </x:c>
      <x:c r="G246" s="13" t="str">
        <x:v>IPA Signature Pending Rate</x:v>
      </x:c>
      <x:c r="H246" s="13" t="str">
        <x:v>Section 11 - Current Business Reporting</x:v>
      </x:c>
      <x:c r="I246" s="30" t="n">
        <x:v>46312</x:v>
      </x:c>
    </x:row>
    <x:row r="247" ht="319" customHeight="1">
      <x:c r="A247" s="13" t="str">
        <x:v>GOLD-KPI-095</x:v>
      </x:c>
      <x:c r="B247" s="13"/>
      <x:c r="C247" s="13" t="str">
        <x:v>IPAs Issued This Month</x:v>
      </x:c>
      <x:c r="D247" s="13" t="str">
        <x:v>Requirement association not established; owner review required.</x:v>
      </x:c>
      <x:c r="E247" s="13" t="str">
        <x:v>gold.dim_date; gold.fact_ipa; gold.fact_referral</x:v>
      </x:c>
      <x:c r="F24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KPI_LATEST_CALCULATIONS.md#business-ipas-issued-this-month
DAX [IPAs Issued This Month]:
VAR as_of = MAX ( 'fact_ipa'[as_of_date] )
RETURN IF ( NOT ISBLANK ( as_of ),
CALCULATE ( [IPAs Created],
CROSSFILTER ( 'dim_date'[date], 'fact_referral'[referral_created_date], NONE ),
USERELATIONSHIP ( 'dim_date'[date], 'fact_ipa'[ipa_issued_date] ),
DATESBETWEEN ( 'dim_date'[date], DATE ( YEAR ( as_of ), MONTH ( as_of ), 1 ), as_of )
)
)
Saved source: project X/reports/WIP/SM WMPP v16 updated WIP/SM_WMPP_v16.SemanticModel/definition/tables/_Measures.tmdl:1167
Python/Spark SQL producer/reference spans: 04_gold_model.py:817; 04_gold_model.py:232; 05_gold_dimensions.py:128</x:v>
      </x:c>
      <x:c r="G247" s="13" t="str">
        <x:v>IPAs Issued This Month</x:v>
      </x:c>
      <x:c r="H247" s="13" t="str">
        <x:v>Section 11 - Current Business Reporting</x:v>
      </x:c>
      <x:c r="I247" s="30" t="n">
        <x:v>46260</x:v>
      </x:c>
    </x:row>
    <x:row r="248" ht="293" customHeight="1">
      <x:c r="A248" s="13" t="str">
        <x:v>GOLD-KPI-225</x:v>
      </x:c>
      <x:c r="B248" s="13"/>
      <x:c r="C248" s="13" t="str">
        <x:v>Journey referral reconciliation</x:v>
      </x:c>
      <x:c r="D248" s="13" t="str">
        <x:v>Requirement association not established; owner review required.</x:v>
      </x:c>
      <x:c r="E248" s="13" t="str">
        <x:v>gold.bridge_referral_framework_category; gold.dim_framework_category; gold.fact_offer; gold.fact_referral</x:v>
      </x:c>
      <x:c r="F248" s="13" t="str">
        <x:v>Business metric. Linked activity or stage reconciliation count
Latest saved source reviewed 17 October 2026. Static definition verified; refresh, role/context reconciliation and UAT remain pending.
Full current logic: KPI_LATEST_CALCULATIONS.md#business-journey-referral-reconciliation
DAX [Journey referral reconciliation]:
[Matching referrals] - ([Journey referrals 1] + [Journey referrals 2] + [Journey referrals 3] + [Journey referrals 4] + [Journey referrals 5] + [Journey referrals 6] + [Journey referrals 7] + [Journey referrals 8])
Saved source: project X/reports/WIP/SM WMPP v16 updated WIP/SM_WMPP_v16.SemanticModel/definition/tables/_Journey Measures.tmdl:44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248" s="13" t="str">
        <x:v>Journey referral reconciliation</x:v>
      </x:c>
      <x:c r="H248" s="13" t="str">
        <x:v>Section 11 - Current Business Reporting</x:v>
      </x:c>
      <x:c r="I248" s="30" t="n">
        <x:v>46312</x:v>
      </x:c>
    </x:row>
    <x:row r="249" ht="202" customHeight="1">
      <x:c r="A249" s="13" t="str">
        <x:v>GOLD-KPI-226</x:v>
      </x:c>
      <x:c r="B249" s="13"/>
      <x:c r="C249" s="13" t="str">
        <x:v>KPIs catalogued</x:v>
      </x:c>
      <x:c r="D249" s="13" t="str">
        <x:v>Requirement association not established; owner review required.</x:v>
      </x:c>
      <x:c r="E249" s="13" t="str">
        <x:v>Model/calculated context; no physical notebook source asserted.</x:v>
      </x:c>
      <x:c r="F249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KPI_LATEST_CALCULATIONS.md#business-kpis-catalogued
DAX [KPIs catalogued]:
DISTINCTCOUNTNOBLANK('ref_KPI'[KPI ID])
Saved source: project X/reports/WIP/SM WMPP v16 updated WIP/SM_WMPP_v16.SemanticModel/definition/tables/_Report Journey Measures.tmdl:313
Python/Spark SQL producer/reference spans: No direct notebook producer asserted; see calculated/model context.</x:v>
      </x:c>
      <x:c r="G249" s="13" t="str">
        <x:v>KPIs catalogued</x:v>
      </x:c>
      <x:c r="H249" s="13" t="str">
        <x:v>Section 11 - Current Business Reporting</x:v>
      </x:c>
      <x:c r="I249" s="30" t="n">
        <x:v>46312</x:v>
      </x:c>
    </x:row>
    <x:row r="250" ht="189" customHeight="1">
      <x:c r="A250" s="13" t="str">
        <x:v>GOLD-KPI-227</x:v>
      </x:c>
      <x:c r="B250" s="13"/>
      <x:c r="C250" s="13" t="str">
        <x:v>Last Snapshot Date</x:v>
      </x:c>
      <x:c r="D250" s="13" t="str">
        <x:v>Requirement association not established; owner review required.</x:v>
      </x:c>
      <x:c r="E250" s="13" t="str">
        <x:v>gold.fact_referral_snapshot</x:v>
      </x:c>
      <x:c r="F25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KPI_LATEST_CALCULATIONS.md#business-last-snapshot-date
DAX [Last Snapshot Date]:
MAX ( 'fact_referral_snapshot'[snapshot_date] )
Saved source: project X/reports/WIP/SM WMPP v16 updated WIP/SM_WMPP_v16.SemanticModel/definition/tables/_Measures.tmdl:1727
Python/Spark SQL producer/reference spans: 04_gold_model.py:567</x:v>
      </x:c>
      <x:c r="G250" s="13" t="str">
        <x:v>Last Snapshot Date</x:v>
      </x:c>
      <x:c r="H250" s="13" t="str">
        <x:v>Section 11 - Current Business Reporting</x:v>
      </x:c>
      <x:c r="I250" s="30" t="n">
        <x:v>46312</x:v>
      </x:c>
    </x:row>
    <x:row r="251" ht="306" customHeight="1">
      <x:c r="A251" s="13" t="str">
        <x:v>GOLD-KPI-228</x:v>
      </x:c>
      <x:c r="B251" s="13"/>
      <x:c r="C251" s="13" t="str">
        <x:v>Lifetime Placement Cost</x:v>
      </x:c>
      <x:c r="D251" s="13" t="str">
        <x:v>Requirement association not established; owner review required.</x:v>
      </x:c>
      <x:c r="E251" s="13" t="str">
        <x:v>gold.fact_ipa</x:v>
      </x:c>
      <x:c r="F25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KPI_LATEST_CALCULATIONS.md#business-lifetime-placement-cost
DAX [Lifetime Placement Cost]:
SUMX (
'fact_ipa',
VAR start_date =
COALESCE (
'fact_ipa'[planned_placement_start_date],
'fact_ipa'[placement_admission_date]
)
[EXCERPT; exact complete expression and dependencies in linked current calculation document]
Saved source: project X/reports/WIP/SM WMPP v16 updated WIP/SM_WMPP_v16.SemanticModel/definition/tables/_Measures.tmdl:1693
Python/Spark SQL producer/reference spans: 04_gold_model.py:817</x:v>
      </x:c>
      <x:c r="G251" s="13" t="str">
        <x:v>Lifetime Placement Cost</x:v>
      </x:c>
      <x:c r="H251" s="13" t="str">
        <x:v>Section 11 - Current Business Reporting</x:v>
      </x:c>
      <x:c r="I251" s="30" t="n">
        <x:v>46312</x:v>
      </x:c>
    </x:row>
    <x:row r="252" ht="409" customHeight="1">
      <x:c r="A252" s="13" t="str">
        <x:v>GOLD-KPI-229</x:v>
      </x:c>
      <x:c r="B252" s="13"/>
      <x:c r="C252" s="13" t="str">
        <x:v>Linked assignment count</x:v>
      </x:c>
      <x:c r="D252" s="13" t="str">
        <x:v>Requirement association not established; owner review required.</x:v>
      </x:c>
      <x:c r="E252" s="13" t="str">
        <x:v>gold.dim_person; gold.dim_provider; gold.dim_referral_provider_message; gold.fact_offer; gold.fact_referral; gold.fact_referral_provider</x:v>
      </x:c>
      <x:c r="F252" s="13" t="str">
        <x:v>Business metric.
Latest saved source reviewed 17 October 2026. Static definition verified; refresh, role/context reconciliation and UAT remain pending.
Counts assignments on visible linked pairs. Assignment-only pairs do not enter the current candidate table.
Full current logic: KPI_LATEST_CALCULATIONS.md#business-linked-assignment-count
DAX [Linked assignment count]:
VAR linkedPairs =
FILTER(
SUMMARIZE('Linked Provider Referrals',
'Linked Provider Referrals'[referral_id],
'Linked Provider Referrals'[provider_id]),
CALCULATE([Linked provider row visible]) = 1
)
[EXCERPT; exact complete expression and dependencies in linked current calculation document]
Saved source: project X/reports/WIP/SM WMPP v16 updated WIP/SM_WMPP_v16.SemanticModel/definition/tables/Linked Provider Referrals.tmdl:177
Python/Spark SQL producer/reference spans: 04_gold_model.py:847; 04_gold_model.py:232; 05_gold_dimensions.py:253; 04_gold_model.py:712; 05_gold_dimensions.py:155; 05_gold_dimensions.py:194
Calculated-table dependency: Linked Provider Referrals. Complete saved partition logic is included in the calculation document.</x:v>
      </x:c>
      <x:c r="G252" s="13" t="str">
        <x:v>Linked assignment count</x:v>
      </x:c>
      <x:c r="H252" s="13" t="str">
        <x:v>Section 11 - Current Business Reporting</x:v>
      </x:c>
      <x:c r="I252" s="30" t="n">
        <x:v>46312</x:v>
      </x:c>
    </x:row>
    <x:row r="253" ht="397" customHeight="1">
      <x:c r="A253" s="13" t="str">
        <x:v>GOLD-KPI-230</x:v>
      </x:c>
      <x:c r="B253" s="13"/>
      <x:c r="C253" s="13" t="str">
        <x:v>Linked message count</x:v>
      </x:c>
      <x:c r="D253" s="13" t="str">
        <x:v>Requirement association not established; owner review required.</x:v>
      </x:c>
      <x:c r="E253" s="13" t="str">
        <x:v>gold.dim_person; gold.dim_provider; gold.dim_referral_provider_message; gold.fact_offer; gold.fact_referral; gold.fact_referral_provider</x:v>
      </x:c>
      <x:c r="F253" s="13" t="str">
        <x:v>Business metric.
Latest saved source reviewed 17 October 2026. Static definition verified; refresh, role/context reconciliation and UAT remain pending.
Counts messages on visible linked pairs. Messages alone do not create a qualifying pair.
Full current logic: KPI_LATEST_CALCULATIONS.md#business-linked-message-count
DAX [Linked message count]:
VAR linkedPairs =
FILTER(
SUMMARIZE('Linked Provider Referrals',
'Linked Provider Referrals'[referral_id],
'Linked Provider Referrals'[provider_id]),
CALCULATE([Linked provider row visible]) = 1
)
[EXCERPT; exact complete expression and dependencies in linked current calculation document]
Saved source: project X/reports/WIP/SM WMPP v16 updated WIP/SM_WMPP_v16.SemanticModel/definition/tables/Linked Provider Referrals.tmdl:199
Python/Spark SQL producer/reference spans: 04_gold_model.py:847; 04_gold_model.py:232; 05_gold_dimensions.py:253; 04_gold_model.py:712; 05_gold_dimensions.py:155; 05_gold_dimensions.py:194
Calculated-table dependency: Linked Provider Referrals. Complete saved partition logic is included in the calculation document.</x:v>
      </x:c>
      <x:c r="G253" s="13" t="str">
        <x:v>Linked message count</x:v>
      </x:c>
      <x:c r="H253" s="13" t="str">
        <x:v>Section 11 - Current Business Reporting</x:v>
      </x:c>
      <x:c r="I253" s="30" t="n">
        <x:v>46312</x:v>
      </x:c>
    </x:row>
    <x:row r="254" ht="409" customHeight="1">
      <x:c r="A254" s="13" t="str">
        <x:v>GOLD-KPI-231</x:v>
      </x:c>
      <x:c r="B254" s="13"/>
      <x:c r="C254" s="13" t="str">
        <x:v>Linked offer count</x:v>
      </x:c>
      <x:c r="D254" s="13" t="str">
        <x:v>Requirement association not established; owner review required.</x:v>
      </x:c>
      <x:c r="E254" s="13" t="str">
        <x:v>gold.dim_person; gold.dim_provider; gold.dim_referral_provider_message; gold.fact_offer; gold.fact_referral; gold.fact_referral_provider</x:v>
      </x:c>
      <x:c r="F254" s="13" t="str">
        <x:v>Business metric.
Latest saved source reviewed 17 October 2026. Static definition verified; refresh, role/context reconciliation and UAT remain pending.
Counts distinct underlying offers on visible linked pairs. Candidate pairs require at least one qualifying offer; other statuses on an eligible pair can still be included by this unchanged detail measure.
Full current logic: KPI_LATEST_CALCULATIONS.md#business-linked-offer-count
DAX [Linked offer count]:
VAR linkedPairs =
FILTER(
SUMMARIZE('Linked Provider Referrals',
'Linked Provider Referrals'[referral_id],
'Linked Provider Referrals'[provider_id]),
CALCULATE([Linked provider row visible]) = 1
)
[EXCERPT; exact complete expression and dependencies in linked current calculation document]
Saved source: project X/reports/WIP/SM WMPP v16 updated WIP/SM_WMPP_v16.SemanticModel/definition/tables/_Journey Measures.tmdl:264
Python/Spark SQL producer/reference spans: 04_gold_model.py:847; 04_gold_model.py:232; 05_gold_dimensions.py:253; 04_gold_model.py:712; 05_gold_dimensions.py:155; 05_gold_dimensions.py:194
Calculated-table dependency: Linked Provider Referrals. Complete saved partition logic is included in the calculation document.</x:v>
      </x:c>
      <x:c r="G254" s="13" t="str">
        <x:v>Linked offer count</x:v>
      </x:c>
      <x:c r="H254" s="13" t="str">
        <x:v>Section 11 - Current Business Reporting</x:v>
      </x:c>
      <x:c r="I254" s="30" t="n">
        <x:v>46312</x:v>
      </x:c>
    </x:row>
    <x:row r="255" ht="409" customHeight="1">
      <x:c r="A255" s="13" t="str">
        <x:v>GOLD-KPI-232</x:v>
      </x:c>
      <x:c r="B255" s="13"/>
      <x:c r="C255" s="13" t="str">
        <x:v>Linked providers in selection</x:v>
      </x:c>
      <x:c r="D255" s="13" t="str">
        <x:v>Requirement association not established; owner review required.</x:v>
      </x:c>
      <x:c r="E255" s="13" t="str">
        <x:v>gold.dim_person; gold.dim_provider; gold.dim_referral_provider_message; gold.fact_offer; gold.fact_referral; gold.fact_referral_provider</x:v>
      </x:c>
      <x:c r="F255" s="13" t="str">
        <x:v>Business metric.
Latest saved source reviewed 17 October 2026. Static definition verified; refresh, role/context reconciliation and UAT remain pending.
Distinct other providers on shared qualifying-offer pairs; searched providers and cancelled referrals/responses are excluded. Candidate pairs now require OFFER_MADE, OFFER_SUCCESSFUL or OFFER_UNSUCCESSFUL. Assignment-only, message-only and draft/withdrawn-only pairs are absent. No provider search returns zero.
Full current logic: KPI_LATEST_CALCULATIONS.md#business-linked-providers-in-selection
DAX [Linked providers in selection]:
VAR hasProviderSearch =
ISFILTERED('dim_provider'[provider_name])
|| ISFILTERED('dim_provider'[provider_id])
RETURN IF(hasProviderSearch,
COALESCE(COUNTROWS(FILTER(
VALUES('Linked Provider Referrals'[provider_id]),
NOT ISBLANK('Linked Provider Referrals'[provider_id])
&amp;&amp; CALCULATE([Linked provider row visible]) = 1
)), 0), 0)
Saved source: project X/reports/WIP/SM WMPP v16 updated WIP/SM_WMPP_v16.SemanticModel/definition/tables/Linked Provider Referrals.tmdl:229
Python/Spark SQL producer/reference spans: 04_gold_model.py:847; 04_gold_model.py:232; 05_gold_dimensions.py:253; 04_gold_model.py:712; 05_gold_dimensions.py:155; 05_gold_dimensions.py:194
Calculated-table dependency: Linked Provider Referrals. Complete saved partition logic is included in the calculation document.</x:v>
      </x:c>
      <x:c r="G255" s="13" t="str">
        <x:v>Linked providers in selection</x:v>
      </x:c>
      <x:c r="H255" s="13" t="str">
        <x:v>Section 11 - Current Business Reporting</x:v>
      </x:c>
      <x:c r="I255" s="30" t="n">
        <x:v>46312</x:v>
      </x:c>
    </x:row>
    <x:row r="256" ht="267" customHeight="1">
      <x:c r="A256" s="13" t="str">
        <x:v>GOLD-KPI-233</x:v>
      </x:c>
      <x:c r="B256" s="13"/>
      <x:c r="C256" s="13" t="str">
        <x:v>Location review</x:v>
      </x:c>
      <x:c r="D256" s="13" t="str">
        <x:v>Requirement association not established; owner review required.</x:v>
      </x:c>
      <x:c r="E256" s="13" t="str">
        <x:v>gold.bridge_referral_framework_category; gold.dim_framework_category; gold.fact_referral</x:v>
      </x:c>
      <x:c r="F256" s="13" t="str">
        <x:v>Business metric. Saved category-aware exploration metric
Latest saved source reviewed 17 October 2026. Static definition verified; refresh, role/context reconciliation and UAT remain pending.
Full current logic: KPI_LATEST_CALCULATIONS.md#business-location-review
DAX [Location review]:
CALCULATE([Referrals],KEEPFILTERS(FILTER('fact_referral',ISBLANK('fact_referral'[location_match_status]) || 'fact_referral'[location_match_status]&lt;&gt;"CITY_MATCH")))
Saved source: project X/reports/WIP/SM WMPP v16 updated WIP/SM_WMPP_v16.SemanticModel/definition/tables/_Explore Measures.tmdl:57
Python/Spark SQL producer/reference spans: 05_gold_dimensions.py:179; 04_gold_model.py:232; 05_gold_dimensions.py:210
Calculated-table dependency: Referral Category. Complete saved partition logic is included in the calculation document.</x:v>
      </x:c>
      <x:c r="G256" s="13" t="str">
        <x:v>Location review</x:v>
      </x:c>
      <x:c r="H256" s="13" t="str">
        <x:v>Section 11 - Current Business Reporting</x:v>
      </x:c>
      <x:c r="I256" s="30" t="n">
        <x:v>46312</x:v>
      </x:c>
    </x:row>
    <x:row r="257" ht="254" customHeight="1">
      <x:c r="A257" s="13" t="str">
        <x:v>GOLD-KPI-234</x:v>
      </x:c>
      <x:c r="B257" s="13"/>
      <x:c r="C257" s="13" t="str">
        <x:v>Mapped referrals</x:v>
      </x:c>
      <x:c r="D257" s="13" t="str">
        <x:v>Requirement association not established; owner review required.</x:v>
      </x:c>
      <x:c r="E257" s="13" t="str">
        <x:v>gold.bridge_referral_framework_category; gold.dim_framework_category; gold.fact_referral</x:v>
      </x:c>
      <x:c r="F257" s="13" t="str">
        <x:v>Business metric. Saved category-aware exploration metric
Latest saved source reviewed 17 October 2026. Static definition verified; refresh, role/context reconciliation and UAT remain pending.
Full current logic: KPI_LATEST_CALCULATIONS.md#business-mapped-referrals
DAX [Mapped referrals]:
CALCULATE([Referrals],KEEPFILTERS('fact_referral'[location_match_status]="CITY_MATCH"))
Saved source: project X/reports/WIP/SM WMPP v16 updated WIP/SM_WMPP_v16.SemanticModel/definition/tables/_Explore Measures.tmdl:52
Python/Spark SQL producer/reference spans: 05_gold_dimensions.py:179; 04_gold_model.py:232; 05_gold_dimensions.py:210
Calculated-table dependency: Referral Category. Complete saved partition logic is included in the calculation document.</x:v>
      </x:c>
      <x:c r="G257" s="13" t="str">
        <x:v>Mapped referrals</x:v>
      </x:c>
      <x:c r="H257" s="13" t="str">
        <x:v>Section 11 - Current Business Reporting</x:v>
      </x:c>
      <x:c r="I257" s="30" t="n">
        <x:v>46312</x:v>
      </x:c>
    </x:row>
    <x:row r="258" ht="254" customHeight="1">
      <x:c r="A258" s="13" t="str">
        <x:v>GOLD-KPI-010</x:v>
      </x:c>
      <x:c r="B258" s="13" t="str">
        <x:v>[R24]</x:v>
      </x:c>
      <x:c r="C258" s="13" t="str">
        <x:v>Median Days to First Action</x:v>
      </x:c>
      <x:c r="D258" s="13" t="str">
        <x:v>Proposed requirement association; owner approval pending.</x:v>
      </x:c>
      <x:c r="E258" s="13" t="str">
        <x:v>gold.fact_referral</x:v>
      </x:c>
      <x:c r="F25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KPI_LATEST_CALCULATIONS.md#business-median-days-to-first-action
DAX [Median Days to First Action]:
MEDIANX (
FILTER ( 'fact_referral', NOT ISBLANK ( 'fact_referral'[days_to_first_action] ) ),
'fact_referral'[days_to_first_action]
)
Saved source: project X/reports/WIP/SM WMPP v16 updated WIP/SM_WMPP_v16.SemanticModel/definition/tables/_Measures.tmdl:928
Python/Spark SQL producer/reference spans: 04_gold_model.py:232</x:v>
      </x:c>
      <x:c r="G258" s="13" t="str">
        <x:v>Median Days to First Action</x:v>
      </x:c>
      <x:c r="H258" s="13" t="str">
        <x:v>Section 11 - Current Business Reporting</x:v>
      </x:c>
      <x:c r="I258" s="30" t="n">
        <x:v>46260</x:v>
      </x:c>
    </x:row>
    <x:row r="259" ht="254" customHeight="1">
      <x:c r="A259" s="13" t="str">
        <x:v>GOLD-KPI-011</x:v>
      </x:c>
      <x:c r="B259" s="13" t="str">
        <x:v>[R24]</x:v>
      </x:c>
      <x:c r="C259" s="13" t="str">
        <x:v>Median Days to First Offer</x:v>
      </x:c>
      <x:c r="D259" s="13" t="str">
        <x:v>Proposed requirement association; owner approval pending.</x:v>
      </x:c>
      <x:c r="E259" s="13" t="str">
        <x:v>gold.fact_referral</x:v>
      </x:c>
      <x:c r="F25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KPI_LATEST_CALCULATIONS.md#business-median-days-to-first-offer
DAX [Median Days to First Offer]:
MEDIANX (
FILTER ( 'fact_referral', NOT ISBLANK ( 'fact_referral'[days_to_first_offer] ) ),
'fact_referral'[days_to_first_offer]
)
Saved source: project X/reports/WIP/SM WMPP v16 updated WIP/SM_WMPP_v16.SemanticModel/definition/tables/_Measures.tmdl:937
Python/Spark SQL producer/reference spans: 04_gold_model.py:232</x:v>
      </x:c>
      <x:c r="G259" s="13" t="str">
        <x:v>Median Days to First Offer</x:v>
      </x:c>
      <x:c r="H259" s="13" t="str">
        <x:v>Section 11 - Current Business Reporting</x:v>
      </x:c>
      <x:c r="I259" s="30" t="n">
        <x:v>46260</x:v>
      </x:c>
    </x:row>
    <x:row r="260" ht="228" customHeight="1">
      <x:c r="A260" s="13" t="str">
        <x:v>GOLD-KPI-012</x:v>
      </x:c>
      <x:c r="B260" s="13" t="str">
        <x:v>[R35]</x:v>
      </x:c>
      <x:c r="C260" s="13" t="str">
        <x:v>Median Days to IPA</x:v>
      </x:c>
      <x:c r="D260" s="13" t="str">
        <x:v>Proposed requirement association; owner approval pending.</x:v>
      </x:c>
      <x:c r="E260" s="13" t="str">
        <x:v>gold.fact_referral</x:v>
      </x:c>
      <x:c r="F26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KPI_LATEST_CALCULATIONS.md#business-median-days-to-ipa
DAX [Median Days to IPA]:
MEDIANX (
FILTER ( 'fact_referral', NOT ISBLANK ( 'fact_referral'[days_to_ipa] ) ),
'fact_referral'[days_to_ipa]
)
Saved source: project X/reports/WIP/SM WMPP v16 updated WIP/SM_WMPP_v16.SemanticModel/definition/tables/_Measures.tmdl:946
Python/Spark SQL producer/reference spans: 04_gold_model.py:232</x:v>
      </x:c>
      <x:c r="G260" s="13" t="str">
        <x:v>Median Days to IPA</x:v>
      </x:c>
      <x:c r="H260" s="13" t="str">
        <x:v>Section 11 - Current Business Reporting</x:v>
      </x:c>
      <x:c r="I260" s="30" t="n">
        <x:v>46260</x:v>
      </x:c>
    </x:row>
    <x:row r="261" ht="202" customHeight="1">
      <x:c r="A261" s="13" t="str">
        <x:v>GOLD-KPI-235</x:v>
      </x:c>
      <x:c r="B261" s="13"/>
      <x:c r="C261" s="13" t="str">
        <x:v>Median Offered Weekly Cost</x:v>
      </x:c>
      <x:c r="D261" s="13" t="str">
        <x:v>Requirement association not established; owner review required.</x:v>
      </x:c>
      <x:c r="E261" s="13" t="str">
        <x:v>gold.fact_offer</x:v>
      </x:c>
      <x:c r="F261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KPI_LATEST_CALCULATIONS.md#business-median-offered-weekly-cost
DAX [Median Offered Weekly Cost]:
MEDIAN ( 'fact_offer'[estimated_weekly_cost] )
Saved source: project X/reports/WIP/SM WMPP v16 updated WIP/SM_WMPP_v16.SemanticModel/definition/tables/_Design Measures.tmdl:89
Python/Spark SQL producer/reference spans: 04_gold_model.py:712</x:v>
      </x:c>
      <x:c r="G261" s="13" t="str">
        <x:v>Median Offered Weekly Cost</x:v>
      </x:c>
      <x:c r="H261" s="13" t="str">
        <x:v>Section 11 - Current Business Reporting</x:v>
      </x:c>
      <x:c r="I261" s="30" t="n">
        <x:v>46312</x:v>
      </x:c>
    </x:row>
    <x:row r="262" ht="267" customHeight="1">
      <x:c r="A262" s="13" t="str">
        <x:v>GOLD-KPI-236</x:v>
      </x:c>
      <x:c r="B262" s="13"/>
      <x:c r="C262" s="13" t="str">
        <x:v>No. Providers Who Made Offers</x:v>
      </x:c>
      <x:c r="D262" s="13" t="str">
        <x:v>Requirement association not established; owner review required.</x:v>
      </x:c>
      <x:c r="E262" s="13" t="str">
        <x:v>gold.fact_offer; gold.fact_referral</x:v>
      </x:c>
      <x:c r="F26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KPI_LATEST_CALCULATIONS.md#business-no-providers-who-made-offers
DAX [No. Providers Who Made Offers]:
CALCULATE (
[Providers Who Made Offers],
FILTER ( 'fact_referral', 'fact_referral'[is_open] = TRUE () &amp;&amp; 'fact_referral'[current_status] = "UNDER_OFFER" )
)
Saved source: project X/reports/WIP/SM WMPP v16 updated WIP/SM_WMPP_v16.SemanticModel/definition/tables/_Measures.tmdl:14
Python/Spark SQL producer/reference spans: 04_gold_model.py:232; 04_gold_model.py:712</x:v>
      </x:c>
      <x:c r="G262" s="13" t="str">
        <x:v>No. Providers Who Made Offers</x:v>
      </x:c>
      <x:c r="H262" s="13" t="str">
        <x:v>Section 11 - Current Business Reporting</x:v>
      </x:c>
      <x:c r="I262" s="30" t="n">
        <x:v>46312</x:v>
      </x:c>
    </x:row>
    <x:row r="263" ht="215" customHeight="1">
      <x:c r="A263" s="13" t="str">
        <x:v>GOLD-KPI-061</x:v>
      </x:c>
      <x:c r="B263" s="13"/>
      <x:c r="C263" s="13" t="str">
        <x:v>Non-Spot Offers</x:v>
      </x:c>
      <x:c r="D263" s="13" t="str">
        <x:v>Requirement association not established; owner review required.</x:v>
      </x:c>
      <x:c r="E263" s="13" t="str">
        <x:v>gold.dim_provider_home; gold.fact_offer</x:v>
      </x:c>
      <x:c r="F26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KPI_LATEST_CALCULATIONS.md#business-non-spot-offers
DAX [Non-Spot Offers]:
CALCULATE ( [Non-Draft Offers], 'dim_provider_home (offer)'[is_spot] = FALSE () )
Saved source: project X/reports/WIP/SM WMPP v16 updated WIP/SM_WMPP_v16.SemanticModel/definition/tables/_Measures.tmdl:1122
Python/Spark SQL producer/reference spans: 04_gold_model.py:712; 05_gold_dimensions.py:163</x:v>
      </x:c>
      <x:c r="G263" s="13" t="str">
        <x:v>Non-Spot Offers</x:v>
      </x:c>
      <x:c r="H263" s="13" t="str">
        <x:v>Section 11 - Current Business Reporting</x:v>
      </x:c>
      <x:c r="I263" s="30" t="n">
        <x:v>46260</x:v>
      </x:c>
    </x:row>
    <x:row r="264" ht="189" customHeight="1">
      <x:c r="A264" s="13" t="str">
        <x:v>GOLD-KPI-017</x:v>
      </x:c>
      <x:c r="B264" s="13" t="str">
        <x:v>[R28]</x:v>
      </x:c>
      <x:c r="C264" s="13" t="str">
        <x:v>Offer Acceptance Rate</x:v>
      </x:c>
      <x:c r="D264" s="13" t="str">
        <x:v>Proposed requirement association; owner approval pending.</x:v>
      </x:c>
      <x:c r="E264" s="13" t="str">
        <x:v>gold.fact_offer</x:v>
      </x:c>
      <x:c r="F26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KPI_LATEST_CALCULATIONS.md#business-offer-acceptance-rate
DAX [Offer Acceptance Rate]:
DIVIDE ( [Accepted Offers], [Offers with a Decision] )
Saved source: project X/reports/WIP/SM WMPP v16 updated WIP/SM_WMPP_v16.SemanticModel/definition/tables/_Measures.tmdl:1411
Python/Spark SQL producer/reference spans: 04_gold_model.py:712</x:v>
      </x:c>
      <x:c r="G264" s="13" t="str">
        <x:v>Offer Acceptance Rate</x:v>
      </x:c>
      <x:c r="H264" s="13" t="str">
        <x:v>Section 11 - Current Business Reporting</x:v>
      </x:c>
      <x:c r="I264" s="30" t="n">
        <x:v>46260</x:v>
      </x:c>
    </x:row>
    <x:row r="265" ht="202" customHeight="1">
      <x:c r="A265" s="13" t="str">
        <x:v>GOLD-KPI-237</x:v>
      </x:c>
      <x:c r="B265" s="13"/>
      <x:c r="C265" s="13" t="str">
        <x:v>Offer Receipt Rate (Created in Period)</x:v>
      </x:c>
      <x:c r="D265" s="13" t="str">
        <x:v>Requirement association not established; owner review required.</x:v>
      </x:c>
      <x:c r="E265" s="13" t="str">
        <x:v>gold.fact_referral</x:v>
      </x:c>
      <x:c r="F26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KPI_LATEST_CALCULATIONS.md#business-offer-receipt-rate-created-in-period
DAX [Offer Receipt Rate (Created in Period)]:
DIVIDE ( [Referrals With Offers], [Total Referrals] )
Saved source: project X/reports/WIP/SM WMPP v16 updated WIP/SM_WMPP_v16.SemanticModel/definition/tables/_Measures.tmdl:1323
Python/Spark SQL producer/reference spans: 04_gold_model.py:232</x:v>
      </x:c>
      <x:c r="G265" s="13" t="str">
        <x:v>Offer Receipt Rate (Created in Period)</x:v>
      </x:c>
      <x:c r="H265" s="13" t="str">
        <x:v>Section 11 - Current Business Reporting</x:v>
      </x:c>
      <x:c r="I265" s="30" t="n">
        <x:v>46312</x:v>
      </x:c>
    </x:row>
    <x:row r="266" ht="228" customHeight="1">
      <x:c r="A266" s="13" t="str">
        <x:v>GOLD-KPI-238</x:v>
      </x:c>
      <x:c r="B266" s="13"/>
      <x:c r="C266" s="13" t="str">
        <x:v>Offer Receipt Rate (Created in Period) MoM %</x:v>
      </x:c>
      <x:c r="D266" s="13" t="str">
        <x:v>Requirement association not established; owner review required.</x:v>
      </x:c>
      <x:c r="E266" s="13" t="str">
        <x:v>gold.dim_date; gold.fact_referral</x:v>
      </x:c>
      <x:c r="F26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KPI_LATEST_CALCULATIONS.md#business-offer-receipt-rate-created-in-period-mom-percent
DAX [Offer Receipt Rate (Created in Period) MoM %]:
DIVIDE ( [Offer Receipt Rate (Created in Period) Variance], [Offer Receipt Rate (Created in Period) Previous Month] )
Saved source: project X/reports/WIP/SM WMPP v16 updated WIP/SM_WMPP_v16.SemanticModel/definition/tables/_Measures.tmdl:1545
Python/Spark SQL producer/reference spans: 04_gold_model.py:232; 05_gold_dimensions.py:128</x:v>
      </x:c>
      <x:c r="G266" s="13" t="str">
        <x:v>Offer Receipt Rate (Created in Period) MoM %</x:v>
      </x:c>
      <x:c r="H266" s="13" t="str">
        <x:v>Section 11 - Current Business Reporting</x:v>
      </x:c>
      <x:c r="I266" s="30" t="n">
        <x:v>46312</x:v>
      </x:c>
    </x:row>
    <x:row r="267" ht="228" customHeight="1">
      <x:c r="A267" s="13" t="str">
        <x:v>GOLD-KPI-239</x:v>
      </x:c>
      <x:c r="B267" s="13"/>
      <x:c r="C267" s="13" t="str">
        <x:v>Offer Receipt Rate (Created in Period) Previous Month</x:v>
      </x:c>
      <x:c r="D267" s="13" t="str">
        <x:v>Requirement association not established; owner review required.</x:v>
      </x:c>
      <x:c r="E267" s="13" t="str">
        <x:v>gold.dim_date; gold.fact_referral</x:v>
      </x:c>
      <x:c r="F26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KPI_LATEST_CALCULATIONS.md#business-offer-receipt-rate-created-in-period-previous-month
DAX [Offer Receipt Rate (Created in Period) Previous Month]:
CALCULATE ( [Offer Receipt Rate (Created in Period)], DATEADD ( 'dim_date'[date], -1, MONTH ) )
Saved source: project X/reports/WIP/SM WMPP v16 updated WIP/SM_WMPP_v16.SemanticModel/definition/tables/_Measures.tmdl:1535
Python/Spark SQL producer/reference spans: 04_gold_model.py:232; 05_gold_dimensions.py:128</x:v>
      </x:c>
      <x:c r="G267" s="13" t="str">
        <x:v>Offer Receipt Rate (Created in Period) Previous Month</x:v>
      </x:c>
      <x:c r="H267" s="13" t="str">
        <x:v>Section 11 - Current Business Reporting</x:v>
      </x:c>
      <x:c r="I267" s="30" t="n">
        <x:v>46312</x:v>
      </x:c>
    </x:row>
    <x:row r="268" ht="228" customHeight="1">
      <x:c r="A268" s="13" t="str">
        <x:v>GOLD-KPI-240</x:v>
      </x:c>
      <x:c r="B268" s="13"/>
      <x:c r="C268" s="13" t="str">
        <x:v>Offer Receipt Rate (Created in Period) Variance</x:v>
      </x:c>
      <x:c r="D268" s="13" t="str">
        <x:v>Requirement association not established; owner review required.</x:v>
      </x:c>
      <x:c r="E268" s="13" t="str">
        <x:v>gold.dim_date; gold.fact_referral</x:v>
      </x:c>
      <x:c r="F26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KPI_LATEST_CALCULATIONS.md#business-offer-receipt-rate-created-in-period-variance
DAX [Offer Receipt Rate (Created in Period) Variance]:
[Offer Receipt Rate (Created in Period)] - [Offer Receipt Rate (Created in Period) Previous Month]
Saved source: project X/reports/WIP/SM WMPP v16 updated WIP/SM_WMPP_v16.SemanticModel/definition/tables/_Measures.tmdl:1540
Python/Spark SQL producer/reference spans: 04_gold_model.py:232; 05_gold_dimensions.py:128</x:v>
      </x:c>
      <x:c r="G268" s="13" t="str">
        <x:v>Offer Receipt Rate (Created in Period) Variance</x:v>
      </x:c>
      <x:c r="H268" s="13" t="str">
        <x:v>Section 11 - Current Business Reporting</x:v>
      </x:c>
      <x:c r="I268" s="30" t="n">
        <x:v>46312</x:v>
      </x:c>
    </x:row>
    <x:row r="269" ht="306" customHeight="1">
      <x:c r="A269" s="13" t="str">
        <x:v>GOLD-KPI-241</x:v>
      </x:c>
      <x:c r="B269" s="13"/>
      <x:c r="C269" s="13" t="str">
        <x:v>Offers</x:v>
      </x:c>
      <x:c r="D269" s="13" t="str">
        <x:v>Requirement association not established; owner review required.</x:v>
      </x:c>
      <x:c r="E269" s="13" t="str">
        <x:v>gold.bridge_referral_framework_category; gold.dim_framework_category; gold.fact_offer; gold.fact_referral</x:v>
      </x:c>
      <x:c r="F269" s="13" t="str">
        <x:v>Business metric. Saved category-aware exploration metric
Latest saved source reviewed 17 October 2026. Static definition verified; refresh, role/context reconciliation and UAT remain pending.
Full current logic: KPI_LATEST_CALCULATIONS.md#business-offers
DAX [Offers]:
VAR selectedCategories=VALUES('Referral Category'[Category ID])
VAR ids=CALCULATETABLE(VALUES('bridge_referral_framework_category'[referral_id]),TREATAS(selectedCategories,'bridge_referral_framework_category'[framework_category_id]))
RETURN IF(ISCROSSFILTERED('Referral Category'),CALCULATE([Offers Submitted],KEEPFILTERS(TREATAS(ids,'fact_referral'[referral_id]))),[Offers Submitted])
Saved source: project X/reports/WIP/SM WMPP v16 updated WIP/SM_WMPP_v16.SemanticModel/definition/tables/_Explore Measures.tmdl:36
Python/Spark SQL producer/reference spans: 05_gold_dimensions.py:179; 04_gold_model.py:232; 05_gold_dimensions.py:210; 04_gold_model.py:712
Calculated-table dependency: Referral Category. Complete saved partition logic is included in the calculation document.</x:v>
      </x:c>
      <x:c r="G269" s="13" t="str">
        <x:v>Offers</x:v>
      </x:c>
      <x:c r="H269" s="13" t="str">
        <x:v>Section 11 - Current Business Reporting</x:v>
      </x:c>
      <x:c r="I269" s="30" t="n">
        <x:v>46312</x:v>
      </x:c>
    </x:row>
    <x:row r="270" ht="215" customHeight="1">
      <x:c r="A270" s="13" t="str">
        <x:v>GOLD-KPI-242</x:v>
      </x:c>
      <x:c r="B270" s="13"/>
      <x:c r="C270" s="13" t="str">
        <x:v>Offers Awaiting IPA Completion %</x:v>
      </x:c>
      <x:c r="D270" s="13" t="str">
        <x:v>Requirement association not established; owner review required.</x:v>
      </x:c>
      <x:c r="E270" s="13" t="str">
        <x:v>gold.fact_ipa; gold.fact_offer</x:v>
      </x:c>
      <x:c r="F27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KPI_LATEST_CALCULATIONS.md#business-offers-awaiting-ipa-completion-percent
DAX [Offers Awaiting IPA Completion %]:
DIVIDE ( ([Accepted Offers]-[IPA Completed]), [Accepted Offers] )
Saved source: project X/reports/WIP/SM WMPP v16 updated WIP/SM_WMPP_v16.SemanticModel/definition/tables/_Measures.tmdl:1767
Python/Spark SQL producer/reference spans: 04_gold_model.py:817; 04_gold_model.py:712</x:v>
      </x:c>
      <x:c r="G270" s="13" t="str">
        <x:v>Offers Awaiting IPA Completion %</x:v>
      </x:c>
      <x:c r="H270" s="13" t="str">
        <x:v>Section 11 - Current Business Reporting</x:v>
      </x:c>
      <x:c r="I270" s="30" t="n">
        <x:v>46312</x:v>
      </x:c>
    </x:row>
    <x:row r="271" ht="228" customHeight="1">
      <x:c r="A271" s="13" t="str">
        <x:v>GOLD-KPI-243</x:v>
      </x:c>
      <x:c r="B271" s="13"/>
      <x:c r="C271" s="13" t="str">
        <x:v>Offers on Referrals Under Offer MoM %</x:v>
      </x:c>
      <x:c r="D271" s="13" t="str">
        <x:v>Requirement association not established; owner review required.</x:v>
      </x:c>
      <x:c r="E271" s="13" t="str">
        <x:v>gold.dim_date; gold.fact_offer; gold.fact_referral</x:v>
      </x:c>
      <x:c r="F27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KPI_LATEST_CALCULATIONS.md#business-offers-on-referrals-under-offer-mom-percent
DAX [Offers on Referrals Under Offer MoM %]:
DIVIDE ( [Offers on Referrals Under Offer Variance], [Offers on Referrals Under Offer Previous Month] )
Saved source: project X/reports/WIP/SM WMPP v16 updated WIP/SM_WMPP_v16.SemanticModel/definition/tables/_Measures.tmdl:1312
Python/Spark SQL producer/reference spans: 04_gold_model.py:232; 04_gold_model.py:712; 05_gold_dimensions.py:128</x:v>
      </x:c>
      <x:c r="G271" s="13" t="str">
        <x:v>Offers on Referrals Under Offer MoM %</x:v>
      </x:c>
      <x:c r="H271" s="13" t="str">
        <x:v>Section 11 - Current Business Reporting</x:v>
      </x:c>
      <x:c r="I271" s="30" t="n">
        <x:v>46312</x:v>
      </x:c>
    </x:row>
    <x:row r="272" ht="228" customHeight="1">
      <x:c r="A272" s="13" t="str">
        <x:v>GOLD-KPI-244</x:v>
      </x:c>
      <x:c r="B272" s="13"/>
      <x:c r="C272" s="13" t="str">
        <x:v>Offers on Referrals Under Offer Previous Month</x:v>
      </x:c>
      <x:c r="D272" s="13" t="str">
        <x:v>Requirement association not established; owner review required.</x:v>
      </x:c>
      <x:c r="E272" s="13" t="str">
        <x:v>gold.dim_date; gold.fact_offer; gold.fact_referral</x:v>
      </x:c>
      <x:c r="F27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KPI_LATEST_CALCULATIONS.md#business-offers-on-referrals-under-offer-previous-month
DAX [Offers on Referrals Under Offer Previous Month]:
CALCULATE ( [Offers on Referrals Under Offer], DATEADD ( 'dim_date'[date], -1, MONTH ) )
Saved source: project X/reports/WIP/SM WMPP v16 updated WIP/SM_WMPP_v16.SemanticModel/definition/tables/_Measures.tmdl:1304
Python/Spark SQL producer/reference spans: 04_gold_model.py:232; 04_gold_model.py:712; 05_gold_dimensions.py:128</x:v>
      </x:c>
      <x:c r="G272" s="13" t="str">
        <x:v>Offers on Referrals Under Offer Previous Month</x:v>
      </x:c>
      <x:c r="H272" s="13" t="str">
        <x:v>Section 11 - Current Business Reporting</x:v>
      </x:c>
      <x:c r="I272" s="30" t="n">
        <x:v>46312</x:v>
      </x:c>
    </x:row>
    <x:row r="273" ht="228" customHeight="1">
      <x:c r="A273" s="13" t="str">
        <x:v>GOLD-KPI-245</x:v>
      </x:c>
      <x:c r="B273" s="13"/>
      <x:c r="C273" s="13" t="str">
        <x:v>Offers on Referrals Under Offer Variance</x:v>
      </x:c>
      <x:c r="D273" s="13" t="str">
        <x:v>Requirement association not established; owner review required.</x:v>
      </x:c>
      <x:c r="E273" s="13" t="str">
        <x:v>gold.dim_date; gold.fact_offer; gold.fact_referral</x:v>
      </x:c>
      <x:c r="F27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KPI_LATEST_CALCULATIONS.md#business-offers-on-referrals-under-offer-variance
DAX [Offers on Referrals Under Offer Variance]:
[Offers on Referrals Under Offer] - [Offers on Referrals Under Offer Previous Month]
Saved source: project X/reports/WIP/SM WMPP v16 updated WIP/SM_WMPP_v16.SemanticModel/definition/tables/_Measures.tmdl:1308
Python/Spark SQL producer/reference spans: 04_gold_model.py:232; 04_gold_model.py:712; 05_gold_dimensions.py:128</x:v>
      </x:c>
      <x:c r="G273" s="13" t="str">
        <x:v>Offers on Referrals Under Offer Variance</x:v>
      </x:c>
      <x:c r="H273" s="13" t="str">
        <x:v>Section 11 - Current Business Reporting</x:v>
      </x:c>
      <x:c r="I273" s="30" t="n">
        <x:v>46312</x:v>
      </x:c>
    </x:row>
    <x:row r="274" ht="228" customHeight="1">
      <x:c r="A274" s="13" t="str">
        <x:v>GOLD-KPI-016</x:v>
      </x:c>
      <x:c r="B274" s="13" t="str">
        <x:v>[R28]</x:v>
      </x:c>
      <x:c r="C274" s="13" t="str">
        <x:v>Offers with a Decision</x:v>
      </x:c>
      <x:c r="D274" s="13" t="str">
        <x:v>Proposed requirement association; owner approval pending.</x:v>
      </x:c>
      <x:c r="E274" s="13" t="str">
        <x:v>gold.fact_offer</x:v>
      </x:c>
      <x:c r="F27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KPI_LATEST_CALCULATIONS.md#business-offers-with-a-decision
DAX [Offers with a Decision]:
CALCULATE (
[Offers Submitted],
FILTER ( 'fact_offer', NOT ISBLANK ( 'fact_offer'[offer_decision_date] ) )
)
Saved source: project X/reports/WIP/SM WMPP v16 updated WIP/SM_WMPP_v16.SemanticModel/definition/tables/_Measures.tmdl:1404
Python/Spark SQL producer/reference spans: 04_gold_model.py:712</x:v>
      </x:c>
      <x:c r="G274" s="13" t="str">
        <x:v>Offers with a Decision</x:v>
      </x:c>
      <x:c r="H274" s="13" t="str">
        <x:v>Section 11 - Current Business Reporting</x:v>
      </x:c>
      <x:c r="I274" s="30" t="n">
        <x:v>46260</x:v>
      </x:c>
    </x:row>
    <x:row r="275" ht="228" customHeight="1">
      <x:c r="A275" s="13" t="str">
        <x:v>GOLD-KPI-246</x:v>
      </x:c>
      <x:c r="B275" s="13"/>
      <x:c r="C275" s="13" t="str">
        <x:v>Offers with preferred-city distance</x:v>
      </x:c>
      <x:c r="D275" s="13" t="str">
        <x:v>Requirement association not established; owner review required.</x:v>
      </x:c>
      <x:c r="E275" s="13" t="str">
        <x:v>gold.fact_offer</x:v>
      </x:c>
      <x:c r="F275" s="13" t="str">
        <x:v>Business metric. Saved category-aware exploration metric
Latest saved source reviewed 17 October 2026. Static definition verified; refresh, role/context reconciliation and UAT remain pending.
Full current logic: KPI_LATEST_CALCULATIONS.md#business-offers-with-preferred-city-distance
DAX [Offers with preferred-city distance]:
CALCULATE([Offers Submitted],KEEPFILTERS(FILTER('fact_offer','fact_offer'[referral_to_home_distance_status]="APPROXIMATE_PREFERENCE_CITY" &amp;&amp; NOT ISBLANK('fact_offer'[referral_to_home_distance_km]))))
Saved source: project X/reports/WIP/SM WMPP v16 updated WIP/SM_WMPP_v16.SemanticModel/definition/tables/_Explore Measures.tmdl:67
Python/Spark SQL producer/reference spans: 04_gold_model.py:712</x:v>
      </x:c>
      <x:c r="G275" s="13" t="str">
        <x:v>Offers with preferred-city distance</x:v>
      </x:c>
      <x:c r="H275" s="13" t="str">
        <x:v>Section 11 - Current Business Reporting</x:v>
      </x:c>
      <x:c r="I275" s="30" t="n">
        <x:v>46312</x:v>
      </x:c>
    </x:row>
    <x:row r="276" ht="241" customHeight="1">
      <x:c r="A276" s="13" t="str">
        <x:v>GOLD-KPI-055</x:v>
      </x:c>
      <x:c r="B276" s="13"/>
      <x:c r="C276" s="13" t="str">
        <x:v>Offers With Recorded Rejection Reason</x:v>
      </x:c>
      <x:c r="D276" s="13" t="str">
        <x:v>Requirement association not established; owner review required.</x:v>
      </x:c>
      <x:c r="E276" s="13" t="str">
        <x:v>gold.fact_offer</x:v>
      </x:c>
      <x:c r="F27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KPI_LATEST_CALCULATIONS.md#business-offers-with-recorded-rejection-reason
DAX [Offers With Recorded Rejection Reason]:
CALCULATE (
[Offers Submitted],
FILTER ( 'fact_offer', NOT ISBLANK ( 'fact_offer'[rejection_reason] ) )
)
Saved source: project X/reports/WIP/SM WMPP v16 updated WIP/SM_WMPP_v16.SemanticModel/definition/tables/_Measures.tmdl:1431
Python/Spark SQL producer/reference spans: 04_gold_model.py:712</x:v>
      </x:c>
      <x:c r="G276" s="13" t="str">
        <x:v>Offers With Recorded Rejection Reason</x:v>
      </x:c>
      <x:c r="H276" s="13" t="str">
        <x:v>Section 11 - Current Business Reporting</x:v>
      </x:c>
      <x:c r="I276" s="30" t="n">
        <x:v>46260</x:v>
      </x:c>
    </x:row>
    <x:row r="277" ht="202" customHeight="1">
      <x:c r="A277" s="13" t="str">
        <x:v>GOLD-KPI-247</x:v>
      </x:c>
      <x:c r="B277" s="13"/>
      <x:c r="C277" s="13" t="str">
        <x:v>Offers without preferred-city distance</x:v>
      </x:c>
      <x:c r="D277" s="13" t="str">
        <x:v>Requirement association not established; owner review required.</x:v>
      </x:c>
      <x:c r="E277" s="13" t="str">
        <x:v>gold.fact_offer</x:v>
      </x:c>
      <x:c r="F277" s="13" t="str">
        <x:v>Business metric. Saved category-aware exploration metric
Latest saved source reviewed 17 October 2026. Static definition verified; refresh, role/context reconciliation and UAT remain pending.
Full current logic: KPI_LATEST_CALCULATIONS.md#business-offers-without-preferred-city-distance
DAX [Offers without preferred-city distance]:
[Offers Submitted]-[Offers with preferred-city distance]
Saved source: project X/reports/WIP/SM WMPP v16 updated WIP/SM_WMPP_v16.SemanticModel/definition/tables/_Explore Measures.tmdl:72
Python/Spark SQL producer/reference spans: 04_gold_model.py:712</x:v>
      </x:c>
      <x:c r="G277" s="13" t="str">
        <x:v>Offers without preferred-city distance</x:v>
      </x:c>
      <x:c r="H277" s="13" t="str">
        <x:v>Section 11 - Current Business Reporting</x:v>
      </x:c>
      <x:c r="I277" s="30" t="n">
        <x:v>46312</x:v>
      </x:c>
    </x:row>
    <x:row r="278" ht="241" customHeight="1">
      <x:c r="A278" s="13" t="str">
        <x:v>GOLD-KPI-033</x:v>
      </x:c>
      <x:c r="B278" s="13"/>
      <x:c r="C278" s="13" t="str">
        <x:v>Open On-Track Referrals at Snapshot</x:v>
      </x:c>
      <x:c r="D278" s="13" t="str">
        <x:v>Requirement association not established; owner review required.</x:v>
      </x:c>
      <x:c r="E278" s="13" t="str">
        <x:v>gold.fact_referral_snapshot</x:v>
      </x:c>
      <x:c r="F27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KPI_LATEST_CALCULATIONS.md#business-open-on-track-referrals-at-snapshot
DAX [Open On-Track Referrals at Snapshot]:
CALCULATE (
[Snapshot Referrals],
'fact_referral_snapshot'[required_placement_date_outcome] = "Open on track"
)
Saved source: project X/reports/WIP/SM WMPP v16 updated WIP/SM_WMPP_v16.SemanticModel/definition/tables/_Measures.tmdl:810
Python/Spark SQL producer/reference spans: 04_gold_model.py:567</x:v>
      </x:c>
      <x:c r="G278" s="13" t="str">
        <x:v>Open On-Track Referrals at Snapshot</x:v>
      </x:c>
      <x:c r="H278" s="13" t="str">
        <x:v>Section 11 - Current Business Reporting</x:v>
      </x:c>
      <x:c r="I278" s="30" t="n">
        <x:v>46260</x:v>
      </x:c>
    </x:row>
    <x:row r="279" ht="189" customHeight="1">
      <x:c r="A279" s="13" t="str">
        <x:v>GOLD-KPI-007</x:v>
      </x:c>
      <x:c r="B279" s="13" t="str">
        <x:v>[R24]</x:v>
      </x:c>
      <x:c r="C279" s="13" t="str">
        <x:v>Open Overdue Referrals</x:v>
      </x:c>
      <x:c r="D279" s="13" t="str">
        <x:v>Proposed requirement association; owner approval pending.</x:v>
      </x:c>
      <x:c r="E279" s="13" t="str">
        <x:v>gold.fact_referral</x:v>
      </x:c>
      <x:c r="F27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KPI_LATEST_CALCULATIONS.md#business-open-overdue-referrals
DAX [Open Overdue Referrals]:
CALCULATE ( [Total Referrals], 'fact_referral'[is_open_overdue] = TRUE () )
Saved source: project X/reports/WIP/SM WMPP v16 updated WIP/SM_WMPP_v16.SemanticModel/definition/tables/_Measures.tmdl:828
Python/Spark SQL producer/reference spans: 04_gold_model.py:232</x:v>
      </x:c>
      <x:c r="G279" s="13" t="str">
        <x:v>Open Overdue Referrals</x:v>
      </x:c>
      <x:c r="H279" s="13" t="str">
        <x:v>Section 11 - Current Business Reporting</x:v>
      </x:c>
      <x:c r="I279" s="30" t="n">
        <x:v>46260</x:v>
      </x:c>
    </x:row>
    <x:row r="280" ht="215" customHeight="1">
      <x:c r="A280" s="13" t="str">
        <x:v>GOLD-KPI-032</x:v>
      </x:c>
      <x:c r="B280" s="13"/>
      <x:c r="C280" s="13" t="str">
        <x:v>Open Overdue Referrals at Snapshot</x:v>
      </x:c>
      <x:c r="D280" s="13" t="str">
        <x:v>Requirement association not established; owner review required.</x:v>
      </x:c>
      <x:c r="E280" s="13" t="str">
        <x:v>gold.fact_referral_snapshot</x:v>
      </x:c>
      <x:c r="F28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KPI_LATEST_CALCULATIONS.md#business-open-overdue-referrals-at-snapshot
DAX [Open Overdue Referrals at Snapshot]:
CALCULATE ( [Snapshot Referrals], 'fact_referral_snapshot'[is_open_overdue] = TRUE () )
Saved source: project X/reports/WIP/SM WMPP v16 updated WIP/SM_WMPP_v16.SemanticModel/definition/tables/_Measures.tmdl:1000
Python/Spark SQL producer/reference spans: 04_gold_model.py:567</x:v>
      </x:c>
      <x:c r="G280" s="13" t="str">
        <x:v>Open Overdue Referrals at Snapshot</x:v>
      </x:c>
      <x:c r="H280" s="13" t="str">
        <x:v>Section 11 - Current Business Reporting</x:v>
      </x:c>
      <x:c r="I280" s="30" t="n">
        <x:v>46260</x:v>
      </x:c>
    </x:row>
    <x:row r="281" ht="202" customHeight="1">
      <x:c r="A281" s="13" t="str">
        <x:v>GOLD-KPI-034</x:v>
      </x:c>
      <x:c r="B281" s="13"/>
      <x:c r="C281" s="13" t="str">
        <x:v>Open Referral Rate at Snapshot</x:v>
      </x:c>
      <x:c r="D281" s="13" t="str">
        <x:v>Requirement association not established; owner review required.</x:v>
      </x:c>
      <x:c r="E281" s="13" t="str">
        <x:v>gold.fact_referral_snapshot</x:v>
      </x:c>
      <x:c r="F28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KPI_LATEST_CALCULATIONS.md#business-open-referral-rate-at-snapshot
DAX [Open Referral Rate at Snapshot]:
DIVIDE ( [Open Referrals at Snapshot], [Snapshot Referrals] )
Saved source: project X/reports/WIP/SM WMPP v16 updated WIP/SM_WMPP_v16.SemanticModel/definition/tables/_Measures.tmdl:833
Python/Spark SQL producer/reference spans: 04_gold_model.py:567</x:v>
      </x:c>
      <x:c r="G281" s="13" t="str">
        <x:v>Open Referral Rate at Snapshot</x:v>
      </x:c>
      <x:c r="H281" s="13" t="str">
        <x:v>Section 11 - Current Business Reporting</x:v>
      </x:c>
      <x:c r="I281" s="30" t="n">
        <x:v>46260</x:v>
      </x:c>
    </x:row>
    <x:row r="282" ht="215" customHeight="1">
      <x:c r="A282" s="13" t="str">
        <x:v>GOLD-KPI-029</x:v>
      </x:c>
      <x:c r="B282" s="13" t="str">
        <x:v>[R24]</x:v>
      </x:c>
      <x:c r="C282" s="13" t="str">
        <x:v>Open Referrals at Snapshot</x:v>
      </x:c>
      <x:c r="D282" s="13" t="str">
        <x:v>Proposed requirement association; owner approval pending.</x:v>
      </x:c>
      <x:c r="E282" s="13" t="str">
        <x:v>gold.fact_referral_snapshot</x:v>
      </x:c>
      <x:c r="F28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KPI_LATEST_CALCULATIONS.md#business-open-referrals-at-snapshot
DAX [Open Referrals at Snapshot]:
CALCULATE ( [Snapshot Referrals], 'fact_referral_snapshot'[is_open] = TRUE () )
Saved source: project X/reports/WIP/SM WMPP v16 updated WIP/SM_WMPP_v16.SemanticModel/definition/tables/_Measures.tmdl:705
Python/Spark SQL producer/reference spans: 04_gold_model.py:567</x:v>
      </x:c>
      <x:c r="G282" s="13" t="str">
        <x:v>Open Referrals at Snapshot</x:v>
      </x:c>
      <x:c r="H282" s="13" t="str">
        <x:v>Section 11 - Current Business Reporting</x:v>
      </x:c>
      <x:c r="I282" s="30" t="n">
        <x:v>46260</x:v>
      </x:c>
    </x:row>
    <x:row r="283" ht="306" customHeight="1">
      <x:c r="A283" s="13" t="str">
        <x:v>GOLD-KPI-248</x:v>
      </x:c>
      <x:c r="B283" s="13"/>
      <x:c r="C283" s="13" t="str">
        <x:v>Open Referrals by Age</x:v>
      </x:c>
      <x:c r="D283" s="13" t="str">
        <x:v>Requirement association not established; owner review required.</x:v>
      </x:c>
      <x:c r="E283" s="13" t="str">
        <x:v>gold.fact_referral</x:v>
      </x:c>
      <x:c r="F283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KPI_LATEST_CALCULATIONS.md#business-open-referrals-by-age
DAX [Open Referrals by Age]:
VAR band = SELECTEDVALUE ( 'Open Referral Age'[Ordinal] )
RETURN COUNTROWS ( FILTER ( 'fact_referral',
VAR days = 'fact_referral'[days_open]
VAR bucket = SWITCH ( TRUE (), ISBLANK ( days ) || days &lt; 0, 6, days &lt;= 2, 1, days &lt;= 7, 2, days &lt;= 14, 3, days &lt;= 28, 4, 5 )
RETURN 'fact_referral'[is_open] = TRUE () &amp;&amp; ( ISBLANK ( band ) || bucket = band ) ) )
Saved source: project X/reports/WIP/SM WMPP v16 updated WIP/SM_WMPP_v16.SemanticModel/definition/tables/_Design Measures.tmdl:129
Python/Spark SQL producer/reference spans: 04_gold_model.py:232
Calculated-table dependency: Open Referral Age. Complete saved partition logic is included in the calculation document.</x:v>
      </x:c>
      <x:c r="G283" s="13" t="str">
        <x:v>Open Referrals by Age</x:v>
      </x:c>
      <x:c r="H283" s="13" t="str">
        <x:v>Section 11 - Current Business Reporting</x:v>
      </x:c>
      <x:c r="I283" s="30" t="n">
        <x:v>46312</x:v>
      </x:c>
    </x:row>
    <x:row r="284" ht="345" customHeight="1">
      <x:c r="A284" s="13" t="str">
        <x:v>GOLD-KPI-249</x:v>
      </x:c>
      <x:c r="B284" s="13"/>
      <x:c r="C284" s="13" t="str">
        <x:v>Open Referrals by Days to Target</x:v>
      </x:c>
      <x:c r="D284" s="13" t="str">
        <x:v>Requirement association not established; owner review required.</x:v>
      </x:c>
      <x:c r="E284" s="13" t="str">
        <x:v>gold.fact_referral</x:v>
      </x:c>
      <x:c r="F284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KPI_LATEST_CALCULATIONS.md#business-open-referrals-by-days-to-target
DAX [Open Referrals by Days to Target]:
VAR band = SELECTEDVALUE ( 'Days to Target'[Ordinal] )
RETURN COUNTROWS ( FILTER ( 'fact_referral',
VAR target = 'fact_referral'[required_placement_date]
VAR asof = 'fact_referral'[as_of_date]
VAR days = INT ( target ) - INT ( asof )
VAR bucket = SWITCH ( TRUE (), ISBLANK ( target ) || ISBLANK ( asof ), 6, days &lt; 0, 5, days &lt;= 1, 1, days &lt;= 3, 2, days &lt;= 7, 3, 4 )
RETURN 'fact_referral'[is_open] = TRUE () &amp;&amp; ( ISBLANK ( band ) || bucket = band ) ) )
Saved source: project X/reports/WIP/SM WMPP v16 updated WIP/SM_WMPP_v16.SemanticModel/definition/tables/_Design Measures.tmdl:117
Python/Spark SQL producer/reference spans: 04_gold_model.py:232
Calculated-table dependency: Days to Target. Complete saved partition logic is included in the calculation document.</x:v>
      </x:c>
      <x:c r="G284" s="13" t="str">
        <x:v>Open Referrals by Days to Target</x:v>
      </x:c>
      <x:c r="H284" s="13" t="str">
        <x:v>Section 11 - Current Business Reporting</x:v>
      </x:c>
      <x:c r="I284" s="30" t="n">
        <x:v>46312</x:v>
      </x:c>
    </x:row>
    <x:row r="285" ht="345" customHeight="1">
      <x:c r="A285" s="13" t="str">
        <x:v>GOLD-KPI-250</x:v>
      </x:c>
      <x:c r="B285" s="13"/>
      <x:c r="C285" s="13" t="str">
        <x:v>Open Referrals by Target Status</x:v>
      </x:c>
      <x:c r="D285" s="13" t="str">
        <x:v>Requirement association not established; owner review required.</x:v>
      </x:c>
      <x:c r="E285" s="13" t="str">
        <x:v>gold.fact_referral</x:v>
      </x:c>
      <x:c r="F285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KPI_LATEST_CALCULATIONS.md#business-open-referrals-by-target-status
DAX [Open Referrals by Target Status]:
VAR band = SELECTEDVALUE ( 'Target Status'[Ordinal] )
RETURN COUNTROWS ( FILTER ( 'fact_referral',
VAR target = 'fact_referral'[required_placement_date]
VAR asof = 'fact_referral'[as_of_date]
VAR days = INT ( target ) - INT ( asof )
VAR bucket = SWITCH ( TRUE (), ISBLANK ( target ) || ISBLANK ( asof ), 4, days &lt; 0, 3, days &lt;= 3, 2, 1 )
RETURN 'fact_referral'[is_open] = TRUE () &amp;&amp; ( ISBLANK ( band ) || bucket = band ) ) )
Saved source: project X/reports/WIP/SM WMPP v16 updated WIP/SM_WMPP_v16.SemanticModel/definition/tables/_Design Measures.tmdl:105
Python/Spark SQL producer/reference spans: 04_gold_model.py:232
Calculated-table dependency: Target Status. Complete saved partition logic is included in the calculation document.</x:v>
      </x:c>
      <x:c r="G285" s="13" t="str">
        <x:v>Open Referrals by Target Status</x:v>
      </x:c>
      <x:c r="H285" s="13" t="str">
        <x:v>Section 11 - Current Business Reporting</x:v>
      </x:c>
      <x:c r="I285" s="30" t="n">
        <x:v>46312</x:v>
      </x:c>
    </x:row>
    <x:row r="286" ht="293" customHeight="1">
      <x:c r="A286" s="13" t="str">
        <x:v>GOLD-KPI-251</x:v>
      </x:c>
      <x:c r="B286" s="13"/>
      <x:c r="C286" s="13" t="str">
        <x:v>Open Referrals Due in 3 Days</x:v>
      </x:c>
      <x:c r="D286" s="13" t="str">
        <x:v>Requirement association not established; owner review required.</x:v>
      </x:c>
      <x:c r="E286" s="13" t="str">
        <x:v>gold.fact_referral</x:v>
      </x:c>
      <x:c r="F286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KPI_LATEST_CALCULATIONS.md#business-open-referrals-due-in-3-days
DAX [Open Referrals Due in 3 Days]:
COUNTROWS ( FILTER ( 'fact_referral',
'fact_referral'[is_open] = TRUE () &amp;&amp; NOT ISBLANK ( 'fact_referral'[required_placement_date] )
&amp;&amp; NOT ISBLANK ( 'fact_referral'[as_of_date] )
&amp;&amp; INT ( 'fact_referral'[required_placement_date] ) &gt;= INT ( 'fact_referral'[as_of_date] )
&amp;&amp; INT ( 'fact_referral'[required_placement_date] ) &lt;= INT ( 'fact_referral'[as_of_date] ) + 3 ) )
Saved source: project X/reports/WIP/SM WMPP v16 updated WIP/SM_WMPP_v16.SemanticModel/definition/tables/_Design Measures.tmdl:63
Python/Spark SQL producer/reference spans: 04_gold_model.py:232</x:v>
      </x:c>
      <x:c r="G286" s="13" t="str">
        <x:v>Open Referrals Due in 3 Days</x:v>
      </x:c>
      <x:c r="H286" s="13" t="str">
        <x:v>Section 11 - Current Business Reporting</x:v>
      </x:c>
      <x:c r="I286" s="30" t="n">
        <x:v>46312</x:v>
      </x:c>
    </x:row>
    <x:row r="287" ht="215" customHeight="1">
      <x:c r="A287" s="13" t="str">
        <x:v>GOLD-KPI-252</x:v>
      </x:c>
      <x:c r="B287" s="13"/>
      <x:c r="C287" s="13" t="str">
        <x:v>Open Referrals MoM %</x:v>
      </x:c>
      <x:c r="D287" s="13" t="str">
        <x:v>Requirement association not established; owner review required.</x:v>
      </x:c>
      <x:c r="E287" s="13" t="str">
        <x:v>gold.dim_snapshot_month; gold.fact_referral_snapshot</x:v>
      </x:c>
      <x:c r="F28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KPI_LATEST_CALCULATIONS.md#business-open-referrals-mom-percent
DAX [Open Referrals MoM %]:
DIVIDE ( [Open Referrals Variance], [Open Referrals Previous Month] )
Saved source: project X/reports/WIP/SM WMPP v16 updated WIP/SM_WMPP_v16.SemanticModel/definition/tables/_Measures.tmdl:475
Python/Spark SQL producer/reference spans: 05_gold_dimensions.py:390; 04_gold_model.py:567</x:v>
      </x:c>
      <x:c r="G287" s="13" t="str">
        <x:v>Open Referrals MoM %</x:v>
      </x:c>
      <x:c r="H287" s="13" t="str">
        <x:v>Section 11 - Current Business Reporting</x:v>
      </x:c>
      <x:c r="I287" s="30" t="n">
        <x:v>46312</x:v>
      </x:c>
    </x:row>
    <x:row r="288" ht="228" customHeight="1">
      <x:c r="A288" s="13" t="str">
        <x:v>GOLD-KPI-253</x:v>
      </x:c>
      <x:c r="B288" s="13"/>
      <x:c r="C288" s="13" t="str">
        <x:v>Open Referrals Previous Month</x:v>
      </x:c>
      <x:c r="D288" s="13" t="str">
        <x:v>Requirement association not established; owner review required.</x:v>
      </x:c>
      <x:c r="E288" s="13" t="str">
        <x:v>gold.dim_snapshot_month; gold.fact_referral_snapshot</x:v>
      </x:c>
      <x:c r="F28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KPI_LATEST_CALCULATIONS.md#business-open-referrals-previous-month
DAX [Open Referrals Previous Month]:
CALCULATE ( [Open Referrals at Snapshot], DATEADD ( 'dim_snapshot_month'[month_start], -1, MONTH ) )
Saved source: project X/reports/WIP/SM WMPP v16 updated WIP/SM_WMPP_v16.SemanticModel/definition/tables/_Measures.tmdl:465
Python/Spark SQL producer/reference spans: 05_gold_dimensions.py:390; 04_gold_model.py:567</x:v>
      </x:c>
      <x:c r="G288" s="13" t="str">
        <x:v>Open Referrals Previous Month</x:v>
      </x:c>
      <x:c r="H288" s="13" t="str">
        <x:v>Section 11 - Current Business Reporting</x:v>
      </x:c>
      <x:c r="I288" s="30" t="n">
        <x:v>46312</x:v>
      </x:c>
    </x:row>
    <x:row r="289" ht="254" customHeight="1">
      <x:c r="A289" s="13" t="str">
        <x:v>GOLD-KPI-013</x:v>
      </x:c>
      <x:c r="B289" s="13"/>
      <x:c r="C289" s="13" t="str">
        <x:v>Open Referrals Stalled 7+ Days</x:v>
      </x:c>
      <x:c r="D289" s="13" t="str">
        <x:v>Requirement association not established; owner review required.</x:v>
      </x:c>
      <x:c r="E289" s="13" t="str">
        <x:v>gold.fact_referral</x:v>
      </x:c>
      <x:c r="F28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KPI_LATEST_CALCULATIONS.md#business-open-referrals-stalled-7-days
DAX [Open Referrals Stalled 7+ Days]:
CALCULATE (
[Total Referrals],
FILTER ( 'fact_referral', 'fact_referral'[is_open] = TRUE () &amp;&amp; 'fact_referral'[days_without_activity] &gt;= 7 )
)
Saved source: project X/reports/WIP/SM WMPP v16 updated WIP/SM_WMPP_v16.SemanticModel/definition/tables/_Measures.tmdl:955
Python/Spark SQL producer/reference spans: 04_gold_model.py:232</x:v>
      </x:c>
      <x:c r="G289" s="13" t="str">
        <x:v>Open Referrals Stalled 7+ Days</x:v>
      </x:c>
      <x:c r="H289" s="13" t="str">
        <x:v>Section 11 - Current Business Reporting</x:v>
      </x:c>
      <x:c r="I289" s="30" t="n">
        <x:v>46260</x:v>
      </x:c>
    </x:row>
    <x:row r="290" ht="215" customHeight="1">
      <x:c r="A290" s="13" t="str">
        <x:v>GOLD-KPI-254</x:v>
      </x:c>
      <x:c r="B290" s="13"/>
      <x:c r="C290" s="13" t="str">
        <x:v>Open Referrals Variance</x:v>
      </x:c>
      <x:c r="D290" s="13" t="str">
        <x:v>Requirement association not established; owner review required.</x:v>
      </x:c>
      <x:c r="E290" s="13" t="str">
        <x:v>gold.dim_snapshot_month; gold.fact_referral_snapshot</x:v>
      </x:c>
      <x:c r="F29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KPI_LATEST_CALCULATIONS.md#business-open-referrals-variance
DAX [Open Referrals Variance]:
[Open Referrals at Snapshot] - [Open Referrals Previous Month]
Saved source: project X/reports/WIP/SM WMPP v16 updated WIP/SM_WMPP_v16.SemanticModel/definition/tables/_Measures.tmdl:510
Python/Spark SQL producer/reference spans: 05_gold_dimensions.py:390; 04_gold_model.py:567</x:v>
      </x:c>
      <x:c r="G290" s="13" t="str">
        <x:v>Open Referrals Variance</x:v>
      </x:c>
      <x:c r="H290" s="13" t="str">
        <x:v>Section 11 - Current Business Reporting</x:v>
      </x:c>
      <x:c r="I290" s="30" t="n">
        <x:v>46312</x:v>
      </x:c>
    </x:row>
    <x:row r="291" ht="202" customHeight="1">
      <x:c r="A291" s="13" t="str">
        <x:v>GOLD-KPI-255</x:v>
      </x:c>
      <x:c r="B291" s="13"/>
      <x:c r="C291" s="13" t="str">
        <x:v>Other Referrals</x:v>
      </x:c>
      <x:c r="D291" s="13" t="str">
        <x:v>Requirement association not established; owner review required.</x:v>
      </x:c>
      <x:c r="E291" s="13" t="str">
        <x:v>gold.dim_person; gold.fact_referral</x:v>
      </x:c>
      <x:c r="F29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KPI_LATEST_CALCULATIONS.md#business-other-referrals
DAX [Other Referrals]:
[Total Gendered Referrals] - [Male Referrals] - [Female Referrals]
Saved source: project X/reports/WIP/SM WMPP v16 updated WIP/SM_WMPP_v16.SemanticModel/definition/tables/_Measures.tmdl:1642
Python/Spark SQL producer/reference spans: 05_gold_dimensions.py:194; 04_gold_model.py:232</x:v>
      </x:c>
      <x:c r="G291" s="13" t="str">
        <x:v>Other Referrals</x:v>
      </x:c>
      <x:c r="H291" s="13" t="str">
        <x:v>Section 11 - Current Business Reporting</x:v>
      </x:c>
      <x:c r="I291" s="30" t="n">
        <x:v>46312</x:v>
      </x:c>
    </x:row>
    <x:row r="292" ht="241" customHeight="1">
      <x:c r="A292" s="13" t="str">
        <x:v>GOLD-KPI-053</x:v>
      </x:c>
      <x:c r="B292" s="13" t="str">
        <x:v>[R24]</x:v>
      </x:c>
      <x:c r="C292" s="13" t="str">
        <x:v>Pending Offers</x:v>
      </x:c>
      <x:c r="D292" s="13" t="str">
        <x:v>Proposed requirement association; owner approval pending.</x:v>
      </x:c>
      <x:c r="E292" s="13" t="str">
        <x:v>gold.fact_offer</x:v>
      </x:c>
      <x:c r="F29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KPI_LATEST_CALCULATIONS.md#business-pending-offers
DAX [Pending Offers]:
CALCULATE (
[Offers Submitted],
KEEPFILTERS ( FILTER ( 'fact_offer', LOWER ( COALESCE ( 'fact_offer'[offer_status], "" ) ) IN { "pending", "offer_made" } ) )
)
Saved source: project X/reports/WIP/SM WMPP v16 updated WIP/SM_WMPP_v16.SemanticModel/definition/tables/_Measures.tmdl:1059
Python/Spark SQL producer/reference spans: 04_gold_model.py:712</x:v>
      </x:c>
      <x:c r="G292" s="13" t="str">
        <x:v>Pending Offers</x:v>
      </x:c>
      <x:c r="H292" s="13" t="str">
        <x:v>Section 11 - Current Business Reporting</x:v>
      </x:c>
      <x:c r="I292" s="30" t="n">
        <x:v>46260</x:v>
      </x:c>
    </x:row>
    <x:row r="293" ht="267" customHeight="1">
      <x:c r="A293" s="13" t="str">
        <x:v>GOLD-KPI-072</x:v>
      </x:c>
      <x:c r="B293" s="13"/>
      <x:c r="C293" s="13" t="str">
        <x:v>Pending Offers 15-29 Days</x:v>
      </x:c>
      <x:c r="D293" s="13" t="str">
        <x:v>Requirement association not established; owner review required.</x:v>
      </x:c>
      <x:c r="E293" s="13" t="str">
        <x:v>gold.fact_offer</x:v>
      </x:c>
      <x:c r="F29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KPI_LATEST_CALCULATIONS.md#business-pending-offers-15-29-days
DAX [Pending Offers 15-29 Days]:
CALCULATE (
[Pending Offers],
KEEPFILTERS ( FILTER ( 'fact_offer', NOT ISBLANK ( 'fact_offer'[offer_age_days] ) &amp;&amp; 'fact_offer'[offer_age_days] &gt;= 15 &amp;&amp; 'fact_offer'[offer_age_days] &lt;= 29 ) )
)
Saved source: project X/reports/WIP/SM WMPP v16 updated WIP/SM_WMPP_v16.SemanticModel/definition/tables/_Measures.tmdl:271
Python/Spark SQL producer/reference spans: 04_gold_model.py:712</x:v>
      </x:c>
      <x:c r="G293" s="13" t="str">
        <x:v>Pending Offers 15-29 Days</x:v>
      </x:c>
      <x:c r="H293" s="13" t="str">
        <x:v>Section 11 - Current Business Reporting</x:v>
      </x:c>
      <x:c r="I293" s="30" t="n">
        <x:v>46260</x:v>
      </x:c>
    </x:row>
    <x:row r="294" ht="215" customHeight="1">
      <x:c r="A294" s="13" t="str">
        <x:v>GOLD-KPI-256</x:v>
      </x:c>
      <x:c r="B294" s="13"/>
      <x:c r="C294" s="13" t="str">
        <x:v>Pending Offers Missing or Future Date</x:v>
      </x:c>
      <x:c r="D294" s="13" t="str">
        <x:v>Requirement association not established; owner review required.</x:v>
      </x:c>
      <x:c r="E294" s="13" t="str">
        <x:v>gold.fact_offer</x:v>
      </x:c>
      <x:c r="F29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KPI_LATEST_CALCULATIONS.md#business-pending-offers-missing-or-future-date
DAX [Pending Offers Missing or Future Date]:
CALCULATE ( [Pending Offers], KEEPFILTERS ( FILTER ( 'fact_offer', ISBLANK ( 'fact_offer'[offer_age_days] ) || 'fact_offer'[offer_age_days] &lt; 0 ) ) )
Saved source: project X/reports/WIP/SM WMPP v16 updated WIP/SM_WMPP_v16.SemanticModel/definition/tables/_Measures.tmdl:1607
Python/Spark SQL producer/reference spans: 04_gold_model.py:712</x:v>
      </x:c>
      <x:c r="G294" s="13" t="str">
        <x:v>Pending Offers Missing or Future Date</x:v>
      </x:c>
      <x:c r="H294" s="13" t="str">
        <x:v>Section 11 - Current Business Reporting</x:v>
      </x:c>
      <x:c r="I294" s="30" t="n">
        <x:v>46312</x:v>
      </x:c>
    </x:row>
    <x:row r="295" ht="306" customHeight="1">
      <x:c r="A295" s="13" t="str">
        <x:v>GOLD-KPI-257</x:v>
      </x:c>
      <x:c r="B295" s="13"/>
      <x:c r="C295" s="13" t="str">
        <x:v>Pending Offers on Referrals Under Offer</x:v>
      </x:c>
      <x:c r="D295" s="13" t="str">
        <x:v>Requirement association not established; owner review required.</x:v>
      </x:c>
      <x:c r="E295" s="13" t="str">
        <x:v>gold.fact_offer; gold.fact_referral</x:v>
      </x:c>
      <x:c r="F29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KPI_LATEST_CALCULATIONS.md#business-pending-offers-on-referrals-under-offer
DAX [Pending Offers on Referrals Under Offer]:
CALCULATE (
[Pending Offers],
FILTER (
'fact_referral',
'fact_referral'[is_open] = TRUE () &amp;&amp; 'fact_referral'[current_status] = "UNDER_OFFER"
)
)
Saved source: project X/reports/WIP/SM WMPP v16 updated WIP/SM_WMPP_v16.SemanticModel/definition/tables/_Measures.tmdl:1339
Python/Spark SQL producer/reference spans: 04_gold_model.py:232; 04_gold_model.py:712</x:v>
      </x:c>
      <x:c r="G295" s="13" t="str">
        <x:v>Pending Offers on Referrals Under Offer</x:v>
      </x:c>
      <x:c r="H295" s="13" t="str">
        <x:v>Section 11 - Current Business Reporting</x:v>
      </x:c>
      <x:c r="I295" s="30" t="n">
        <x:v>46312</x:v>
      </x:c>
    </x:row>
    <x:row r="296" ht="202" customHeight="1">
      <x:c r="A296" s="13" t="str">
        <x:v>GOLD-KPI-035</x:v>
      </x:c>
      <x:c r="B296" s="13"/>
      <x:c r="C296" s="13" t="str">
        <x:v>Placement Rate at Snapshot</x:v>
      </x:c>
      <x:c r="D296" s="13" t="str">
        <x:v>Requirement association not established; owner review required.</x:v>
      </x:c>
      <x:c r="E296" s="13" t="str">
        <x:v>gold.fact_referral_snapshot</x:v>
      </x:c>
      <x:c r="F29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KPI_LATEST_CALCULATIONS.md#business-placement-rate-at-snapshot
DAX [Placement Rate at Snapshot]:
DIVIDE ( [Referrals with IPA at Snapshot], [Snapshot Referrals] )
Saved source: project X/reports/WIP/SM WMPP v16 updated WIP/SM_WMPP_v16.SemanticModel/definition/tables/_Measures.tmdl:839
Python/Spark SQL producer/reference spans: 04_gold_model.py:567</x:v>
      </x:c>
      <x:c r="G296" s="13" t="str">
        <x:v>Placement Rate at Snapshot</x:v>
      </x:c>
      <x:c r="H296" s="13" t="str">
        <x:v>Section 11 - Current Business Reporting</x:v>
      </x:c>
      <x:c r="I296" s="30" t="n">
        <x:v>46260</x:v>
      </x:c>
    </x:row>
    <x:row r="297" ht="306" customHeight="1">
      <x:c r="A297" s="13" t="str">
        <x:v>GOLD-KPI-009</x:v>
      </x:c>
      <x:c r="B297" s="13" t="str">
        <x:v>[R18,R57]</x:v>
      </x:c>
      <x:c r="C297" s="13" t="str">
        <x:v>Placement Target Hit Rate</x:v>
      </x:c>
      <x:c r="D297" s="13" t="str">
        <x:v>Proposed requirement association; owner approval pending.</x:v>
      </x:c>
      <x:c r="E297" s="13" t="str">
        <x:v>gold.fact_referral</x:v>
      </x:c>
      <x:c r="F29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KPI_LATEST_CALCULATIONS.md#business-placement-target-hit-rate
DAX [Placement Target Hit Rate]:
DIVIDE (
[Referrals Placed by Required Date],
CALCULATE (
[Total Referrals],
FILTER (
'fact_referral',
NOT ISBLANK ( 'fact_referral'[ipa_issued_date] )
[EXCERPT; exact complete expression and dependencies in linked current calculation document]
Saved source: project X/reports/WIP/SM WMPP v16 updated WIP/SM_WMPP_v16.SemanticModel/definition/tables/_Measures.tmdl:912
Python/Spark SQL producer/reference spans: 04_gold_model.py:232</x:v>
      </x:c>
      <x:c r="G297" s="13" t="str">
        <x:v>Placement Target Hit Rate</x:v>
      </x:c>
      <x:c r="H297" s="13" t="str">
        <x:v>Section 11 - Current Business Reporting</x:v>
      </x:c>
      <x:c r="I297" s="30" t="n">
        <x:v>46260</x:v>
      </x:c>
    </x:row>
    <x:row r="298" ht="280" customHeight="1">
      <x:c r="A298" s="13" t="str">
        <x:v>GOLD-KPI-258</x:v>
      </x:c>
      <x:c r="B298" s="13"/>
      <x:c r="C298" s="13" t="str">
        <x:v>Previous Snapshot Referrals</x:v>
      </x:c>
      <x:c r="D298" s="13" t="str">
        <x:v>Requirement association not established; owner review required.</x:v>
      </x:c>
      <x:c r="E298" s="13" t="str">
        <x:v>gold.dim_snapshot_month; gold.fact_referral_snapshot</x:v>
      </x:c>
      <x:c r="F29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KPI_LATEST_CALCULATIONS.md#business-previous-snapshot-referrals
DAX [Previous Snapshot Referrals]:
VAR current_month = [Snapshot Window Anchor]
RETURN
CALCULATE (
[Snapshot Referrals],
'dim_snapshot_month'[month_start] = EDATE ( current_month, -1 )
)
Saved source: project X/reports/WIP/SM WMPP v16 updated WIP/SM_WMPP_v16.SemanticModel/definition/tables/_Measures.tmdl:1715
Python/Spark SQL producer/reference spans: 05_gold_dimensions.py:390; 04_gold_model.py:567</x:v>
      </x:c>
      <x:c r="G298" s="13" t="str">
        <x:v>Previous Snapshot Referrals</x:v>
      </x:c>
      <x:c r="H298" s="13" t="str">
        <x:v>Section 11 - Current Business Reporting</x:v>
      </x:c>
      <x:c r="I298" s="30" t="n">
        <x:v>46312</x:v>
      </x:c>
    </x:row>
    <x:row r="299" ht="189" customHeight="1">
      <x:c r="A299" s="13" t="str">
        <x:v>GOLD-KPI-025</x:v>
      </x:c>
      <x:c r="B299" s="13" t="str">
        <x:v>[R24,R26]</x:v>
      </x:c>
      <x:c r="C299" s="13" t="str">
        <x:v>Provider Assignments</x:v>
      </x:c>
      <x:c r="D299" s="13" t="str">
        <x:v>Proposed requirement association; owner approval pending.</x:v>
      </x:c>
      <x:c r="E299" s="13" t="str">
        <x:v>gold.fact_referral_provider</x:v>
      </x:c>
      <x:c r="F29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KPI_LATEST_CALCULATIONS.md#business-provider-assignments
DAX [Provider Assignments]:
DISTINCTCOUNT ( 'fact_referral_provider'[referral_provider_id] )
Saved source: project X/reports/WIP/SM WMPP v16 updated WIP/SM_WMPP_v16.SemanticModel/definition/tables/_Measures.tmdl:1594
Python/Spark SQL producer/reference spans: 04_gold_model.py:847</x:v>
      </x:c>
      <x:c r="G299" s="13" t="str">
        <x:v>Provider Assignments</x:v>
      </x:c>
      <x:c r="H299" s="13" t="str">
        <x:v>Section 11 - Current Business Reporting</x:v>
      </x:c>
      <x:c r="I299" s="30" t="n">
        <x:v>46260</x:v>
      </x:c>
    </x:row>
    <x:row r="300" ht="215" customHeight="1">
      <x:c r="A300" s="13" t="str">
        <x:v>GOLD-KPI-259</x:v>
      </x:c>
      <x:c r="B300" s="13"/>
      <x:c r="C300" s="13" t="str">
        <x:v>Provider Contact Referral</x:v>
      </x:c>
      <x:c r="D300" s="13" t="str">
        <x:v>Requirement association not established; owner review required.</x:v>
      </x:c>
      <x:c r="E300" s="13" t="str">
        <x:v>gold.fact_referral</x:v>
      </x:c>
      <x:c r="F30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KPI_LATEST_CALCULATIONS.md#business-provider-contact-referral
DAX [Provider Contact Referral]:
CALCULATE ( [Total Referrals], KEEPFILTERS ( FILTER ( 'fact_referral', NOT ISBLANK ( 'fact_referral'[first_action_date] ) ) ) )
Saved source: project X/reports/WIP/SM WMPP v16 updated WIP/SM_WMPP_v16.SemanticModel/definition/tables/_Measures.tmdl:485
Python/Spark SQL producer/reference spans: 04_gold_model.py:232</x:v>
      </x:c>
      <x:c r="G300" s="13" t="str">
        <x:v>Provider Contact Referral</x:v>
      </x:c>
      <x:c r="H300" s="13" t="str">
        <x:v>Section 11 - Current Business Reporting</x:v>
      </x:c>
      <x:c r="I300" s="30" t="n">
        <x:v>46312</x:v>
      </x:c>
    </x:row>
    <x:row r="301" ht="228" customHeight="1">
      <x:c r="A301" s="13" t="str">
        <x:v>GOLD-KPI-260</x:v>
      </x:c>
      <x:c r="B301" s="13"/>
      <x:c r="C301" s="13" t="str">
        <x:v>Provider Contact Referral Previous Month</x:v>
      </x:c>
      <x:c r="D301" s="13" t="str">
        <x:v>Requirement association not established; owner review required.</x:v>
      </x:c>
      <x:c r="E301" s="13" t="str">
        <x:v>gold.dim_snapshot_month; gold.fact_referral_snapshot</x:v>
      </x:c>
      <x:c r="F30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KPI_LATEST_CALCULATIONS.md#business-provider-contact-referral-previous-month
DAX [Provider Contact Referral Previous Month]:
CALCULATE ( [Provider Contact Referrals at Snapshot], DATEADD ( 'dim_snapshot_month'[month_start], -1, MONTH ) )
Saved source: project X/reports/WIP/SM WMPP v16 updated WIP/SM_WMPP_v16.SemanticModel/definition/tables/_Measures.tmdl:490
Python/Spark SQL producer/reference spans: 05_gold_dimensions.py:390; 04_gold_model.py:567</x:v>
      </x:c>
      <x:c r="G301" s="13" t="str">
        <x:v>Provider Contact Referral Previous Month</x:v>
      </x:c>
      <x:c r="H301" s="13" t="str">
        <x:v>Section 11 - Current Business Reporting</x:v>
      </x:c>
      <x:c r="I301" s="30" t="n">
        <x:v>46312</x:v>
      </x:c>
    </x:row>
    <x:row r="302" ht="228" customHeight="1">
      <x:c r="A302" s="13" t="str">
        <x:v>GOLD-KPI-261</x:v>
      </x:c>
      <x:c r="B302" s="13"/>
      <x:c r="C302" s="13" t="str">
        <x:v>Provider Contact Referral Variance</x:v>
      </x:c>
      <x:c r="D302" s="13" t="str">
        <x:v>Requirement association not established; owner review required.</x:v>
      </x:c>
      <x:c r="E302" s="13" t="str">
        <x:v>gold.dim_snapshot_month; gold.fact_referral_snapshot</x:v>
      </x:c>
      <x:c r="F30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KPI_LATEST_CALCULATIONS.md#business-provider-contact-referral-variance
DAX [Provider Contact Referral Variance]:
[Provider Contact Referrals at Snapshot] - [Provider Contact Referral Previous Month]
Saved source: project X/reports/WIP/SM WMPP v16 updated WIP/SM_WMPP_v16.SemanticModel/definition/tables/_Measures.tmdl:515
Python/Spark SQL producer/reference spans: 05_gold_dimensions.py:390; 04_gold_model.py:567</x:v>
      </x:c>
      <x:c r="G302" s="13" t="str">
        <x:v>Provider Contact Referral Variance</x:v>
      </x:c>
      <x:c r="H302" s="13" t="str">
        <x:v>Section 11 - Current Business Reporting</x:v>
      </x:c>
      <x:c r="I302" s="30" t="n">
        <x:v>46312</x:v>
      </x:c>
    </x:row>
    <x:row r="303" ht="306" customHeight="1">
      <x:c r="A303" s="13" t="str">
        <x:v>GOLD-KPI-262</x:v>
      </x:c>
      <x:c r="B303" s="13"/>
      <x:c r="C303" s="13" t="str">
        <x:v>Provider Contact Referrals at Snapshot</x:v>
      </x:c>
      <x:c r="D303" s="13" t="str">
        <x:v>Requirement association not established; owner review required.</x:v>
      </x:c>
      <x:c r="E303" s="13" t="str">
        <x:v>gold.fact_referral_snapshot</x:v>
      </x:c>
      <x:c r="F30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KPI_LATEST_CALCULATIONS.md#business-provider-contact-referrals-at-snapshot
DAX [Provider Contact Referrals at Snapshot]:
CALCULATE (
[Snapshot Referrals],
FILTER (
'fact_referral_snapshot',
NOT ISBLANK ( 'fact_referral_snapshot'[first_action_date] )
&amp;&amp; 'fact_referral_snapshot'[first_action_date]
&lt; 'fact_referral_snapshot'[snapshot_date] + 1
)
)
Saved source: project X/reports/WIP/SM WMPP v16 updated WIP/SM_WMPP_v16.SemanticModel/definition/tables/_Measures.tmdl:754
Python/Spark SQL producer/reference spans: 04_gold_model.py:567</x:v>
      </x:c>
      <x:c r="G303" s="13" t="str">
        <x:v>Provider Contact Referrals at Snapshot</x:v>
      </x:c>
      <x:c r="H303" s="13" t="str">
        <x:v>Section 11 - Current Business Reporting</x:v>
      </x:c>
      <x:c r="I303" s="30" t="n">
        <x:v>46312</x:v>
      </x:c>
    </x:row>
    <x:row r="304" ht="228" customHeight="1">
      <x:c r="A304" s="13" t="str">
        <x:v>GOLD-KPI-263</x:v>
      </x:c>
      <x:c r="B304" s="13"/>
      <x:c r="C304" s="13" t="str">
        <x:v>Provider Contact Referrals MoM %</x:v>
      </x:c>
      <x:c r="D304" s="13" t="str">
        <x:v>Requirement association not established; owner review required.</x:v>
      </x:c>
      <x:c r="E304" s="13" t="str">
        <x:v>gold.dim_snapshot_month; gold.fact_referral; gold.fact_referral_snapshot</x:v>
      </x:c>
      <x:c r="F30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KPI_LATEST_CALCULATIONS.md#business-provider-contact-referrals-mom-percent
DAX [Provider Contact Referrals MoM %]:
DIVIDE ([Provider Contact Referral]-[Provider Contact Referral Previous Month],[Provider Contact Referral Previous Month])
Saved source: project X/reports/WIP/SM WMPP v16 updated WIP/SM_WMPP_v16.SemanticModel/definition/tables/_Measures.tmdl:495
Python/Spark SQL producer/reference spans: 04_gold_model.py:567; 05_gold_dimensions.py:390; 04_gold_model.py:232</x:v>
      </x:c>
      <x:c r="G304" s="13" t="str">
        <x:v>Provider Contact Referrals MoM %</x:v>
      </x:c>
      <x:c r="H304" s="13" t="str">
        <x:v>Section 11 - Current Business Reporting</x:v>
      </x:c>
      <x:c r="I304" s="30" t="n">
        <x:v>46312</x:v>
      </x:c>
    </x:row>
    <x:row r="305" ht="189" customHeight="1">
      <x:c r="A305" s="13" t="str">
        <x:v>GOLD-KPI-027</x:v>
      </x:c>
      <x:c r="B305" s="13" t="str">
        <x:v>[R54]</x:v>
      </x:c>
      <x:c r="C305" s="13" t="str">
        <x:v>Provider Decline Rate</x:v>
      </x:c>
      <x:c r="D305" s="13" t="str">
        <x:v>Proposed requirement association; owner approval pending.</x:v>
      </x:c>
      <x:c r="E305" s="13" t="str">
        <x:v>gold.fact_referral_provider</x:v>
      </x:c>
      <x:c r="F30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KPI_LATEST_CALCULATIONS.md#business-provider-decline-rate
DAX [Provider Decline Rate]:
DIVIDE ( [Provider Declines], [Provider Assignments] )
Saved source: project X/reports/WIP/SM WMPP v16 updated WIP/SM_WMPP_v16.SemanticModel/definition/tables/_Measures.tmdl:1602
Python/Spark SQL producer/reference spans: 04_gold_model.py:847</x:v>
      </x:c>
      <x:c r="G305" s="13" t="str">
        <x:v>Provider Decline Rate</x:v>
      </x:c>
      <x:c r="H305" s="13" t="str">
        <x:v>Section 11 - Current Business Reporting</x:v>
      </x:c>
      <x:c r="I305" s="30" t="n">
        <x:v>46260</x:v>
      </x:c>
    </x:row>
    <x:row r="306" ht="202" customHeight="1">
      <x:c r="A306" s="13" t="str">
        <x:v>GOLD-KPI-026</x:v>
      </x:c>
      <x:c r="B306" s="13" t="str">
        <x:v>[R54]</x:v>
      </x:c>
      <x:c r="C306" s="13" t="str">
        <x:v>Provider Declines</x:v>
      </x:c>
      <x:c r="D306" s="13" t="str">
        <x:v>Proposed requirement association; owner approval pending.</x:v>
      </x:c>
      <x:c r="E306" s="13" t="str">
        <x:v>gold.fact_referral_provider</x:v>
      </x:c>
      <x:c r="F30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KPI_LATEST_CALCULATIONS.md#business-provider-declines
DAX [Provider Declines]:
CALCULATE ( [Provider Assignments], 'fact_referral_provider'[is_declined] = TRUE () )
Saved source: project X/reports/WIP/SM WMPP v16 updated WIP/SM_WMPP_v16.SemanticModel/definition/tables/_Measures.tmdl:1598
Python/Spark SQL producer/reference spans: 04_gold_model.py:847</x:v>
      </x:c>
      <x:c r="G306" s="13" t="str">
        <x:v>Provider Declines</x:v>
      </x:c>
      <x:c r="H306" s="13" t="str">
        <x:v>Section 11 - Current Business Reporting</x:v>
      </x:c>
      <x:c r="I306" s="30" t="n">
        <x:v>46260</x:v>
      </x:c>
    </x:row>
    <x:row r="307" ht="241" customHeight="1">
      <x:c r="A307" s="13" t="str">
        <x:v>GOLD-KPI-264</x:v>
      </x:c>
      <x:c r="B307" s="13"/>
      <x:c r="C307" s="13" t="str">
        <x:v>Provider explorer matching homes</x:v>
      </x:c>
      <x:c r="D307" s="13" t="str">
        <x:v>Requirement association not established; owner review required.</x:v>
      </x:c>
      <x:c r="E307" s="13" t="str">
        <x:v>gold.dim_provider; gold.dim_provider_home</x:v>
      </x:c>
      <x:c r="F307" s="13" t="str">
        <x:v>Business metric. Matching-home count
Latest saved source reviewed 17 October 2026. Static definition verified; refresh, role/context reconciliation and UAT remain pending.
Full current logic: KPI_LATEST_CALCULATIONS.md#business-provider-explorer-matching-homes
DAX [Provider explorer matching homes]:
VAR n = CALCULATE(COUNTROWS('dim_provider_home'), KEEPFILTERS(TREATAS(VALUES('dim_provider'[provider_id]),'dim_provider_home'[provider_id]))) RETURN IF(n &gt; 0,n)
Saved source: project X/reports/WIP/SM WMPP v16 updated WIP/SM_WMPP_v16.SemanticModel/definition/tables/_Provider Detail Measures.tmdl:4
Python/Spark SQL producer/reference spans: 05_gold_dimensions.py:163; 05_gold_dimensions.py:155</x:v>
      </x:c>
      <x:c r="G307" s="13" t="str">
        <x:v>Provider explorer matching homes</x:v>
      </x:c>
      <x:c r="H307" s="13" t="str">
        <x:v>Section 11 - Current Business Reporting</x:v>
      </x:c>
      <x:c r="I307" s="30" t="n">
        <x:v>46312</x:v>
      </x:c>
    </x:row>
    <x:row r="308" ht="293" customHeight="1">
      <x:c r="A308" s="13" t="str">
        <x:v>GOLD-KPI-265</x:v>
      </x:c>
      <x:c r="B308" s="13"/>
      <x:c r="C308" s="13" t="str">
        <x:v>Provider homes table accepted offers</x:v>
      </x:c>
      <x:c r="D308" s="13" t="str">
        <x:v>Requirement association not established; owner review required.</x:v>
      </x:c>
      <x:c r="E308" s="13" t="str">
        <x:v>gold.dim_provider; gold.dim_provider_home; gold.dim_referral_provider_message; gold.fact_ipa; gold.fact_offer; gold.fact_referral_provider</x:v>
      </x:c>
      <x:c r="F308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KPI_LATEST_CALCULATIONS.md#business-provider-homes-table-accepted-offers
DAX [Provider homes table accepted offers]:
VAR selectedProviders = [Provider homes selected providers]
RETURN IF(selectedProviders &gt; 0 &amp;&amp; selectedProviders &lt;= 5, [Explorer provider accepted offers])
Saved source: project X/reports/WIP/SM WMPP v16 updated WIP/SM_WMPP_v16.SemanticModel/definition/tables/_Explorer KPI Measures.tmdl:957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08" s="13" t="str">
        <x:v>Provider homes table accepted offers</x:v>
      </x:c>
      <x:c r="H308" s="13" t="str">
        <x:v>Section 11 - Current Business Reporting</x:v>
      </x:c>
      <x:c r="I308" s="30" t="n">
        <x:v>46312</x:v>
      </x:c>
    </x:row>
    <x:row r="309" ht="293" customHeight="1">
      <x:c r="A309" s="13" t="str">
        <x:v>GOLD-KPI-266</x:v>
      </x:c>
      <x:c r="B309" s="13"/>
      <x:c r="C309" s="13" t="str">
        <x:v>Provider homes table offers</x:v>
      </x:c>
      <x:c r="D309" s="13" t="str">
        <x:v>Requirement association not established; owner review required.</x:v>
      </x:c>
      <x:c r="E309" s="13" t="str">
        <x:v>gold.dim_provider; gold.dim_provider_home; gold.dim_referral_provider_message; gold.fact_ipa; gold.fact_offer; gold.fact_referral_provider</x:v>
      </x:c>
      <x:c r="F309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KPI_LATEST_CALCULATIONS.md#business-provider-homes-table-offers
DAX [Provider homes table offers]:
VAR selectedProviders = [Provider homes selected providers]
RETURN IF(selectedProviders &gt; 0 &amp;&amp; selectedProviders &lt;= 5, [Explorer provider offers])
Saved source: project X/reports/WIP/SM WMPP v16 updated WIP/SM_WMPP_v16.SemanticModel/definition/tables/_Explorer KPI Measures.tmdl:941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09" s="13" t="str">
        <x:v>Provider homes table offers</x:v>
      </x:c>
      <x:c r="H309" s="13" t="str">
        <x:v>Section 11 - Current Business Reporting</x:v>
      </x:c>
      <x:c r="I309" s="30" t="n">
        <x:v>46312</x:v>
      </x:c>
    </x:row>
    <x:row r="310" ht="293" customHeight="1">
      <x:c r="A310" s="13" t="str">
        <x:v>GOLD-KPI-267</x:v>
      </x:c>
      <x:c r="B310" s="13"/>
      <x:c r="C310" s="13" t="str">
        <x:v>Provider homes table offers made</x:v>
      </x:c>
      <x:c r="D310" s="13" t="str">
        <x:v>Requirement association not established; owner review required.</x:v>
      </x:c>
      <x:c r="E310" s="13" t="str">
        <x:v>gold.dim_provider; gold.dim_provider_home; gold.dim_referral_provider_message; gold.fact_ipa; gold.fact_offer; gold.fact_referral_provider</x:v>
      </x:c>
      <x:c r="F310" s="13" t="str">
        <x:v>Business metric. Explorer or detail metric with its saved selection context
Latest saved source reviewed 17 October 2026. Static definition verified; refresh, role/context reconciliation and UAT remain pending.
Full current logic: KPI_LATEST_CALCULATIONS.md#business-provider-homes-table-offers-made
DAX [Provider homes table offers made]:
VAR selectedProviders = [Provider homes selected providers]
RETURN IF(selectedProviders &gt; 0 &amp;&amp; selectedProviders &lt;= 5, [Explorer provider offers made])
Saved source: project X/reports/WIP/SM WMPP v16 updated WIP/SM_WMPP_v16.SemanticModel/definition/tables/_Explorer KPI Measures.tmdl:949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10" s="13" t="str">
        <x:v>Provider homes table offers made</x:v>
      </x:c>
      <x:c r="H310" s="13" t="str">
        <x:v>Section 11 - Current Business Reporting</x:v>
      </x:c>
      <x:c r="I310" s="30" t="n">
        <x:v>46312</x:v>
      </x:c>
    </x:row>
    <x:row r="311" ht="293" customHeight="1">
      <x:c r="A311" s="13" t="str">
        <x:v>GOLD-KPI-094</x:v>
      </x:c>
      <x:c r="B311" s="13"/>
      <x:c r="C311" s="13" t="str">
        <x:v>Provider Homes With Expired Documents</x:v>
      </x:c>
      <x:c r="D311" s="13" t="str">
        <x:v>Requirement association not established; owner review required.</x:v>
      </x:c>
      <x:c r="E311" s="13" t="str">
        <x:v>gold.dim_provider_submission_document</x:v>
      </x:c>
      <x:c r="F31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KPI_LATEST_CALCULATIONS.md#business-provider-homes-with-expired-documents
DAX [Provider Homes With Expired Documents]:
CALCULATE (
DISTINCTCOUNT ( 'dim_provider_submission_document'[home_id] ),
FILTER (
'dim_provider_submission_document',
NOT ISBLANK ( 'dim_provider_submission_document'[expiry_date] )
&amp;&amp; 'dim_provider_submission_document'[expiry_date] &lt; TODAY ()
)
)
Saved source: project X/reports/WIP/SM WMPP v16 updated WIP/SM_WMPP_v16.SemanticModel/definition/tables/_Measures.tmdl:1502
Python/Spark SQL producer/reference spans: 05_gold_dimensions.py:239</x:v>
      </x:c>
      <x:c r="G311" s="13" t="str">
        <x:v>Provider Homes With Expired Documents</x:v>
      </x:c>
      <x:c r="H311" s="13" t="str">
        <x:v>Section 11 - Current Business Reporting</x:v>
      </x:c>
      <x:c r="I311" s="30" t="n">
        <x:v>46260</x:v>
      </x:c>
    </x:row>
    <x:row r="312" ht="306" customHeight="1">
      <x:c r="A312" s="13" t="str">
        <x:v>GOLD-KPI-268</x:v>
      </x:c>
      <x:c r="B312" s="13"/>
      <x:c r="C312" s="13" t="str">
        <x:v>Provider Median Days to First Offer</x:v>
      </x:c>
      <x:c r="D312" s="13" t="str">
        <x:v>Requirement association not established; owner review required.</x:v>
      </x:c>
      <x:c r="E312" s="13" t="str">
        <x:v>gold.fact_offer; gold.fact_referral</x:v>
      </x:c>
      <x:c r="F312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KPI_LATEST_CALCULATIONS.md#business-provider-median-days-to-first-offer
DAX [Provider Median Days to First Offer]:
VAR per_referral =
ADDCOLUMNS ( VALUES ( 'fact_offer'[referral_id] ),
"FirstOffer", CALCULATE ( MIN ( 'fact_offer'[offer_submitted_date] ) ),
"Created", LOOKUPVALUE ( 'fact_referral'[referral_created_date], 'fact_referral'[referral_id], 'fact_offer'[referral_id] ) )
RETURN MEDIANX ( FILTER ( per_referral, NOT ISBLANK ( [Created] ) &amp;&amp; NOT ISBLANK ( [FirstOffer] ) &amp;&amp; [FirstOffer] &gt;= [Created] ),
DIVIDE ( DATEDIFF ( [Created], [FirstOffer], HOUR ), 24.0 ) )
Saved source: project X/reports/WIP/SM WMPP v16 updated WIP/SM_WMPP_v16.SemanticModel/definition/tables/_Design Measures.tmdl:94
Python/Spark SQL producer/reference spans: 04_gold_model.py:232; 04_gold_model.py:712</x:v>
      </x:c>
      <x:c r="G312" s="13" t="str">
        <x:v>Provider Median Days to First Offer</x:v>
      </x:c>
      <x:c r="H312" s="13" t="str">
        <x:v>Section 11 - Current Business Reporting</x:v>
      </x:c>
      <x:c r="I312" s="30" t="n">
        <x:v>46312</x:v>
      </x:c>
    </x:row>
    <x:row r="313" ht="371" customHeight="1">
      <x:c r="A313" s="13" t="str">
        <x:v>GOLD-KPI-269</x:v>
      </x:c>
      <x:c r="B313" s="13"/>
      <x:c r="C313" s="13" t="str">
        <x:v>Provider no recorded activity</x:v>
      </x:c>
      <x:c r="D313" s="13" t="str">
        <x:v>Requirement association not established; owner review required.</x:v>
      </x:c>
      <x:c r="E313" s="13" t="str">
        <x:v>gold.dim_provider; gold.dim_provider_home; gold.dim_referral_provider_message; gold.fact_ipa; gold.fact_offer; gold.fact_referral_provider</x:v>
      </x:c>
      <x:c r="F313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KPI_LATEST_CALCULATIONS.md#business-provider-no-recorded-activity
DAX [Provider no recorded activity]: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Measures.tmdl:60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13" s="13" t="str">
        <x:v>Provider no recorded activity</x:v>
      </x:c>
      <x:c r="H313" s="13" t="str">
        <x:v>Section 11 - Current Business Reporting</x:v>
      </x:c>
      <x:c r="I313" s="30" t="n">
        <x:v>46312</x:v>
      </x:c>
    </x:row>
    <x:row r="314" ht="371" customHeight="1">
      <x:c r="A314" s="13" t="str">
        <x:v>GOLD-KPI-270</x:v>
      </x:c>
      <x:c r="B314" s="13"/>
      <x:c r="C314" s="13" t="str">
        <x:v>Provider QA flagged homes</x:v>
      </x:c>
      <x:c r="D314" s="13" t="str">
        <x:v>Requirement association not established; owner review required.</x:v>
      </x:c>
      <x:c r="E314" s="13" t="str">
        <x:v>gold.dim_provider; gold.dim_provider_home; gold.dim_referral_provider_message; gold.fact_ipa; gold.fact_offer; gold.fact_referral_provider</x:v>
      </x:c>
      <x:c r="F314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KPI_LATEST_CALCULATIONS.md#business-provider-qa-flagged-homes
DAX [Provider QA flagged homes]: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Measures.tmdl:43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14" s="13" t="str">
        <x:v>Provider QA flagged homes</x:v>
      </x:c>
      <x:c r="H314" s="13" t="str">
        <x:v>Section 11 - Current Business Reporting</x:v>
      </x:c>
      <x:c r="I314" s="30" t="n">
        <x:v>46312</x:v>
      </x:c>
    </x:row>
    <x:row r="315" ht="202" customHeight="1">
      <x:c r="A315" s="13" t="str">
        <x:v>GOLD-KPI-271</x:v>
      </x:c>
      <x:c r="B315" s="13"/>
      <x:c r="C315" s="13" t="str">
        <x:v>Provider Qualifying Responses</x:v>
      </x:c>
      <x:c r="D315" s="13" t="str">
        <x:v>Requirement association not established; owner review required.</x:v>
      </x:c>
      <x:c r="E315" s="13" t="str">
        <x:v>gold.fact_provider_kpi_monthly</x:v>
      </x:c>
      <x:c r="F31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KPI_LATEST_CALCULATIONS.md#business-provider-qualifying-responses
DAX [Provider Qualifying Responses]:
SUM ( 'fact_provider_kpi_monthly'[qualifying_response_count] )
Saved source: project X/reports/WIP/SM WMPP v16 updated WIP/SM_WMPP_v16.SemanticModel/definition/tables/_Measures.tmdl:1652
Python/Spark SQL producer/reference spans: 04_gold_model.py:935</x:v>
      </x:c>
      <x:c r="G315" s="13" t="str">
        <x:v>Provider Qualifying Responses</x:v>
      </x:c>
      <x:c r="H315" s="13" t="str">
        <x:v>Section 11 - Current Business Reporting</x:v>
      </x:c>
      <x:c r="I315" s="30" t="n">
        <x:v>46312</x:v>
      </x:c>
    </x:row>
    <x:row r="316" ht="371" customHeight="1">
      <x:c r="A316" s="13" t="str">
        <x:v>GOLD-KPI-272</x:v>
      </x:c>
      <x:c r="B316" s="13"/>
      <x:c r="C316" s="13" t="str">
        <x:v>Provider response durations recorded</x:v>
      </x:c>
      <x:c r="D316" s="13" t="str">
        <x:v>Requirement association not established; owner review required.</x:v>
      </x:c>
      <x:c r="E316" s="13" t="str">
        <x:v>gold.dim_provider; gold.dim_provider_home; gold.dim_referral_provider_message; gold.fact_ipa; gold.fact_offer; gold.fact_referral_provider</x:v>
      </x:c>
      <x:c r="F316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KPI_LATEST_CALCULATIONS.md#business-provider-response-durations-recorded
DAX [Provider response durations recorded]: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Measures.tmdl:21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16" s="13" t="str">
        <x:v>Provider response durations recorded</x:v>
      </x:c>
      <x:c r="H316" s="13" t="str">
        <x:v>Section 11 - Current Business Reporting</x:v>
      </x:c>
      <x:c r="I316" s="30" t="n">
        <x:v>46312</x:v>
      </x:c>
    </x:row>
    <x:row r="317" ht="202" customHeight="1">
      <x:c r="A317" s="13" t="str">
        <x:v>GOLD-KPI-273</x:v>
      </x:c>
      <x:c r="B317" s="13"/>
      <x:c r="C317" s="13" t="str">
        <x:v>Provider Response Opportunities</x:v>
      </x:c>
      <x:c r="D317" s="13" t="str">
        <x:v>Requirement association not established; owner review required.</x:v>
      </x:c>
      <x:c r="E317" s="13" t="str">
        <x:v>gold.fact_provider_kpi_monthly</x:v>
      </x:c>
      <x:c r="F31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KPI_LATEST_CALCULATIONS.md#business-provider-response-opportunities
DAX [Provider Response Opportunities]:
SUM ( 'fact_provider_kpi_monthly'[response_opportunity_count] )
Saved source: project X/reports/WIP/SM WMPP v16 updated WIP/SM_WMPP_v16.SemanticModel/definition/tables/_Measures.tmdl:1647
Python/Spark SQL producer/reference spans: 04_gold_model.py:935</x:v>
      </x:c>
      <x:c r="G317" s="13" t="str">
        <x:v>Provider Response Opportunities</x:v>
      </x:c>
      <x:c r="H317" s="13" t="str">
        <x:v>Section 11 - Current Business Reporting</x:v>
      </x:c>
      <x:c r="I317" s="30" t="n">
        <x:v>46312</x:v>
      </x:c>
    </x:row>
    <x:row r="318" ht="319" customHeight="1">
      <x:c r="A318" s="13" t="str">
        <x:v>GOLD-KPI-274</x:v>
      </x:c>
      <x:c r="B318" s="13"/>
      <x:c r="C318" s="13" t="str">
        <x:v>Provider response timing coverage</x:v>
      </x:c>
      <x:c r="D318" s="13" t="str">
        <x:v>Requirement association not established; owner review required.</x:v>
      </x:c>
      <x:c r="E318" s="13" t="str">
        <x:v>gold.dim_provider; gold.dim_provider_home; gold.dim_referral_provider_message; gold.fact_ipa; gold.fact_offer; gold.fact_referral_provider</x:v>
      </x:c>
      <x:c r="F318" s="13" t="str">
        <x:v>Business metric.
Latest saved source reviewed 17 October 2026. Static definition verified; refresh, role/context reconciliation and UAT remain pending.
Qualifying responses with a recorded elapsed duration divided by qualifying responses.
Full current logic: KPI_LATEST_CALCULATIONS.md#business-provider-response-timing-coverage
DAX [Provider response timing coverage]:
DIVIDE([Provider response durations recorded],[Explorer provider qualifying responses])
Saved source: project X/reports/WIP/SM WMPP v16 updated WIP/SM_WMPP_v16.SemanticModel/definition/tables/_Report Journey Measures.tmdl:38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18" s="13" t="str">
        <x:v>Provider response timing coverage</x:v>
      </x:c>
      <x:c r="H318" s="13" t="str">
        <x:v>Section 11 - Current Business Reporting</x:v>
      </x:c>
      <x:c r="I318" s="30" t="n">
        <x:v>46312</x:v>
      </x:c>
    </x:row>
    <x:row r="319" ht="409" customHeight="1">
      <x:c r="A319" s="13" t="str">
        <x:v>GOLD-KPI-275</x:v>
      </x:c>
      <x:c r="B319" s="13"/>
      <x:c r="C319" s="13" t="str">
        <x:v>Provider scoring median response hours</x:v>
      </x:c>
      <x:c r="D319" s="13" t="str">
        <x:v>Requirement association not established; owner review required.</x:v>
      </x:c>
      <x:c r="E319" s="13" t="str">
        <x:v>gold.dim_provider; gold.dim_provider_home; gold.dim_referral_provider_message; gold.dim_snapshot_month; gold.fact_ipa; gold.fact_offer; gold.fact_referral_provider</x:v>
      </x:c>
      <x:c r="F319" s="13" t="str">
        <x:v>Business metric.
Latest saved source reviewed 17 October 2026. Static definition verified; refresh, role/context reconciliation and UAT remain pending.
Assignment-month cohort median elapsed response minutes divided by 60; excludes missing durations and is not a business-calendar SLA score.
Full current logic: KPI_LATEST_CALCULATIONS.md#business-provider-scoring-median-response-hours
DAX [Provider scoring median response hours]: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Measures.tmdl:175
Python/Spark SQL producer/reference spans: 04_gold_model.py:847; 05_gold_dimensions.py:253; 04_gold_model.py:712; 04_gold_model.py:817; 05_gold_dimensions.py:155; 05_gold_dimensions.py:390; 05_gold_dimensions.py:163
Calculated-table dependency: Provider Offer Status. Complete saved partition logic is included in the calculation document.</x:v>
      </x:c>
      <x:c r="G319" s="13" t="str">
        <x:v>Provider scoring median response hours</x:v>
      </x:c>
      <x:c r="H319" s="13" t="str">
        <x:v>Section 11 - Current Business Reporting</x:v>
      </x:c>
      <x:c r="I319" s="30" t="n">
        <x:v>46312</x:v>
      </x:c>
    </x:row>
    <x:row r="320" ht="371" customHeight="1">
      <x:c r="A320" s="13" t="str">
        <x:v>GOLD-KPI-276</x:v>
      </x:c>
      <x:c r="B320" s="13"/>
      <x:c r="C320" s="13" t="str">
        <x:v>Provider scoring qualifying responses</x:v>
      </x:c>
      <x:c r="D320" s="13" t="str">
        <x:v>Requirement association not established; owner review required.</x:v>
      </x:c>
      <x:c r="E320" s="13" t="str">
        <x:v>gold.dim_provider; gold.dim_provider_home; gold.dim_referral_provider_message; gold.dim_snapshot_month; gold.fact_ipa; gold.fact_offer; gold.fact_referral_provider</x:v>
      </x:c>
      <x:c r="F320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KPI_LATEST_CALCULATIONS.md#business-provider-scoring-qualifying-responses
DAX [Provider scoring qualifying responses]: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Measures.tmdl:335
Python/Spark SQL producer/reference spans: 04_gold_model.py:847; 05_gold_dimensions.py:253; 04_gold_model.py:712; 04_gold_model.py:817; 05_gold_dimensions.py:155; 05_gold_dimensions.py:390; 05_gold_dimensions.py:163
Calculated-table dependency: Provider Offer Status. Complete saved partition logic is included in the calculation document.</x:v>
      </x:c>
      <x:c r="G320" s="13" t="str">
        <x:v>Provider scoring qualifying responses</x:v>
      </x:c>
      <x:c r="H320" s="13" t="str">
        <x:v>Section 11 - Current Business Reporting</x:v>
      </x:c>
      <x:c r="I320" s="30" t="n">
        <x:v>46312</x:v>
      </x:c>
    </x:row>
    <x:row r="321" ht="371" customHeight="1">
      <x:c r="A321" s="13" t="str">
        <x:v>GOLD-KPI-277</x:v>
      </x:c>
      <x:c r="B321" s="13"/>
      <x:c r="C321" s="13" t="str">
        <x:v>Provider scoring timed responses</x:v>
      </x:c>
      <x:c r="D321" s="13" t="str">
        <x:v>Requirement association not established; owner review required.</x:v>
      </x:c>
      <x:c r="E321" s="13" t="str">
        <x:v>gold.dim_provider; gold.dim_provider_home; gold.dim_referral_provider_message; gold.dim_snapshot_month; gold.fact_ipa; gold.fact_offer; gold.fact_referral_provider</x:v>
      </x:c>
      <x:c r="F321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KPI_LATEST_CALCULATIONS.md#business-provider-scoring-timed-responses
DAX [Provider scoring timed responses]: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Measures.tmdl:318
Python/Spark SQL producer/reference spans: 04_gold_model.py:847; 05_gold_dimensions.py:253; 04_gold_model.py:712; 04_gold_model.py:817; 05_gold_dimensions.py:155; 05_gold_dimensions.py:390; 05_gold_dimensions.py:163
Calculated-table dependency: Provider Offer Status. Complete saved partition logic is included in the calculation document.</x:v>
      </x:c>
      <x:c r="G321" s="13" t="str">
        <x:v>Provider scoring timed responses</x:v>
      </x:c>
      <x:c r="H321" s="13" t="str">
        <x:v>Section 11 - Current Business Reporting</x:v>
      </x:c>
      <x:c r="I321" s="30" t="n">
        <x:v>46312</x:v>
      </x:c>
    </x:row>
    <x:row r="322" ht="202" customHeight="1">
      <x:c r="A322" s="13" t="str">
        <x:v>GOLD-KPI-091</x:v>
      </x:c>
      <x:c r="B322" s="13"/>
      <x:c r="C322" s="13" t="str">
        <x:v>Provider Submission Documents</x:v>
      </x:c>
      <x:c r="D322" s="13" t="str">
        <x:v>Requirement association not established; owner review required.</x:v>
      </x:c>
      <x:c r="E322" s="13" t="str">
        <x:v>gold.dim_provider_submission_document</x:v>
      </x:c>
      <x:c r="F32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KPI_LATEST_CALCULATIONS.md#business-provider-submission-documents
DAX [Provider Submission Documents]:
DISTINCTCOUNT ( 'dim_provider_submission_document'[document_id] )
Saved source: project X/reports/WIP/SM WMPP v16 updated WIP/SM_WMPP_v16.SemanticModel/definition/tables/_Measures.tmdl:1473
Python/Spark SQL producer/reference spans: 05_gold_dimensions.py:239</x:v>
      </x:c>
      <x:c r="G322" s="13" t="str">
        <x:v>Provider Submission Documents</x:v>
      </x:c>
      <x:c r="H322" s="13" t="str">
        <x:v>Section 11 - Current Business Reporting</x:v>
      </x:c>
      <x:c r="I322" s="30" t="n">
        <x:v>46260</x:v>
      </x:c>
    </x:row>
    <x:row r="323" ht="409" customHeight="1">
      <x:c r="A323" s="13" t="str">
        <x:v>GOLD-KPI-278</x:v>
      </x:c>
      <x:c r="B323" s="13"/>
      <x:c r="C323" s="13" t="str">
        <x:v>Provider unanswered assignments</x:v>
      </x:c>
      <x:c r="D323" s="13" t="str">
        <x:v>Requirement association not established; owner review required.</x:v>
      </x:c>
      <x:c r="E323" s="13" t="str">
        <x:v>gold.dim_provider; gold.dim_provider_home; gold.dim_referral_provider_message; gold.fact_ipa; gold.fact_offer; gold.fact_referral_provider</x:v>
      </x:c>
      <x:c r="F323" s="13" t="str">
        <x:v>Business metric.
Latest saved source reviewed 17 October 2026. Static definition verified; refresh, role/context reconciliation and UAT remain pending.
Distinct recorded assignments without qualifying response and with a start timestamp; not an SLA-breach measure.
Full current logic: KPI_LATEST_CALCULATIONS.md#business-provider-unanswered-assignments
DAX [Provider unanswered assignments]:
VAR unrestricted =
NOT ISFILTERED('Provider Offer Status'[Status])
&amp;&amp; SELECTEDVALUE('Journey Provider Selection'[Stage], -1) = -1
VAR homeFilterActive = ISFILTERED('dim_provider_home')
VAR homeProviderIds = VALUES('dim_provider_home'[provider_id])
VAR eligible =
FILTER(VALUES('dim_provider'[provider_id]),
[EXCERPT; exact complete expression and dependencies in linked current calculation document]
Saved source: project X/reports/WIP/SM WMPP v16 updated WIP/SM_WMPP_v16.SemanticModel/definition/tables/_Report Journey Measures.tmdl:4
Python/Spark SQL producer/reference spans: 04_gold_model.py:847; 05_gold_dimensions.py:253; 04_gold_model.py:712; 04_gold_model.py:817; 05_gold_dimensions.py:155; 05_gold_dimensions.py:163
Calculated-table dependency: Provider Offer Status. Complete saved partition logic is included in the calculation document.</x:v>
      </x:c>
      <x:c r="G323" s="13" t="str">
        <x:v>Provider unanswered assignments</x:v>
      </x:c>
      <x:c r="H323" s="13" t="str">
        <x:v>Section 11 - Current Business Reporting</x:v>
      </x:c>
      <x:c r="I323" s="30" t="n">
        <x:v>46312</x:v>
      </x:c>
    </x:row>
    <x:row r="324" ht="306" customHeight="1">
      <x:c r="A324" s="13" t="str">
        <x:v>GOLD-KPI-279</x:v>
      </x:c>
      <x:c r="B324" s="13"/>
      <x:c r="C324" s="13" t="str">
        <x:v>Providers With Offers on Referrals Under Offer</x:v>
      </x:c>
      <x:c r="D324" s="13" t="str">
        <x:v>Requirement association not established; owner review required.</x:v>
      </x:c>
      <x:c r="E324" s="13" t="str">
        <x:v>gold.fact_offer; gold.fact_referral</x:v>
      </x:c>
      <x:c r="F32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KPI_LATEST_CALCULATIONS.md#business-providers-with-offers-on-referrals-under-offer
DAX [Providers With Offers on Referrals Under Offer]:
CALCULATE (
[Providers Who Made Offers],
FILTER (
'fact_referral',
'fact_referral'[is_open] = TRUE () &amp;&amp; 'fact_referral'[current_status] = "UNDER_OFFER"
)
)
Saved source: project X/reports/WIP/SM WMPP v16 updated WIP/SM_WMPP_v16.SemanticModel/definition/tables/_Measures.tmdl:1375
Python/Spark SQL producer/reference spans: 04_gold_model.py:232; 04_gold_model.py:712</x:v>
      </x:c>
      <x:c r="G324" s="13" t="str">
        <x:v>Providers With Offers on Referrals Under Offer</x:v>
      </x:c>
      <x:c r="H324" s="13" t="str">
        <x:v>Section 11 - Current Business Reporting</x:v>
      </x:c>
      <x:c r="I324" s="30" t="n">
        <x:v>46312</x:v>
      </x:c>
    </x:row>
    <x:row r="325" ht="409" customHeight="1">
      <x:c r="A325" s="13" t="str">
        <x:v>GOLD-KPI-280</x:v>
      </x:c>
      <x:c r="B325" s="13"/>
      <x:c r="C325" s="13" t="str">
        <x:v>Referral accepted without IPA</x:v>
      </x:c>
      <x:c r="D325" s="13" t="str">
        <x:v>Requirement association not established; owner review required.</x:v>
      </x:c>
      <x:c r="E325" s="13" t="str">
        <x:v>gold.bridge_referral_framework_category; gold.dim_framework_category; gold.fact_ipa; gold.fact_offer; gold.fact_referral</x:v>
      </x:c>
      <x:c r="F325" s="13" t="str">
        <x:v>Business metric.
Latest saved source reviewed 17 October 2026. Static definition verified; refresh, role/context reconciliation and UAT remain pending.
Referrals with accepted-offer evidence but no IPA, retaining category, offer-status and activity selection context.
Full current logic: KPI_LATEST_CALCULATIONS.md#business-referral-accepted-without-ipa
DAX [Referral accepted without IPA]: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WIP/SM_WMPP_v16.SemanticModel/definition/tables/_Report Journey Measures.tmdl:115
Python/Spark SQL producer/reference spans: 04_gold_model.py:232; 05_gold_dimensions.py:210; 04_gold_model.py:712; 04_gold_model.py:817; 05_gold_dimensions.py:179
Calculated-table dependency: Explorer Offer Activity; Referral Category; Explorer Offer Status. Complete saved partition logic is included in the calculation document.</x:v>
      </x:c>
      <x:c r="G325" s="13" t="str">
        <x:v>Referral accepted without IPA</x:v>
      </x:c>
      <x:c r="H325" s="13" t="str">
        <x:v>Section 11 - Current Business Reporting</x:v>
      </x:c>
      <x:c r="I325" s="30" t="n">
        <x:v>46312</x:v>
      </x:c>
    </x:row>
    <x:row r="326" ht="409" customHeight="1">
      <x:c r="A326" s="13" t="str">
        <x:v>GOLD-KPI-281</x:v>
      </x:c>
      <x:c r="B326" s="13"/>
      <x:c r="C326" s="13" t="str">
        <x:v>Referral IPAs awaiting signatures</x:v>
      </x:c>
      <x:c r="D326" s="13" t="str">
        <x:v>Requirement association not established; owner review required.</x:v>
      </x:c>
      <x:c r="E326" s="13" t="str">
        <x:v>gold.bridge_referral_framework_category; gold.dim_framework_category; gold.fact_ipa; gold.fact_offer; gold.fact_referral</x:v>
      </x:c>
      <x:c r="F326" s="13" t="str">
        <x:v>Business metric.
Latest saved source reviewed 17 October 2026. Static definition verified; refresh, role/context reconciliation and UAT remain pending.
Distinct IPAs without both signatures on the same IPA; missing signature evidence remains in the chase population.
Full current logic: KPI_LATEST_CALCULATIONS.md#business-referral-ipas-awaiting-signatures
DAX [Referral IPAs awaiting signatures]: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WIP/SM_WMPP_v16.SemanticModel/definition/tables/_Report Journey Measures.tmdl:139
Python/Spark SQL producer/reference spans: 04_gold_model.py:232; 05_gold_dimensions.py:210; 04_gold_model.py:712; 04_gold_model.py:817; 05_gold_dimensions.py:179
Calculated-table dependency: Explorer Offer Activity; Referral Category; Explorer Offer Status. Complete saved partition logic is included in the calculation document.</x:v>
      </x:c>
      <x:c r="G326" s="13" t="str">
        <x:v>Referral IPAs awaiting signatures</x:v>
      </x:c>
      <x:c r="H326" s="13" t="str">
        <x:v>Section 11 - Current Business Reporting</x:v>
      </x:c>
      <x:c r="I326" s="30" t="n">
        <x:v>46312</x:v>
      </x:c>
    </x:row>
    <x:row r="327" ht="267" customHeight="1">
      <x:c r="A327" s="13" t="str">
        <x:v>GOLD-KPI-282</x:v>
      </x:c>
      <x:c r="B327" s="13"/>
      <x:c r="C327" s="13" t="str">
        <x:v>Referral open overdue share</x:v>
      </x:c>
      <x:c r="D327" s="13" t="str">
        <x:v>Requirement association not established; owner review required.</x:v>
      </x:c>
      <x:c r="E327" s="13" t="str">
        <x:v>gold.bridge_referral_framework_category; gold.dim_framework_category; gold.fact_offer; gold.fact_referral</x:v>
      </x:c>
      <x:c r="F327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KPI_LATEST_CALCULATIONS.md#business-referral-open-overdue-share
DAX [Referral open overdue share]:
DIVIDE([Explorer referrals open overdue],[Explorer referrals open])
Saved source: project X/reports/WIP/SM WMPP v16 updated WIP/SM_WMPP_v16.SemanticModel/definition/tables/_Report Journey Measures.tmdl:134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327" s="13" t="str">
        <x:v>Referral open overdue share</x:v>
      </x:c>
      <x:c r="H327" s="13" t="str">
        <x:v>Section 11 - Current Business Reporting</x:v>
      </x:c>
      <x:c r="I327" s="30" t="n">
        <x:v>46312</x:v>
      </x:c>
    </x:row>
    <x:row r="328" ht="409" customHeight="1">
      <x:c r="A328" s="13" t="str">
        <x:v>GOLD-KPI-283</x:v>
      </x:c>
      <x:c r="B328" s="13"/>
      <x:c r="C328" s="13" t="str">
        <x:v>Referral open without assignments</x:v>
      </x:c>
      <x:c r="D328" s="13" t="str">
        <x:v>Requirement association not established; owner review required.</x:v>
      </x:c>
      <x:c r="E328" s="13" t="str">
        <x:v>gold.bridge_referral_framework_category; gold.dim_framework_category; gold.fact_offer; gold.fact_referral; gold.fact_referral_provider</x:v>
      </x:c>
      <x:c r="F328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KPI_LATEST_CALCULATIONS.md#business-referral-open-without-assignments
DAX [Referral open without assignments]: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WIP/SM_WMPP_v16.SemanticModel/definition/tables/_Report Journey Measures.tmdl:96
Python/Spark SQL producer/reference spans: 04_gold_model.py:847;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328" s="13" t="str">
        <x:v>Referral open without assignments</x:v>
      </x:c>
      <x:c r="H328" s="13" t="str">
        <x:v>Section 11 - Current Business Reporting</x:v>
      </x:c>
      <x:c r="I328" s="30" t="n">
        <x:v>46312</x:v>
      </x:c>
    </x:row>
    <x:row r="329" ht="409" customHeight="1">
      <x:c r="A329" s="13" t="str">
        <x:v>GOLD-KPI-284</x:v>
      </x:c>
      <x:c r="B329" s="13"/>
      <x:c r="C329" s="13" t="str">
        <x:v>Referral open without offers</x:v>
      </x:c>
      <x:c r="D329" s="13" t="str">
        <x:v>Requirement association not established; owner review required.</x:v>
      </x:c>
      <x:c r="E329" s="13" t="str">
        <x:v>gold.bridge_referral_framework_category; gold.dim_framework_category; gold.fact_offer; gold.fact_referral</x:v>
      </x:c>
      <x:c r="F329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KPI_LATEST_CALCULATIONS.md#business-referral-open-without-offers
DAX [Referral open without offers]:
VAR categories = VALUES('Referral Category'[Category ID])
VAR categoryRefs = CALCULATETABLE(VALUES('bridge_referral_framework_category'[referral_id]), TREATAS(categories,'bridge_referral_framework_category'[framework_category_id]))
VAR statuses = VALUES('Explorer Offer Status'[Status])
VAR bands = VALUES('Explorer Offer Activity'[Band])
VAR statusFilter = ISFILTERED('Explorer Offer Status'[Status])
VAR bandFilter = ISFILTERED('Explorer Offer Activity'[Band])
VAR offerRows = FILTER('fact_offer', (NOT statusFilter || COALESCE('fact_offer'[offer_status],"(Unknown status)") IN statuses) &amp;&amp; (NOT bandFilter || COALESCE('fact_offer'[Offer activity b
[EXCERPT; exact complete expression and dependencies in linked current calculation document]
Saved source: project X/reports/WIP/SM WMPP v16 updated WIP/SM_WMPP_v16.SemanticModel/definition/tables/_Report Journey Measures.tmdl:77
Python/Spark SQL producer/reference spans: 04_gold_model.py:232; 05_gold_dimensions.py:210; 04_gold_model.py:712; 05_gold_dimensions.py:179
Calculated-table dependency: Explorer Offer Activity; Referral Category; Explorer Offer Status. Complete saved partition logic is included in the calculation document.</x:v>
      </x:c>
      <x:c r="G329" s="13" t="str">
        <x:v>Referral open without offers</x:v>
      </x:c>
      <x:c r="H329" s="13" t="str">
        <x:v>Section 11 - Current Business Reporting</x:v>
      </x:c>
      <x:c r="I329" s="30" t="n">
        <x:v>46312</x:v>
      </x:c>
    </x:row>
    <x:row r="330" ht="215" customHeight="1">
      <x:c r="A330" s="13" t="str">
        <x:v>GOLD-KPI-038</x:v>
      </x:c>
      <x:c r="B330" s="13"/>
      <x:c r="C330" s="13" t="str">
        <x:v>Referral Volume Month on Month</x:v>
      </x:c>
      <x:c r="D330" s="13" t="str">
        <x:v>Requirement association not established; owner review required.</x:v>
      </x:c>
      <x:c r="E330" s="13" t="str">
        <x:v>gold.dim_date; gold.fact_referral</x:v>
      </x:c>
      <x:c r="F33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KPI_LATEST_CALCULATIONS.md#business-referral-volume-month-on-month
DAX [Referral Volume Month on Month]:
[Total Referrals] - [Referrals Created Previous Month]
Saved source: project X/reports/WIP/SM WMPP v16 updated WIP/SM_WMPP_v16.SemanticModel/definition/tables/_Measures.tmdl:1014
Python/Spark SQL producer/reference spans: 04_gold_model.py:232; 05_gold_dimensions.py:128</x:v>
      </x:c>
      <x:c r="G330" s="13" t="str">
        <x:v>Referral Volume Month on Month</x:v>
      </x:c>
      <x:c r="H330" s="13" t="str">
        <x:v>Section 11 - Current Business Reporting</x:v>
      </x:c>
      <x:c r="I330" s="30" t="n">
        <x:v>46260</x:v>
      </x:c>
    </x:row>
    <x:row r="331" ht="228" customHeight="1">
      <x:c r="A331" s="13" t="str">
        <x:v>GOLD-KPI-039</x:v>
      </x:c>
      <x:c r="B331" s="13"/>
      <x:c r="C331" s="13" t="str">
        <x:v>Referral Volume Month on Month %</x:v>
      </x:c>
      <x:c r="D331" s="13" t="str">
        <x:v>Requirement association not established; owner review required.</x:v>
      </x:c>
      <x:c r="E331" s="13" t="str">
        <x:v>gold.dim_date; gold.fact_referral</x:v>
      </x:c>
      <x:c r="F33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KPI_LATEST_CALCULATIONS.md#business-referral-volume-month-on-month-percent
DAX [Referral Volume Month on Month %]:
DIVIDE ( [Referral Volume Month on Month], [Referrals Created Previous Month] )
Saved source: project X/reports/WIP/SM WMPP v16 updated WIP/SM_WMPP_v16.SemanticModel/definition/tables/_Measures.tmdl:1018
Python/Spark SQL producer/reference spans: 04_gold_model.py:232; 05_gold_dimensions.py:128</x:v>
      </x:c>
      <x:c r="G331" s="13" t="str">
        <x:v>Referral Volume Month on Month %</x:v>
      </x:c>
      <x:c r="H331" s="13" t="str">
        <x:v>Section 11 - Current Business Reporting</x:v>
      </x:c>
      <x:c r="I331" s="30" t="n">
        <x:v>46260</x:v>
      </x:c>
    </x:row>
    <x:row r="332" ht="306" customHeight="1">
      <x:c r="A332" s="13" t="str">
        <x:v>GOLD-KPI-285</x:v>
      </x:c>
      <x:c r="B332" s="13"/>
      <x:c r="C332" s="13" t="str">
        <x:v>Referrals</x:v>
      </x:c>
      <x:c r="D332" s="13" t="str">
        <x:v>Requirement association not established; owner review required.</x:v>
      </x:c>
      <x:c r="E332" s="13" t="str">
        <x:v>gold.bridge_referral_framework_category; gold.dim_framework_category; gold.fact_referral</x:v>
      </x:c>
      <x:c r="F332" s="13" t="str">
        <x:v>Business metric. Saved category-aware exploration metric
Latest saved source reviewed 17 October 2026. Static definition verified; refresh, role/context reconciliation and UAT remain pending.
Full current logic: KPI_LATEST_CALCULATIONS.md#business-referrals
DAX [Referrals]:
VAR selectedCategories=VALUES('Referral Category'[Category ID])
VAR ids=CALCULATETABLE(VALUES('bridge_referral_framework_category'[referral_id]),TREATAS(selectedCategories,'bridge_referral_framework_category'[framework_category_id]))
RETURN IF(ISCROSSFILTERED('Referral Category'),CALCULATE([Total Referrals],KEEPFILTERS(TREATAS(ids,'fact_referral'[referral_id]))),[Total Referrals])
Saved source: project X/reports/WIP/SM WMPP v16 updated WIP/SM_WMPP_v16.SemanticModel/definition/tables/_Explore Measures.tmdl:4
Python/Spark SQL producer/reference spans: 05_gold_dimensions.py:179; 04_gold_model.py:232; 05_gold_dimensions.py:210
Calculated-table dependency: Referral Category. Complete saved partition logic is included in the calculation document.</x:v>
      </x:c>
      <x:c r="G332" s="13" t="str">
        <x:v>Referrals</x:v>
      </x:c>
      <x:c r="H332" s="13" t="str">
        <x:v>Section 11 - Current Business Reporting</x:v>
      </x:c>
      <x:c r="I332" s="30" t="n">
        <x:v>46312</x:v>
      </x:c>
    </x:row>
    <x:row r="333" ht="228" customHeight="1">
      <x:c r="A333" s="13" t="str">
        <x:v>GOLD-KPI-286</x:v>
      </x:c>
      <x:c r="B333" s="13"/>
      <x:c r="C333" s="13" t="str">
        <x:v>Referrals Awaiting Offer MoM %</x:v>
      </x:c>
      <x:c r="D333" s="13" t="str">
        <x:v>Requirement association not established; owner review required.</x:v>
      </x:c>
      <x:c r="E333" s="13" t="str">
        <x:v>gold.dim_date; gold.fact_referral</x:v>
      </x:c>
      <x:c r="F33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KPI_LATEST_CALCULATIONS.md#business-referrals-awaiting-offer-mom-percent
DAX [Referrals Awaiting Offer MoM %]:
DIVIDE ( [Referrals Awaiting Offer Variance], [Referrals Awaiting Offer Previous Month] )
Saved source: project X/reports/WIP/SM WMPP v16 updated WIP/SM_WMPP_v16.SemanticModel/definition/tables/_Measures.tmdl:1242
Python/Spark SQL producer/reference spans: 04_gold_model.py:232; 05_gold_dimensions.py:128</x:v>
      </x:c>
      <x:c r="G333" s="13" t="str">
        <x:v>Referrals Awaiting Offer MoM %</x:v>
      </x:c>
      <x:c r="H333" s="13" t="str">
        <x:v>Section 11 - Current Business Reporting</x:v>
      </x:c>
      <x:c r="I333" s="30" t="n">
        <x:v>46312</x:v>
      </x:c>
    </x:row>
    <x:row r="334" ht="228" customHeight="1">
      <x:c r="A334" s="13" t="str">
        <x:v>GOLD-KPI-287</x:v>
      </x:c>
      <x:c r="B334" s="13"/>
      <x:c r="C334" s="13" t="str">
        <x:v>Referrals Awaiting Offer Previous Month</x:v>
      </x:c>
      <x:c r="D334" s="13" t="str">
        <x:v>Requirement association not established; owner review required.</x:v>
      </x:c>
      <x:c r="E334" s="13" t="str">
        <x:v>gold.dim_date; gold.fact_referral</x:v>
      </x:c>
      <x:c r="F33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KPI_LATEST_CALCULATIONS.md#business-referrals-awaiting-offer-previous-month
DAX [Referrals Awaiting Offer Previous Month]:
CALCULATE ( [Referrals Awaiting Offer], DATEADD ( 'dim_date'[date], -1, MONTH ) )
Saved source: project X/reports/WIP/SM WMPP v16 updated WIP/SM_WMPP_v16.SemanticModel/definition/tables/_Measures.tmdl:1234
Python/Spark SQL producer/reference spans: 04_gold_model.py:232; 05_gold_dimensions.py:128</x:v>
      </x:c>
      <x:c r="G334" s="13" t="str">
        <x:v>Referrals Awaiting Offer Previous Month</x:v>
      </x:c>
      <x:c r="H334" s="13" t="str">
        <x:v>Section 11 - Current Business Reporting</x:v>
      </x:c>
      <x:c r="I334" s="30" t="n">
        <x:v>46312</x:v>
      </x:c>
    </x:row>
    <x:row r="335" ht="215" customHeight="1">
      <x:c r="A335" s="13" t="str">
        <x:v>GOLD-KPI-288</x:v>
      </x:c>
      <x:c r="B335" s="13"/>
      <x:c r="C335" s="13" t="str">
        <x:v>Referrals Awaiting Offer Variance</x:v>
      </x:c>
      <x:c r="D335" s="13" t="str">
        <x:v>Requirement association not established; owner review required.</x:v>
      </x:c>
      <x:c r="E335" s="13" t="str">
        <x:v>gold.dim_date; gold.fact_referral</x:v>
      </x:c>
      <x:c r="F33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KPI_LATEST_CALCULATIONS.md#business-referrals-awaiting-offer-variance
DAX [Referrals Awaiting Offer Variance]:
[Referrals Awaiting Offer] - [Referrals Awaiting Offer Previous Month]
Saved source: project X/reports/WIP/SM WMPP v16 updated WIP/SM_WMPP_v16.SemanticModel/definition/tables/_Measures.tmdl:1238
Python/Spark SQL producer/reference spans: 04_gold_model.py:232; 05_gold_dimensions.py:128</x:v>
      </x:c>
      <x:c r="G335" s="13" t="str">
        <x:v>Referrals Awaiting Offer Variance</x:v>
      </x:c>
      <x:c r="H335" s="13" t="str">
        <x:v>Section 11 - Current Business Reporting</x:v>
      </x:c>
      <x:c r="I335" s="30" t="n">
        <x:v>46312</x:v>
      </x:c>
    </x:row>
    <x:row r="336" ht="228" customHeight="1">
      <x:c r="A336" s="13" t="str">
        <x:v>GOLD-KPI-289</x:v>
      </x:c>
      <x:c r="B336" s="13"/>
      <x:c r="C336" s="13" t="str">
        <x:v>Referrals Cancelled/Closed Previous Month</x:v>
      </x:c>
      <x:c r="D336" s="13" t="str">
        <x:v>Requirement association not established; owner review required.</x:v>
      </x:c>
      <x:c r="E336" s="13" t="str">
        <x:v>gold.dim_snapshot_month; gold.fact_referral_snapshot</x:v>
      </x:c>
      <x:c r="F33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KPI_LATEST_CALCULATIONS.md#business-referrals-cancelled-closed-previous-month
DAX [Referrals Cancelled/Closed Previous Month]:
CALCULATE ( [Closed or Cancelled Referrals at Snapshot], DATEADD ( 'dim_snapshot_month'[month_start], -1, MONTH ) )
Saved source: project X/reports/WIP/SM WMPP v16 updated WIP/SM_WMPP_v16.SemanticModel/definition/tables/_Measures.tmdl:540
Python/Spark SQL producer/reference spans: 05_gold_dimensions.py:390; 04_gold_model.py:567</x:v>
      </x:c>
      <x:c r="G336" s="13" t="str">
        <x:v>Referrals Cancelled/Closed Previous Month</x:v>
      </x:c>
      <x:c r="H336" s="13" t="str">
        <x:v>Section 11 - Current Business Reporting</x:v>
      </x:c>
      <x:c r="I336" s="30" t="n">
        <x:v>46312</x:v>
      </x:c>
    </x:row>
    <x:row r="337" ht="228" customHeight="1">
      <x:c r="A337" s="13" t="str">
        <x:v>GOLD-KPI-290</x:v>
      </x:c>
      <x:c r="B337" s="13"/>
      <x:c r="C337" s="13" t="str">
        <x:v>Referrals Cancelled/Closed Variance</x:v>
      </x:c>
      <x:c r="D337" s="13" t="str">
        <x:v>Requirement association not established; owner review required.</x:v>
      </x:c>
      <x:c r="E337" s="13" t="str">
        <x:v>gold.dim_snapshot_month; gold.fact_referral_snapshot</x:v>
      </x:c>
      <x:c r="F33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KPI_LATEST_CALCULATIONS.md#business-referrals-cancelled-closed-variance
DAX [Referrals Cancelled/Closed Variance]:
[Closed or Cancelled Referrals at Snapshot] - [Referrals Cancelled/Closed Previous Month]
Saved source: project X/reports/WIP/SM WMPP v16 updated WIP/SM_WMPP_v16.SemanticModel/definition/tables/_Measures.tmdl:564
Python/Spark SQL producer/reference spans: 05_gold_dimensions.py:390; 04_gold_model.py:567</x:v>
      </x:c>
      <x:c r="G337" s="13" t="str">
        <x:v>Referrals Cancelled/Closed Variance</x:v>
      </x:c>
      <x:c r="H337" s="13" t="str">
        <x:v>Section 11 - Current Business Reporting</x:v>
      </x:c>
      <x:c r="I337" s="30" t="n">
        <x:v>46312</x:v>
      </x:c>
    </x:row>
    <x:row r="338" ht="215" customHeight="1">
      <x:c r="A338" s="13" t="str">
        <x:v>GOLD-KPI-037</x:v>
      </x:c>
      <x:c r="B338" s="13"/>
      <x:c r="C338" s="13" t="str">
        <x:v>Referrals Created Previous Month</x:v>
      </x:c>
      <x:c r="D338" s="13" t="str">
        <x:v>Requirement association not established; owner review required.</x:v>
      </x:c>
      <x:c r="E338" s="13" t="str">
        <x:v>gold.dim_date; gold.fact_referral</x:v>
      </x:c>
      <x:c r="F33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KPI_LATEST_CALCULATIONS.md#business-referrals-created-previous-month
DAX [Referrals Created Previous Month]:
CALCULATE ( [Total Referrals], DATEADD ( 'dim_date'[date], -1, MONTH ) )
Saved source: project X/reports/WIP/SM WMPP v16 updated WIP/SM_WMPP_v16.SemanticModel/definition/tables/_Measures.tmdl:1010
Python/Spark SQL producer/reference spans: 04_gold_model.py:232; 05_gold_dimensions.py:128</x:v>
      </x:c>
      <x:c r="G338" s="13" t="str">
        <x:v>Referrals Created Previous Month</x:v>
      </x:c>
      <x:c r="H338" s="13" t="str">
        <x:v>Section 11 - Current Business Reporting</x:v>
      </x:c>
      <x:c r="I338" s="30" t="n">
        <x:v>46260</x:v>
      </x:c>
    </x:row>
    <x:row r="339" ht="228" customHeight="1">
      <x:c r="A339" s="13" t="str">
        <x:v>GOLD-KPI-291</x:v>
      </x:c>
      <x:c r="B339" s="13"/>
      <x:c r="C339" s="13" t="str">
        <x:v>Referrals Currently Active MoM %</x:v>
      </x:c>
      <x:c r="D339" s="13" t="str">
        <x:v>Requirement association not established; owner review required.</x:v>
      </x:c>
      <x:c r="E339" s="13" t="str">
        <x:v>gold.dim_snapshot_month; gold.fact_referral_snapshot</x:v>
      </x:c>
      <x:c r="F33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KPI_LATEST_CALCULATIONS.md#business-referrals-currently-active-mom-percent
DAX [Referrals Currently Active MoM %]:
DIVIDE ( [Referrals Currently Active Variance], [Referrals Currently Active Previous Month] )
Saved source: project X/reports/WIP/SM WMPP v16 updated WIP/SM_WMPP_v16.SemanticModel/definition/tables/_Measures.tmdl:1272
Python/Spark SQL producer/reference spans: 05_gold_dimensions.py:390; 04_gold_model.py:567</x:v>
      </x:c>
      <x:c r="G339" s="13" t="str">
        <x:v>Referrals Currently Active MoM %</x:v>
      </x:c>
      <x:c r="H339" s="13" t="str">
        <x:v>Section 11 - Current Business Reporting</x:v>
      </x:c>
      <x:c r="I339" s="30" t="n">
        <x:v>46312</x:v>
      </x:c>
    </x:row>
    <x:row r="340" ht="228" customHeight="1">
      <x:c r="A340" s="13" t="str">
        <x:v>GOLD-KPI-292</x:v>
      </x:c>
      <x:c r="B340" s="13"/>
      <x:c r="C340" s="13" t="str">
        <x:v>Referrals Currently Active Previous Month</x:v>
      </x:c>
      <x:c r="D340" s="13" t="str">
        <x:v>Requirement association not established; owner review required.</x:v>
      </x:c>
      <x:c r="E340" s="13" t="str">
        <x:v>gold.dim_snapshot_month; gold.fact_referral_snapshot</x:v>
      </x:c>
      <x:c r="F34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KPI_LATEST_CALCULATIONS.md#business-referrals-currently-active-previous-month
DAX [Referrals Currently Active Previous Month]:
CALCULATE ( [Open Referrals at Snapshot], DATEADD ( 'dim_snapshot_month'[month_start], -1, MONTH ) )
Saved source: project X/reports/WIP/SM WMPP v16 updated WIP/SM_WMPP_v16.SemanticModel/definition/tables/_Measures.tmdl:555
Python/Spark SQL producer/reference spans: 05_gold_dimensions.py:390; 04_gold_model.py:567</x:v>
      </x:c>
      <x:c r="G340" s="13" t="str">
        <x:v>Referrals Currently Active Previous Month</x:v>
      </x:c>
      <x:c r="H340" s="13" t="str">
        <x:v>Section 11 - Current Business Reporting</x:v>
      </x:c>
      <x:c r="I340" s="30" t="n">
        <x:v>46312</x:v>
      </x:c>
    </x:row>
    <x:row r="341" ht="215" customHeight="1">
      <x:c r="A341" s="13" t="str">
        <x:v>GOLD-KPI-293</x:v>
      </x:c>
      <x:c r="B341" s="13"/>
      <x:c r="C341" s="13" t="str">
        <x:v>Referrals Currently Active Variance</x:v>
      </x:c>
      <x:c r="D341" s="13" t="str">
        <x:v>Requirement association not established; owner review required.</x:v>
      </x:c>
      <x:c r="E341" s="13" t="str">
        <x:v>gold.dim_snapshot_month; gold.fact_referral_snapshot</x:v>
      </x:c>
      <x:c r="F34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KPI_LATEST_CALCULATIONS.md#business-referrals-currently-active-variance
DAX [Referrals Currently Active Variance]:
[Open Referrals at Snapshot] - [Referrals Currently Active Previous Month]
Saved source: project X/reports/WIP/SM WMPP v16 updated WIP/SM_WMPP_v16.SemanticModel/definition/tables/_Measures.tmdl:570
Python/Spark SQL producer/reference spans: 05_gold_dimensions.py:390; 04_gold_model.py:567</x:v>
      </x:c>
      <x:c r="G341" s="13" t="str">
        <x:v>Referrals Currently Active Variance</x:v>
      </x:c>
      <x:c r="H341" s="13" t="str">
        <x:v>Section 11 - Current Business Reporting</x:v>
      </x:c>
      <x:c r="I341" s="30" t="n">
        <x:v>46312</x:v>
      </x:c>
    </x:row>
    <x:row r="342" ht="254" customHeight="1">
      <x:c r="A342" s="13" t="str">
        <x:v>GOLD-KPI-294</x:v>
      </x:c>
      <x:c r="B342" s="13"/>
      <x:c r="C342" s="13" t="str">
        <x:v>Referrals Due in Reporting Period</x:v>
      </x:c>
      <x:c r="D342" s="13" t="str">
        <x:v>Requirement association not established; owner review required.</x:v>
      </x:c>
      <x:c r="E342" s="13" t="str">
        <x:v>gold.dim_date; gold.fact_referral</x:v>
      </x:c>
      <x:c r="F342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KPI_LATEST_CALCULATIONS.md#business-referrals-due-in-reporting-period
DAX [Referrals Due in Reporting Period]:
CALCULATE ( [Total Referrals],
USERELATIONSHIP ( 'fact_referral'[required_placement_date], 'dim_date'[date] ),
KEEPFILTERS ( NOT ISBLANK ( 'fact_referral'[required_placement_date] ) ) )
Saved source: project X/reports/WIP/SM WMPP v16 updated WIP/SM_WMPP_v16.SemanticModel/definition/tables/_Design Measures.tmdl:45
Python/Spark SQL producer/reference spans: 04_gold_model.py:232; 05_gold_dimensions.py:128</x:v>
      </x:c>
      <x:c r="G342" s="13" t="str">
        <x:v>Referrals Due in Reporting Period</x:v>
      </x:c>
      <x:c r="H342" s="13" t="str">
        <x:v>Section 11 - Current Business Reporting</x:v>
      </x:c>
      <x:c r="I342" s="30" t="n">
        <x:v>46312</x:v>
      </x:c>
    </x:row>
    <x:row r="343" ht="293" customHeight="1">
      <x:c r="A343" s="13" t="str">
        <x:v>GOLD-KPI-295</x:v>
      </x:c>
      <x:c r="B343" s="13"/>
      <x:c r="C343" s="13" t="str">
        <x:v>Referrals Due This As Of Month</x:v>
      </x:c>
      <x:c r="D343" s="13" t="str">
        <x:v>Requirement association not established; owner review required.</x:v>
      </x:c>
      <x:c r="E343" s="13" t="str">
        <x:v>gold.dim_date; gold.fact_referral</x:v>
      </x:c>
      <x:c r="F343" s="13" t="str">
        <x:v>Business metric. Saved target, demand, time or cost metric
Latest saved source reviewed 17 October 2026. Static definition verified; refresh, role/context reconciliation and UAT remain pending.
Full current logic: KPI_LATEST_CALCULATIONS.md#business-referrals-due-this-as-of-month
DAX [Referrals Due This As Of Month]:
VAR asof = [Current Referral As Of]
VAR first_day = DATE ( YEAR ( asof ), MONTH ( asof ), 1 )
RETURN IF ( NOT ISBLANK ( asof ), CALCULATE ( [Total Referrals], REMOVEFILTERS ( 'dim_date' ),
KEEPFILTERS ( 'fact_referral'[required_placement_date] &gt;= first_day ),
KEEPFILTERS ( 'fact_referral'[required_placement_date] &lt; EDATE ( first_day, 1 ) ) ) )
Saved source: project X/reports/WIP/SM WMPP v16 updated WIP/SM_WMPP_v16.SemanticModel/definition/tables/_Design Measures.tmdl:53
Python/Spark SQL producer/reference spans: 04_gold_model.py:232; 05_gold_dimensions.py:128</x:v>
      </x:c>
      <x:c r="G343" s="13" t="str">
        <x:v>Referrals Due This As Of Month</x:v>
      </x:c>
      <x:c r="H343" s="13" t="str">
        <x:v>Section 11 - Current Business Reporting</x:v>
      </x:c>
      <x:c r="I343" s="30" t="n">
        <x:v>46312</x:v>
      </x:c>
    </x:row>
    <x:row r="344" ht="202" customHeight="1">
      <x:c r="A344" s="13" t="str">
        <x:v>GOLD-KPI-296</x:v>
      </x:c>
      <x:c r="B344" s="13"/>
      <x:c r="C344" s="13" t="str">
        <x:v>Referrals Not Yet Closed</x:v>
      </x:c>
      <x:c r="D344" s="13" t="str">
        <x:v>Requirement association not established; owner review required.</x:v>
      </x:c>
      <x:c r="E344" s="13" t="str">
        <x:v>gold.fact_referral</x:v>
      </x:c>
      <x:c r="F34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KPI_LATEST_CALCULATIONS.md#business-referrals-not-yet-closed
DAX [Referrals Not Yet Closed]:
CALCULATE ( [Total Referrals], 'fact_referral'[is_open] = TRUE () )
Saved source: project X/reports/WIP/SM WMPP v16 updated WIP/SM_WMPP_v16.SemanticModel/definition/tables/_Measures.tmdl:307
Python/Spark SQL producer/reference spans: 04_gold_model.py:232</x:v>
      </x:c>
      <x:c r="G344" s="13" t="str">
        <x:v>Referrals Not Yet Closed</x:v>
      </x:c>
      <x:c r="H344" s="13" t="str">
        <x:v>Section 11 - Current Business Reporting</x:v>
      </x:c>
      <x:c r="I344" s="30" t="n">
        <x:v>46312</x:v>
      </x:c>
    </x:row>
    <x:row r="345" ht="215" customHeight="1">
      <x:c r="A345" s="13" t="str">
        <x:v>GOLD-KPI-008</x:v>
      </x:c>
      <x:c r="B345" s="13" t="str">
        <x:v>[R18,R57]</x:v>
      </x:c>
      <x:c r="C345" s="13" t="str">
        <x:v>Referrals Placed by Required Date</x:v>
      </x:c>
      <x:c r="D345" s="13" t="str">
        <x:v>Proposed requirement association; owner approval pending.</x:v>
      </x:c>
      <x:c r="E345" s="13" t="str">
        <x:v>gold.fact_referral</x:v>
      </x:c>
      <x:c r="F34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KPI_LATEST_CALCULATIONS.md#business-referrals-placed-by-required-date
DAX [Referrals Placed by Required Date]:
CALCULATE ( [Total Referrals], 'fact_referral'[placed_by_required_date] = TRUE () )
Saved source: project X/reports/WIP/SM WMPP v16 updated WIP/SM_WMPP_v16.SemanticModel/definition/tables/_Measures.tmdl:908
Python/Spark SQL producer/reference spans: 04_gold_model.py:232</x:v>
      </x:c>
      <x:c r="G345" s="13" t="str">
        <x:v>Referrals Placed by Required Date</x:v>
      </x:c>
      <x:c r="H345" s="13" t="str">
        <x:v>Section 11 - Current Business Reporting</x:v>
      </x:c>
      <x:c r="I345" s="30" t="n">
        <x:v>46260</x:v>
      </x:c>
    </x:row>
    <x:row r="346" ht="241" customHeight="1">
      <x:c r="A346" s="13" t="str">
        <x:v>GOLD-KPI-297</x:v>
      </x:c>
      <x:c r="B346" s="13"/>
      <x:c r="C346" s="13" t="str">
        <x:v>Referrals Placed by Target at Snapshot</x:v>
      </x:c>
      <x:c r="D346" s="13" t="str">
        <x:v>Requirement association not established; owner review required.</x:v>
      </x:c>
      <x:c r="E346" s="13" t="str">
        <x:v>gold.fact_referral_snapshot</x:v>
      </x:c>
      <x:c r="F34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KPI_LATEST_CALCULATIONS.md#business-referrals-placed-by-target-at-snapshot
DAX [Referrals Placed by Target at Snapshot]:
CALCULATE (
[Snapshot Referrals],
'fact_referral_snapshot'[placed_by_required_date] = TRUE ()
)
Saved source: project X/reports/WIP/SM WMPP v16 updated WIP/SM_WMPP_v16.SemanticModel/definition/tables/_Measures.tmdl:819
Python/Spark SQL producer/reference spans: 04_gold_model.py:567</x:v>
      </x:c>
      <x:c r="G346" s="13" t="str">
        <x:v>Referrals Placed by Target at Snapshot</x:v>
      </x:c>
      <x:c r="H346" s="13" t="str">
        <x:v>Section 11 - Current Business Reporting</x:v>
      </x:c>
      <x:c r="I346" s="30" t="n">
        <x:v>46312</x:v>
      </x:c>
    </x:row>
    <x:row r="347" ht="228" customHeight="1">
      <x:c r="A347" s="13" t="str">
        <x:v>GOLD-KPI-298</x:v>
      </x:c>
      <x:c r="B347" s="13"/>
      <x:c r="C347" s="13" t="str">
        <x:v>Referrals Under Offer MoM %</x:v>
      </x:c>
      <x:c r="D347" s="13" t="str">
        <x:v>Requirement association not established; owner review required.</x:v>
      </x:c>
      <x:c r="E347" s="13" t="str">
        <x:v>gold.dim_date; gold.fact_referral</x:v>
      </x:c>
      <x:c r="F34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KPI_LATEST_CALCULATIONS.md#business-referrals-under-offer-mom-percent
DAX [Referrals Under Offer MoM %]:
DIVIDE ( [Referrals Under Offer Variance], [Referrals Under Offer Previous Month] )
Saved source: project X/reports/WIP/SM WMPP v16 updated WIP/SM_WMPP_v16.SemanticModel/definition/tables/_Measures.tmdl:1261
Python/Spark SQL producer/reference spans: 04_gold_model.py:232; 05_gold_dimensions.py:128</x:v>
      </x:c>
      <x:c r="G347" s="13" t="str">
        <x:v>Referrals Under Offer MoM %</x:v>
      </x:c>
      <x:c r="H347" s="13" t="str">
        <x:v>Section 11 - Current Business Reporting</x:v>
      </x:c>
      <x:c r="I347" s="30" t="n">
        <x:v>46312</x:v>
      </x:c>
    </x:row>
    <x:row r="348" ht="215" customHeight="1">
      <x:c r="A348" s="13" t="str">
        <x:v>GOLD-KPI-299</x:v>
      </x:c>
      <x:c r="B348" s="13"/>
      <x:c r="C348" s="13" t="str">
        <x:v>Referrals Under Offer Previous Month</x:v>
      </x:c>
      <x:c r="D348" s="13" t="str">
        <x:v>Requirement association not established; owner review required.</x:v>
      </x:c>
      <x:c r="E348" s="13" t="str">
        <x:v>gold.dim_date; gold.fact_referral</x:v>
      </x:c>
      <x:c r="F34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KPI_LATEST_CALCULATIONS.md#business-referrals-under-offer-previous-month
DAX [Referrals Under Offer Previous Month]:
CALCULATE ( [Referrals Under Offer], DATEADD ( 'dim_date'[date], -1, MONTH ) )
Saved source: project X/reports/WIP/SM WMPP v16 updated WIP/SM_WMPP_v16.SemanticModel/definition/tables/_Measures.tmdl:1253
Python/Spark SQL producer/reference spans: 04_gold_model.py:232; 05_gold_dimensions.py:128</x:v>
      </x:c>
      <x:c r="G348" s="13" t="str">
        <x:v>Referrals Under Offer Previous Month</x:v>
      </x:c>
      <x:c r="H348" s="13" t="str">
        <x:v>Section 11 - Current Business Reporting</x:v>
      </x:c>
      <x:c r="I348" s="30" t="n">
        <x:v>46312</x:v>
      </x:c>
    </x:row>
    <x:row r="349" ht="215" customHeight="1">
      <x:c r="A349" s="13" t="str">
        <x:v>GOLD-KPI-300</x:v>
      </x:c>
      <x:c r="B349" s="13"/>
      <x:c r="C349" s="13" t="str">
        <x:v>Referrals Under Offer Variance</x:v>
      </x:c>
      <x:c r="D349" s="13" t="str">
        <x:v>Requirement association not established; owner review required.</x:v>
      </x:c>
      <x:c r="E349" s="13" t="str">
        <x:v>gold.dim_date; gold.fact_referral</x:v>
      </x:c>
      <x:c r="F34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KPI_LATEST_CALCULATIONS.md#business-referrals-under-offer-variance
DAX [Referrals Under Offer Variance]:
[Referrals Under Offer] - [Referrals Under Offer Previous Month]
Saved source: project X/reports/WIP/SM WMPP v16 updated WIP/SM_WMPP_v16.SemanticModel/definition/tables/_Measures.tmdl:1257
Python/Spark SQL producer/reference spans: 04_gold_model.py:232; 05_gold_dimensions.py:128</x:v>
      </x:c>
      <x:c r="G349" s="13" t="str">
        <x:v>Referrals Under Offer Variance</x:v>
      </x:c>
      <x:c r="H349" s="13" t="str">
        <x:v>Section 11 - Current Business Reporting</x:v>
      </x:c>
      <x:c r="I349" s="30" t="n">
        <x:v>46312</x:v>
      </x:c>
    </x:row>
    <x:row r="350" ht="215" customHeight="1">
      <x:c r="A350" s="13" t="str">
        <x:v>GOLD-KPI-301</x:v>
      </x:c>
      <x:c r="B350" s="13"/>
      <x:c r="C350" s="13" t="str">
        <x:v>Referrals With an Offer at Snapshot</x:v>
      </x:c>
      <x:c r="D350" s="13" t="str">
        <x:v>Requirement association not established; owner review required.</x:v>
      </x:c>
      <x:c r="E350" s="13" t="str">
        <x:v>gold.fact_referral_snapshot</x:v>
      </x:c>
      <x:c r="F35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KPI_LATEST_CALCULATIONS.md#business-referrals-with-an-offer-at-snapshot
DAX [Referrals With an Offer at Snapshot]:
CALCULATE ( [Snapshot Referrals], 'fact_referral_snapshot'[has_offer] = TRUE () )
Saved source: project X/reports/WIP/SM WMPP v16 updated WIP/SM_WMPP_v16.SemanticModel/definition/tables/_Measures.tmdl:744
Python/Spark SQL producer/reference spans: 04_gold_model.py:567</x:v>
      </x:c>
      <x:c r="G350" s="13" t="str">
        <x:v>Referrals With an Offer at Snapshot</x:v>
      </x:c>
      <x:c r="H350" s="13" t="str">
        <x:v>Section 11 - Current Business Reporting</x:v>
      </x:c>
      <x:c r="I350" s="30" t="n">
        <x:v>46312</x:v>
      </x:c>
    </x:row>
    <x:row r="351" ht="228" customHeight="1">
      <x:c r="A351" s="13" t="str">
        <x:v>GOLD-KPI-302</x:v>
      </x:c>
      <x:c r="B351" s="13"/>
      <x:c r="C351" s="13" t="str">
        <x:v>Referrals With an Offer MoM %</x:v>
      </x:c>
      <x:c r="D351" s="13" t="str">
        <x:v>Requirement association not established; owner review required.</x:v>
      </x:c>
      <x:c r="E351" s="13" t="str">
        <x:v>gold.dim_snapshot_month; gold.fact_referral_snapshot</x:v>
      </x:c>
      <x:c r="F35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KPI_LATEST_CALCULATIONS.md#business-referrals-with-an-offer-mom-percent
DAX [Referrals With an Offer MoM %]:
DIVIDE ( [Referrals With an Offer Variance], [Referrals With an Offer Previous Month] )
Saved source: project X/reports/WIP/SM WMPP v16 updated WIP/SM_WMPP_v16.SemanticModel/definition/tables/_Measures.tmdl:1226
Python/Spark SQL producer/reference spans: 05_gold_dimensions.py:390; 04_gold_model.py:567</x:v>
      </x:c>
      <x:c r="G351" s="13" t="str">
        <x:v>Referrals With an Offer MoM %</x:v>
      </x:c>
      <x:c r="H351" s="13" t="str">
        <x:v>Section 11 - Current Business Reporting</x:v>
      </x:c>
      <x:c r="I351" s="30" t="n">
        <x:v>46312</x:v>
      </x:c>
    </x:row>
    <x:row r="352" ht="228" customHeight="1">
      <x:c r="A352" s="13" t="str">
        <x:v>GOLD-KPI-303</x:v>
      </x:c>
      <x:c r="B352" s="13"/>
      <x:c r="C352" s="13" t="str">
        <x:v>Referrals With an Offer Previous Month</x:v>
      </x:c>
      <x:c r="D352" s="13" t="str">
        <x:v>Requirement association not established; owner review required.</x:v>
      </x:c>
      <x:c r="E352" s="13" t="str">
        <x:v>gold.dim_snapshot_month; gold.fact_referral_snapshot</x:v>
      </x:c>
      <x:c r="F35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KPI_LATEST_CALCULATIONS.md#business-referrals-with-an-offer-previous-month
DAX [Referrals With an Offer Previous Month]:
CALCULATE ( [Referrals With an Offer at Snapshot], DATEADD ( 'dim_snapshot_month'[month_start], -1, MONTH ) )
Saved source: project X/reports/WIP/SM WMPP v16 updated WIP/SM_WMPP_v16.SemanticModel/definition/tables/_Measures.tmdl:545
Python/Spark SQL producer/reference spans: 05_gold_dimensions.py:390; 04_gold_model.py:567</x:v>
      </x:c>
      <x:c r="G352" s="13" t="str">
        <x:v>Referrals With an Offer Previous Month</x:v>
      </x:c>
      <x:c r="H352" s="13" t="str">
        <x:v>Section 11 - Current Business Reporting</x:v>
      </x:c>
      <x:c r="I352" s="30" t="n">
        <x:v>46312</x:v>
      </x:c>
    </x:row>
    <x:row r="353" ht="228" customHeight="1">
      <x:c r="A353" s="13" t="str">
        <x:v>GOLD-KPI-304</x:v>
      </x:c>
      <x:c r="B353" s="13"/>
      <x:c r="C353" s="13" t="str">
        <x:v>Referrals With an Offer Variance</x:v>
      </x:c>
      <x:c r="D353" s="13" t="str">
        <x:v>Requirement association not established; owner review required.</x:v>
      </x:c>
      <x:c r="E353" s="13" t="str">
        <x:v>gold.dim_snapshot_month; gold.fact_referral_snapshot</x:v>
      </x:c>
      <x:c r="F35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KPI_LATEST_CALCULATIONS.md#business-referrals-with-an-offer-variance
DAX [Referrals With an Offer Variance]:
[Referrals With an Offer at Snapshot] - [Referrals With an Offer Previous Month]
Saved source: project X/reports/WIP/SM WMPP v16 updated WIP/SM_WMPP_v16.SemanticModel/definition/tables/_Measures.tmdl:575
Python/Spark SQL producer/reference spans: 05_gold_dimensions.py:390; 04_gold_model.py:567</x:v>
      </x:c>
      <x:c r="G353" s="13" t="str">
        <x:v>Referrals With an Offer Variance</x:v>
      </x:c>
      <x:c r="H353" s="13" t="str">
        <x:v>Section 11 - Current Business Reporting</x:v>
      </x:c>
      <x:c r="I353" s="30" t="n">
        <x:v>46312</x:v>
      </x:c>
    </x:row>
    <x:row r="354" ht="215" customHeight="1">
      <x:c r="A354" s="13" t="str">
        <x:v>GOLD-KPI-103</x:v>
      </x:c>
      <x:c r="B354" s="13"/>
      <x:c r="C354" s="13" t="str">
        <x:v>Referrals With Fully Signed IPA</x:v>
      </x:c>
      <x:c r="D354" s="13" t="str">
        <x:v>Requirement association not established; owner review required.</x:v>
      </x:c>
      <x:c r="E354" s="13" t="str">
        <x:v>gold.fact_ipa</x:v>
      </x:c>
      <x:c r="F35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KPI_LATEST_CALCULATIONS.md#business-referrals-with-fully-signed-ipa
DAX [Referrals With Fully Signed IPA]:
CALCULATE ( DISTINCTCOUNT ( 'fact_ipa'[referral_id] ), KEEPFILTERS ( 'fact_ipa'[is_ipa_completed] = TRUE () ) )
Saved source: project X/reports/WIP/SM WMPP v16 updated WIP/SM_WMPP_v16.SemanticModel/definition/tables/_Measures.tmdl:1204
Python/Spark SQL producer/reference spans: 04_gold_model.py:817</x:v>
      </x:c>
      <x:c r="G354" s="13" t="str">
        <x:v>Referrals With Fully Signed IPA</x:v>
      </x:c>
      <x:c r="H354" s="13" t="str">
        <x:v>Section 11 - Current Business Reporting</x:v>
      </x:c>
      <x:c r="I354" s="30" t="n">
        <x:v>46260</x:v>
      </x:c>
    </x:row>
    <x:row r="355" ht="189" customHeight="1">
      <x:c r="A355" s="13" t="str">
        <x:v>GOLD-KPI-305</x:v>
      </x:c>
      <x:c r="B355" s="13"/>
      <x:c r="C355" s="13" t="str">
        <x:v>Referrals With IPA</x:v>
      </x:c>
      <x:c r="D355" s="13" t="str">
        <x:v>Requirement association not established; owner review required.</x:v>
      </x:c>
      <x:c r="E355" s="13" t="str">
        <x:v>gold.fact_ipa</x:v>
      </x:c>
      <x:c r="F35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KPI_LATEST_CALCULATIONS.md#business-referrals-with-ipa
DAX [Referrals With IPA]:
DISTINCTCOUNT ( 'fact_ipa'[referral_id] )
Saved source: project X/reports/WIP/SM WMPP v16 updated WIP/SM_WMPP_v16.SemanticModel/definition/tables/_Measures.tmdl:1211
Python/Spark SQL producer/reference spans: 04_gold_model.py:817</x:v>
      </x:c>
      <x:c r="G355" s="13" t="str">
        <x:v>Referrals With IPA</x:v>
      </x:c>
      <x:c r="H355" s="13" t="str">
        <x:v>Section 11 - Current Business Reporting</x:v>
      </x:c>
      <x:c r="I355" s="30" t="n">
        <x:v>46312</x:v>
      </x:c>
    </x:row>
    <x:row r="356" ht="306" customHeight="1">
      <x:c r="A356" s="13" t="str">
        <x:v>GOLD-KPI-031</x:v>
      </x:c>
      <x:c r="B356" s="13" t="str">
        <x:v>[R35]</x:v>
      </x:c>
      <x:c r="C356" s="13" t="str">
        <x:v>Referrals with IPA at Snapshot</x:v>
      </x:c>
      <x:c r="D356" s="13" t="str">
        <x:v>Proposed requirement association; owner approval pending.</x:v>
      </x:c>
      <x:c r="E356" s="13" t="str">
        <x:v>gold.fact_referral_snapshot</x:v>
      </x:c>
      <x:c r="F35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KPI_LATEST_CALCULATIONS.md#business-referrals-with-ipa-at-snapshot
DAX [Referrals with IPA at Snapshot]:
CALCULATE (
[Snapshot Referrals],
FILTER (
'fact_referral_snapshot',
NOT ISBLANK ( 'fact_referral_snapshot'[ipa_issued_date] )
&amp;&amp; 'fact_referral_snapshot'[ipa_issued_date] &lt; 'fact_referral_snapshot'[snapshot_date] + 1
)
)
Saved source: project X/reports/WIP/SM WMPP v16 updated WIP/SM_WMPP_v16.SemanticModel/definition/tables/_Measures.tmdl:883
Python/Spark SQL producer/reference spans: 04_gold_model.py:567</x:v>
      </x:c>
      <x:c r="G356" s="13" t="str">
        <x:v>Referrals with IPA at Snapshot</x:v>
      </x:c>
      <x:c r="H356" s="13" t="str">
        <x:v>Section 11 - Current Business Reporting</x:v>
      </x:c>
      <x:c r="I356" s="30" t="n">
        <x:v>46260</x:v>
      </x:c>
    </x:row>
    <x:row r="357" ht="215" customHeight="1">
      <x:c r="A357" s="13" t="str">
        <x:v>GOLD-KPI-306</x:v>
      </x:c>
      <x:c r="B357" s="13"/>
      <x:c r="C357" s="13" t="str">
        <x:v>Referrals With IPA Pending Signature</x:v>
      </x:c>
      <x:c r="D357" s="13" t="str">
        <x:v>Requirement association not established; owner review required.</x:v>
      </x:c>
      <x:c r="E357" s="13" t="str">
        <x:v>gold.fact_ipa</x:v>
      </x:c>
      <x:c r="F35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KPI_LATEST_CALCULATIONS.md#business-referrals-with-ipa-pending-signature
DAX [Referrals With IPA Pending Signature]:
CALCULATE ( DISTINCTCOUNT ( 'fact_ipa'[referral_id] ), KEEPFILTERS ( 'fact_ipa'[is_ipa_pending] = TRUE () ) )
Saved source: project X/reports/WIP/SM WMPP v16 updated WIP/SM_WMPP_v16.SemanticModel/definition/tables/_Measures.tmdl:1395
Python/Spark SQL producer/reference spans: 04_gold_model.py:817</x:v>
      </x:c>
      <x:c r="G357" s="13" t="str">
        <x:v>Referrals With IPA Pending Signature</x:v>
      </x:c>
      <x:c r="H357" s="13" t="str">
        <x:v>Section 11 - Current Business Reporting</x:v>
      </x:c>
      <x:c r="I357" s="30" t="n">
        <x:v>46312</x:v>
      </x:c>
    </x:row>
    <x:row r="358" ht="202" customHeight="1">
      <x:c r="A358" s="13" t="str">
        <x:v>GOLD-KPI-106</x:v>
      </x:c>
      <x:c r="B358" s="13"/>
      <x:c r="C358" s="13" t="str">
        <x:v>Referrals With Lifecycle Activity</x:v>
      </x:c>
      <x:c r="D358" s="13" t="str">
        <x:v>Requirement association not established; owner review required.</x:v>
      </x:c>
      <x:c r="E358" s="13" t="str">
        <x:v>gold.fact_referral_lifecycle_event</x:v>
      </x:c>
      <x:c r="F35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KPI_LATEST_CALCULATIONS.md#business-referrals-with-lifecycle-activity
DAX [Referrals With Lifecycle Activity]:
DISTINCTCOUNT ( 'fact_referral_lifecycle_event'[referral_id] )
Saved source: project X/reports/WIP/SM WMPP v16 updated WIP/SM_WMPP_v16.SemanticModel/definition/tables/_Measures.tmdl:1518
Python/Spark SQL producer/reference spans: 04_gold_model.py:698</x:v>
      </x:c>
      <x:c r="G358" s="13" t="str">
        <x:v>Referrals With Lifecycle Activity</x:v>
      </x:c>
      <x:c r="H358" s="13" t="str">
        <x:v>Section 11 - Current Business Reporting</x:v>
      </x:c>
      <x:c r="I358" s="30" t="n">
        <x:v>46260</x:v>
      </x:c>
    </x:row>
    <x:row r="359" ht="228" customHeight="1">
      <x:c r="A359" s="13" t="str">
        <x:v>GOLD-KPI-307</x:v>
      </x:c>
      <x:c r="B359" s="13"/>
      <x:c r="C359" s="13" t="str">
        <x:v>Referrals with Missed Response Date</x:v>
      </x:c>
      <x:c r="D359" s="13" t="str">
        <x:v>Requirement association not established; owner review required.</x:v>
      </x:c>
      <x:c r="E359" s="13" t="str">
        <x:v>gold.fact_referral</x:v>
      </x:c>
      <x:c r="F35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KPI_LATEST_CALCULATIONS.md#business-referrals-with-missed-response-date
DAX [Referrals with Missed Response Date]:
CALCULATE ( [Total Referrals], 'fact_referral'[is_open] = FALSE (),  NOT(LOWER ( COALESCE ( 'fact_referral'[current_status], "" ) )
IN { "closed", "cancelled", "withdrawn", "completed" }))
Saved source: project X/reports/WIP/SM WMPP v16 updated WIP/SM_WMPP_v16.SemanticModel/definition/tables/_Measures.tmdl:1760
Python/Spark SQL producer/reference spans: 04_gold_model.py:232</x:v>
      </x:c>
      <x:c r="G359" s="13" t="str">
        <x:v>Referrals with Missed Response Date</x:v>
      </x:c>
      <x:c r="H359" s="13" t="str">
        <x:v>Section 11 - Current Business Reporting</x:v>
      </x:c>
      <x:c r="I359" s="30" t="n">
        <x:v>46312</x:v>
      </x:c>
    </x:row>
    <x:row r="360" ht="189" customHeight="1">
      <x:c r="A360" s="13" t="str">
        <x:v>GOLD-KPI-308</x:v>
      </x:c>
      <x:c r="B360" s="13"/>
      <x:c r="C360" s="13" t="str">
        <x:v>Referrals With Offers</x:v>
      </x:c>
      <x:c r="D360" s="13" t="str">
        <x:v>Requirement association not established; owner review required.</x:v>
      </x:c>
      <x:c r="E360" s="13" t="str">
        <x:v>gold.fact_referral</x:v>
      </x:c>
      <x:c r="F36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KPI_LATEST_CALCULATIONS.md#business-referrals-with-offers
DAX [Referrals With Offers]:
CALCULATE ( [Total Referrals], 'fact_referral'[has_offer] = TRUE () )
Saved source: project X/reports/WIP/SM WMPP v16 updated WIP/SM_WMPP_v16.SemanticModel/definition/tables/_Measures.tmdl:312
Python/Spark SQL producer/reference spans: 04_gold_model.py:232</x:v>
      </x:c>
      <x:c r="G360" s="13" t="str">
        <x:v>Referrals With Offers</x:v>
      </x:c>
      <x:c r="H360" s="13" t="str">
        <x:v>Section 11 - Current Business Reporting</x:v>
      </x:c>
      <x:c r="I360" s="30" t="n">
        <x:v>46312</x:v>
      </x:c>
    </x:row>
    <x:row r="361" ht="202" customHeight="1">
      <x:c r="A361" s="13" t="str">
        <x:v>GOLD-KPI-309</x:v>
      </x:c>
      <x:c r="B361" s="13"/>
      <x:c r="C361" s="13" t="str">
        <x:v>Referrals With Offers %</x:v>
      </x:c>
      <x:c r="D361" s="13" t="str">
        <x:v>Requirement association not established; owner review required.</x:v>
      </x:c>
      <x:c r="E361" s="13" t="str">
        <x:v>gold.fact_referral</x:v>
      </x:c>
      <x:c r="F36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KPI_LATEST_CALCULATIONS.md#business-referrals-with-offers-percent
DAX [Referrals With Offers %]:
DIVIDE( [Referrals With Offers], [Total Referrals])
Saved source: project X/reports/WIP/SM WMPP v16 updated WIP/SM_WMPP_v16.SemanticModel/definition/tables/_Measures.tmdl:1732
Python/Spark SQL producer/reference spans: 04_gold_model.py:232</x:v>
      </x:c>
      <x:c r="G361" s="13" t="str">
        <x:v>Referrals With Offers %</x:v>
      </x:c>
      <x:c r="H361" s="13" t="str">
        <x:v>Section 11 - Current Business Reporting</x:v>
      </x:c>
      <x:c r="I361" s="30" t="n">
        <x:v>46312</x:v>
      </x:c>
    </x:row>
    <x:row r="362" ht="215" customHeight="1">
      <x:c r="A362" s="13" t="str">
        <x:v>GOLD-KPI-006</x:v>
      </x:c>
      <x:c r="B362" s="13" t="str">
        <x:v>[R24,R26]</x:v>
      </x:c>
      <x:c r="C362" s="13" t="str">
        <x:v>Referrals Without Provider Assignment</x:v>
      </x:c>
      <x:c r="D362" s="13" t="str">
        <x:v>Proposed requirement association; owner approval pending.</x:v>
      </x:c>
      <x:c r="E362" s="13" t="str">
        <x:v>gold.fact_referral</x:v>
      </x:c>
      <x:c r="F36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KPI_LATEST_CALCULATIONS.md#business-referrals-without-provider-assignment
DAX [Referrals Without Provider Assignment]:
CALCULATE ( [Total Referrals], 'fact_referral'[is_not_seen_by_providers] = TRUE () )
Saved source: project X/reports/WIP/SM WMPP v16 updated WIP/SM_WMPP_v16.SemanticModel/definition/tables/_Measures.tmdl:904
Python/Spark SQL producer/reference spans: 04_gold_model.py:232</x:v>
      </x:c>
      <x:c r="G362" s="13" t="str">
        <x:v>Referrals Without Provider Assignment</x:v>
      </x:c>
      <x:c r="H362" s="13" t="str">
        <x:v>Section 11 - Current Business Reporting</x:v>
      </x:c>
      <x:c r="I362" s="30" t="n">
        <x:v>46260</x:v>
      </x:c>
    </x:row>
    <x:row r="363" ht="215" customHeight="1">
      <x:c r="A363" s="13" t="str">
        <x:v>GOLD-KPI-310</x:v>
      </x:c>
      <x:c r="B363" s="13"/>
      <x:c r="C363" s="13" t="str">
        <x:v>Requirements catalogued</x:v>
      </x:c>
      <x:c r="D363" s="13" t="str">
        <x:v>Requirement association not established; owner review required.</x:v>
      </x:c>
      <x:c r="E363" s="13" t="str">
        <x:v>Model/calculated context; no physical notebook source asserted.</x:v>
      </x:c>
      <x:c r="F363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KPI_LATEST_CALCULATIONS.md#business-requirements-catalogued
DAX [Requirements catalogued]:
DISTINCTCOUNTNOBLANK('ref_RID'[Req ID])
Saved source: project X/reports/WIP/SM WMPP v16 updated WIP/SM_WMPP_v16.SemanticModel/definition/tables/_Report Journey Measures.tmdl:303
Python/Spark SQL producer/reference spans: No direct notebook producer asserted; see calculated/model context.</x:v>
      </x:c>
      <x:c r="G363" s="13" t="str">
        <x:v>Requirements catalogued</x:v>
      </x:c>
      <x:c r="H363" s="13" t="str">
        <x:v>Section 11 - Current Business Reporting</x:v>
      </x:c>
      <x:c r="I363" s="30" t="n">
        <x:v>46312</x:v>
      </x:c>
    </x:row>
    <x:row r="364" ht="228" customHeight="1">
      <x:c r="A364" s="13" t="str">
        <x:v>GOLD-KPI-311</x:v>
      </x:c>
      <x:c r="B364" s="13"/>
      <x:c r="C364" s="13" t="str">
        <x:v>Requirements linked to KPIs</x:v>
      </x:c>
      <x:c r="D364" s="13" t="str">
        <x:v>Requirement association not established; owner review required.</x:v>
      </x:c>
      <x:c r="E364" s="13" t="str">
        <x:v>Model/calculated context; no physical notebook source asserted.</x:v>
      </x:c>
      <x:c r="F364" s="13" t="str">
        <x:v>Business metric. Action metric, scoring evidence component or catalogue count
Latest saved source reviewed 17 October 2026. Static definition verified; refresh, role/context reconciliation and UAT remain pending.
Full current logic: KPI_LATEST_CALCULATIONS.md#business-requirements-linked-to-kpis
DAX [Requirements linked to KPIs]:
COUNTROWS(INTERSECT(VALUES('ref_RID'[Req ID]), VALUES('ref_KPI_RID_Linkage'[Req ID])))
Saved source: project X/reports/WIP/SM WMPP v16 updated WIP/SM_WMPP_v16.SemanticModel/definition/tables/_Report Journey Measures.tmdl:308
Python/Spark SQL producer/reference spans: No direct notebook producer asserted; see calculated/model context.</x:v>
      </x:c>
      <x:c r="G364" s="13" t="str">
        <x:v>Requirements linked to KPIs</x:v>
      </x:c>
      <x:c r="H364" s="13" t="str">
        <x:v>Section 11 - Current Business Reporting</x:v>
      </x:c>
      <x:c r="I364" s="30" t="n">
        <x:v>46312</x:v>
      </x:c>
    </x:row>
    <x:row r="365" ht="306" customHeight="1">
      <x:c r="A365" s="13" t="str">
        <x:v>GOLD-KPI-312</x:v>
      </x:c>
      <x:c r="B365" s="13"/>
      <x:c r="C365" s="13" t="str">
        <x:v>Snapshot Placement Target Hit Rate</x:v>
      </x:c>
      <x:c r="D365" s="13" t="str">
        <x:v>Requirement association not established; owner review required.</x:v>
      </x:c>
      <x:c r="E365" s="13" t="str">
        <x:v>gold.fact_referral_snapshot</x:v>
      </x:c>
      <x:c r="F36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KPI_LATEST_CALCULATIONS.md#business-snapshot-placement-target-hit-rate
DAX [Snapshot Placement Target Hit Rate]:
DIVIDE (
[Snapshot Referrals Placed by Required Date],
CALCULATE (
[Snapshot Referrals],
FILTER (
'fact_referral_snapshot',
NOT ISBLANK ( 'fact_referral_snapshot'[ipa_issued_date] )
[EXCERPT; exact complete expression and dependencies in linked current calculation document]
Saved source: project X/reports/WIP/SM WMPP v16 updated WIP/SM_WMPP_v16.SemanticModel/definition/tables/_Measures.tmdl:1739
Python/Spark SQL producer/reference spans: 04_gold_model.py:567</x:v>
      </x:c>
      <x:c r="G365" s="13" t="str">
        <x:v>Snapshot Placement Target Hit Rate</x:v>
      </x:c>
      <x:c r="H365" s="13" t="str">
        <x:v>Section 11 - Current Business Reporting</x:v>
      </x:c>
      <x:c r="I365" s="30" t="n">
        <x:v>46312</x:v>
      </x:c>
    </x:row>
    <x:row r="366" ht="189" customHeight="1">
      <x:c r="A366" s="13" t="str">
        <x:v>GOLD-KPI-028</x:v>
      </x:c>
      <x:c r="B366" s="13" t="str">
        <x:v>[R24,R52]</x:v>
      </x:c>
      <x:c r="C366" s="13" t="str">
        <x:v>Snapshot Referrals</x:v>
      </x:c>
      <x:c r="D366" s="13" t="str">
        <x:v>Proposed requirement association; owner approval pending.</x:v>
      </x:c>
      <x:c r="E366" s="13" t="str">
        <x:v>gold.fact_referral_snapshot</x:v>
      </x:c>
      <x:c r="F36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KPI_LATEST_CALCULATIONS.md#business-snapshot-referrals
DAX [Snapshot Referrals]:
DISTINCTCOUNT ( 'fact_referral_snapshot'[referral_id] )
Saved source: project X/reports/WIP/SM WMPP v16 updated WIP/SM_WMPP_v16.SemanticModel/definition/tables/_Measures.tmdl:700
Python/Spark SQL producer/reference spans: 04_gold_model.py:567</x:v>
      </x:c>
      <x:c r="G366" s="13" t="str">
        <x:v>Snapshot Referrals</x:v>
      </x:c>
      <x:c r="H366" s="13" t="str">
        <x:v>Section 11 - Current Business Reporting</x:v>
      </x:c>
      <x:c r="I366" s="30" t="n">
        <x:v>46260</x:v>
      </x:c>
    </x:row>
    <x:row r="367" ht="215" customHeight="1">
      <x:c r="A367" s="13" t="str">
        <x:v>GOLD-KPI-313</x:v>
      </x:c>
      <x:c r="B367" s="13"/>
      <x:c r="C367" s="13" t="str">
        <x:v>Snapshot Referrals Placed by Required Date</x:v>
      </x:c>
      <x:c r="D367" s="13" t="str">
        <x:v>Requirement association not established; owner review required.</x:v>
      </x:c>
      <x:c r="E367" s="13" t="str">
        <x:v>gold.fact_referral_snapshot</x:v>
      </x:c>
      <x:c r="F36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KPI_LATEST_CALCULATIONS.md#business-snapshot-referrals-placed-by-required-date
DAX [Snapshot Referrals Placed by Required Date]:
CALCULATE ( [Snapshot Referrals], 'fact_referral_snapshot'[placed_by_required_date] = TRUE () )
Saved source: project X/reports/WIP/SM WMPP v16 updated WIP/SM_WMPP_v16.SemanticModel/definition/tables/_Measures.tmdl:1755
Python/Spark SQL producer/reference spans: 04_gold_model.py:567</x:v>
      </x:c>
      <x:c r="G367" s="13" t="str">
        <x:v>Snapshot Referrals Placed by Required Date</x:v>
      </x:c>
      <x:c r="H367" s="13" t="str">
        <x:v>Section 11 - Current Business Reporting</x:v>
      </x:c>
      <x:c r="I367" s="30" t="n">
        <x:v>46312</x:v>
      </x:c>
    </x:row>
    <x:row r="368" ht="202" customHeight="1">
      <x:c r="A368" s="13" t="str">
        <x:v>GOLD-KPI-062</x:v>
      </x:c>
      <x:c r="B368" s="13"/>
      <x:c r="C368" s="13" t="str">
        <x:v>Spot Offer Rate</x:v>
      </x:c>
      <x:c r="D368" s="13" t="str">
        <x:v>Requirement association not established; owner review required.</x:v>
      </x:c>
      <x:c r="E368" s="13" t="str">
        <x:v>gold.dim_provider_home; gold.fact_offer</x:v>
      </x:c>
      <x:c r="F36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KPI_LATEST_CALCULATIONS.md#business-spot-offer-rate
DAX [Spot Offer Rate]:
DIVIDE ( [Spot Offers], [Non-Draft Offers] )
Saved source: project X/reports/WIP/SM WMPP v16 updated WIP/SM_WMPP_v16.SemanticModel/definition/tables/_Measures.tmdl:1439
Python/Spark SQL producer/reference spans: 04_gold_model.py:712; 05_gold_dimensions.py:163</x:v>
      </x:c>
      <x:c r="G368" s="13" t="str">
        <x:v>Spot Offer Rate</x:v>
      </x:c>
      <x:c r="H368" s="13" t="str">
        <x:v>Section 11 - Current Business Reporting</x:v>
      </x:c>
      <x:c r="I368" s="30" t="n">
        <x:v>46260</x:v>
      </x:c>
    </x:row>
    <x:row r="369" ht="215" customHeight="1">
      <x:c r="A369" s="13" t="str">
        <x:v>GOLD-KPI-060</x:v>
      </x:c>
      <x:c r="B369" s="13"/>
      <x:c r="C369" s="13" t="str">
        <x:v>Spot Offers</x:v>
      </x:c>
      <x:c r="D369" s="13" t="str">
        <x:v>Requirement association not established; owner review required.</x:v>
      </x:c>
      <x:c r="E369" s="13" t="str">
        <x:v>gold.dim_provider_home; gold.fact_offer</x:v>
      </x:c>
      <x:c r="F36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KPI_LATEST_CALCULATIONS.md#business-spot-offers
DAX [Spot Offers]:
CALCULATE ( [Non-Draft Offers], 'dim_provider_home (offer)'[is_spot] = TRUE () )
Saved source: project X/reports/WIP/SM WMPP v16 updated WIP/SM_WMPP_v16.SemanticModel/definition/tables/_Measures.tmdl:370
Python/Spark SQL producer/reference spans: 04_gold_model.py:712; 05_gold_dimensions.py:163</x:v>
      </x:c>
      <x:c r="G369" s="13" t="str">
        <x:v>Spot Offers</x:v>
      </x:c>
      <x:c r="H369" s="13" t="str">
        <x:v>Section 11 - Current Business Reporting</x:v>
      </x:c>
      <x:c r="I369" s="30" t="n">
        <x:v>46260</x:v>
      </x:c>
    </x:row>
    <x:row r="370" ht="306" customHeight="1">
      <x:c r="A370" s="13" t="str">
        <x:v>GOLD-KPI-314</x:v>
      </x:c>
      <x:c r="B370" s="13"/>
      <x:c r="C370" s="13" t="str">
        <x:v>Target Hit Rate at Snapshot</x:v>
      </x:c>
      <x:c r="D370" s="13" t="str">
        <x:v>Requirement association not established; owner review required.</x:v>
      </x:c>
      <x:c r="E370" s="13" t="str">
        <x:v>gold.fact_referral_snapshot</x:v>
      </x:c>
      <x:c r="F37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KPI_LATEST_CALCULATIONS.md#business-target-hit-rate-at-snapshot
DAX [Target Hit Rate at Snapshot]:
DIVIDE (
[Referrals Placed by Target at Snapshot],
CALCULATE (
[Snapshot Referrals],
FILTER (
'fact_referral_snapshot',
NOT ISBLANK ( 'fact_referral_snapshot'[ipa_issued_date] )
[EXCERPT; exact complete expression and dependencies in linked current calculation document]
Saved source: project X/reports/WIP/SM WMPP v16 updated WIP/SM_WMPP_v16.SemanticModel/definition/tables/_Measures.tmdl:845
Python/Spark SQL producer/reference spans: 04_gold_model.py:567</x:v>
      </x:c>
      <x:c r="G370" s="13" t="str">
        <x:v>Target Hit Rate at Snapshot</x:v>
      </x:c>
      <x:c r="H370" s="13" t="str">
        <x:v>Section 11 - Current Business Reporting</x:v>
      </x:c>
      <x:c r="I370" s="30" t="n">
        <x:v>46312</x:v>
      </x:c>
    </x:row>
    <x:row r="371" ht="189" customHeight="1">
      <x:c r="A371" s="13" t="str">
        <x:v>GOLD-KPI-098</x:v>
      </x:c>
      <x:c r="B371" s="13"/>
      <x:c r="C371" s="13" t="str">
        <x:v>Total IPA Weekly Cost</x:v>
      </x:c>
      <x:c r="D371" s="13" t="str">
        <x:v>Requirement association not established; owner review required.</x:v>
      </x:c>
      <x:c r="E371" s="13" t="str">
        <x:v>gold.fact_ipa</x:v>
      </x:c>
      <x:c r="F37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KPI_LATEST_CALCULATIONS.md#business-total-ipa-weekly-cost
DAX [Total IPA Weekly Cost]:
SUM ( 'fact_ipa'[estimated_weekly_cost] )
Saved source: project X/reports/WIP/SM WMPP v16 updated WIP/SM_WMPP_v16.SemanticModel/definition/tables/_Measures.tmdl:1188
Python/Spark SQL producer/reference spans: 04_gold_model.py:817</x:v>
      </x:c>
      <x:c r="G371" s="13" t="str">
        <x:v>Total IPA Weekly Cost</x:v>
      </x:c>
      <x:c r="H371" s="13" t="str">
        <x:v>Section 11 - Current Business Reporting</x:v>
      </x:c>
      <x:c r="I371" s="30" t="n">
        <x:v>46260</x:v>
      </x:c>
    </x:row>
    <x:row r="372" ht="189" customHeight="1">
      <x:c r="A372" s="13" t="str">
        <x:v>GOLD-KPI-315</x:v>
      </x:c>
      <x:c r="B372" s="13"/>
      <x:c r="C372" s="13" t="str">
        <x:v>Total Lifetime Cost</x:v>
      </x:c>
      <x:c r="D372" s="13" t="str">
        <x:v>Requirement association not established; owner review required.</x:v>
      </x:c>
      <x:c r="E372" s="13" t="str">
        <x:v>gold.fact_ipa</x:v>
      </x:c>
      <x:c r="F372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KPI_LATEST_CALCULATIONS.md#business-total-lifetime-cost
DAX [Total Lifetime Cost]:
CALCULATE ( [Lifetime Placement Cost], REMOVEFILTERS ( 'fact_ipa' ) )
Saved source: project X/reports/WIP/SM WMPP v16 updated WIP/SM_WMPP_v16.SemanticModel/definition/tables/_Measures.tmdl:1710
Python/Spark SQL producer/reference spans: 04_gold_model.py:817</x:v>
      </x:c>
      <x:c r="G372" s="13" t="str">
        <x:v>Total Lifetime Cost</x:v>
      </x:c>
      <x:c r="H372" s="13" t="str">
        <x:v>Section 11 - Current Business Reporting</x:v>
      </x:c>
      <x:c r="I372" s="30" t="n">
        <x:v>46312</x:v>
      </x:c>
    </x:row>
    <x:row r="373" ht="202" customHeight="1">
      <x:c r="A373" s="13" t="str">
        <x:v>GOLD-KPI-316</x:v>
      </x:c>
      <x:c r="B373" s="13"/>
      <x:c r="C373" s="13" t="str">
        <x:v>Total Offers at Snapshot</x:v>
      </x:c>
      <x:c r="D373" s="13" t="str">
        <x:v>Requirement association not established; owner review required.</x:v>
      </x:c>
      <x:c r="E373" s="13" t="str">
        <x:v>gold.fact_referral_snapshot</x:v>
      </x:c>
      <x:c r="F37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KPI_LATEST_CALCULATIONS.md#business-total-offers-at-snapshot
DAX [Total Offers at Snapshot]:
SUM ( 'fact_referral_snapshot'[offer_count] )
Saved source: project X/reports/WIP/SM WMPP v16 updated WIP/SM_WMPP_v16.SemanticModel/definition/tables/_Measures.tmdl:749
Python/Spark SQL producer/reference spans: 04_gold_model.py:567</x:v>
      </x:c>
      <x:c r="G373" s="13" t="str">
        <x:v>Total Offers at Snapshot</x:v>
      </x:c>
      <x:c r="H373" s="13" t="str">
        <x:v>Section 11 - Current Business Reporting</x:v>
      </x:c>
      <x:c r="I373" s="30" t="n">
        <x:v>46312</x:v>
      </x:c>
    </x:row>
    <x:row r="374" ht="228" customHeight="1">
      <x:c r="A374" s="13" t="str">
        <x:v>GOLD-KPI-317</x:v>
      </x:c>
      <x:c r="B374" s="13"/>
      <x:c r="C374" s="13" t="str">
        <x:v>Total Offers Made Previous Month</x:v>
      </x:c>
      <x:c r="D374" s="13" t="str">
        <x:v>Requirement association not established; owner review required.</x:v>
      </x:c>
      <x:c r="E374" s="13" t="str">
        <x:v>gold.dim_snapshot_month; gold.fact_referral_snapshot</x:v>
      </x:c>
      <x:c r="F37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KPI_LATEST_CALCULATIONS.md#business-total-offers-made-previous-month
DAX [Total Offers Made Previous Month]:
CALCULATE ( [Total Offers at Snapshot], DATEADD ( 'dim_snapshot_month'[month_start], -1, MONTH ) )
Saved source: project X/reports/WIP/SM WMPP v16 updated WIP/SM_WMPP_v16.SemanticModel/definition/tables/_Measures.tmdl:550
Python/Spark SQL producer/reference spans: 05_gold_dimensions.py:390; 04_gold_model.py:567</x:v>
      </x:c>
      <x:c r="G374" s="13" t="str">
        <x:v>Total Offers Made Previous Month</x:v>
      </x:c>
      <x:c r="H374" s="13" t="str">
        <x:v>Section 11 - Current Business Reporting</x:v>
      </x:c>
      <x:c r="I374" s="30" t="n">
        <x:v>46312</x:v>
      </x:c>
    </x:row>
    <x:row r="375" ht="215" customHeight="1">
      <x:c r="A375" s="13" t="str">
        <x:v>GOLD-KPI-318</x:v>
      </x:c>
      <x:c r="B375" s="13"/>
      <x:c r="C375" s="13" t="str">
        <x:v>Total Offers Made Variance</x:v>
      </x:c>
      <x:c r="D375" s="13" t="str">
        <x:v>Requirement association not established; owner review required.</x:v>
      </x:c>
      <x:c r="E375" s="13" t="str">
        <x:v>gold.dim_snapshot_month; gold.fact_referral_snapshot</x:v>
      </x:c>
      <x:c r="F375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KPI_LATEST_CALCULATIONS.md#business-total-offers-made-variance
DAX [Total Offers Made Variance]:
[Total Offers at Snapshot] - [Total Offers Made Previous Month]
Saved source: project X/reports/WIP/SM WMPP v16 updated WIP/SM_WMPP_v16.SemanticModel/definition/tables/_Measures.tmdl:580
Python/Spark SQL producer/reference spans: 05_gold_dimensions.py:390; 04_gold_model.py:567</x:v>
      </x:c>
      <x:c r="G375" s="13" t="str">
        <x:v>Total Offers Made Variance</x:v>
      </x:c>
      <x:c r="H375" s="13" t="str">
        <x:v>Section 11 - Current Business Reporting</x:v>
      </x:c>
      <x:c r="I375" s="30" t="n">
        <x:v>46312</x:v>
      </x:c>
    </x:row>
    <x:row r="376" ht="215" customHeight="1">
      <x:c r="A376" s="13" t="str">
        <x:v>GOLD-KPI-319</x:v>
      </x:c>
      <x:c r="B376" s="13"/>
      <x:c r="C376" s="13" t="str">
        <x:v>Total Referrals MoM %</x:v>
      </x:c>
      <x:c r="D376" s="13" t="str">
        <x:v>Requirement association not established; owner review required.</x:v>
      </x:c>
      <x:c r="E376" s="13" t="str">
        <x:v>gold.dim_date; gold.fact_referral</x:v>
      </x:c>
      <x:c r="F376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KPI_LATEST_CALCULATIONS.md#business-total-referrals-mom-percent
DAX [Total Referrals MoM %]:
DIVIDE ( [Total Referrals Variance], [Total Referrals Previous Month] )
Saved source: project X/reports/WIP/SM WMPP v16 updated WIP/SM_WMPP_v16.SemanticModel/definition/tables/_Measures.tmdl:1221
Python/Spark SQL producer/reference spans: 04_gold_model.py:232; 05_gold_dimensions.py:128</x:v>
      </x:c>
      <x:c r="G376" s="13" t="str">
        <x:v>Total Referrals MoM %</x:v>
      </x:c>
      <x:c r="H376" s="13" t="str">
        <x:v>Section 11 - Current Business Reporting</x:v>
      </x:c>
      <x:c r="I376" s="30" t="n">
        <x:v>46312</x:v>
      </x:c>
    </x:row>
    <x:row r="377" ht="215" customHeight="1">
      <x:c r="A377" s="13" t="str">
        <x:v>GOLD-KPI-320</x:v>
      </x:c>
      <x:c r="B377" s="13"/>
      <x:c r="C377" s="13" t="str">
        <x:v>Total Referrals Previous Month</x:v>
      </x:c>
      <x:c r="D377" s="13" t="str">
        <x:v>Requirement association not established; owner review required.</x:v>
      </x:c>
      <x:c r="E377" s="13" t="str">
        <x:v>gold.dim_date; gold.fact_referral</x:v>
      </x:c>
      <x:c r="F377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KPI_LATEST_CALCULATIONS.md#business-total-referrals-previous-month
DAX [Total Referrals Previous Month]:
CALCULATE ( [Total Referrals], DATEADD ( 'dim_date'[date], -1, MONTH ) )
Saved source: project X/reports/WIP/SM WMPP v16 updated WIP/SM_WMPP_v16.SemanticModel/definition/tables/_Measures.tmdl:620
Python/Spark SQL producer/reference spans: 04_gold_model.py:232; 05_gold_dimensions.py:128</x:v>
      </x:c>
      <x:c r="G377" s="13" t="str">
        <x:v>Total Referrals Previous Month</x:v>
      </x:c>
      <x:c r="H377" s="13" t="str">
        <x:v>Section 11 - Current Business Reporting</x:v>
      </x:c>
      <x:c r="I377" s="30" t="n">
        <x:v>46312</x:v>
      </x:c>
    </x:row>
    <x:row r="378" ht="254" customHeight="1">
      <x:c r="A378" s="13" t="str">
        <x:v>GOLD-KPI-321</x:v>
      </x:c>
      <x:c r="B378" s="13"/>
      <x:c r="C378" s="13" t="str">
        <x:v>Total Referrals That Received Offers (Ratio)</x:v>
      </x:c>
      <x:c r="D378" s="13" t="str">
        <x:v>Requirement association not established; owner review required.</x:v>
      </x:c>
      <x:c r="E378" s="13" t="str">
        <x:v>gold.fact_referral</x:v>
      </x:c>
      <x:c r="F378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KPI_LATEST_CALCULATIONS.md#business-total-referrals-that-received-offers-ratio
DAX [Total Referrals That Received Offers (Ratio)]:
DIVIDE(
[Referrals With Offers],
[Total Referrals],
0
)
Saved source: project X/reports/WIP/SM WMPP v16 updated WIP/SM_WMPP_v16.SemanticModel/definition/tables/_Measures.tmdl:317
Python/Spark SQL producer/reference spans: 04_gold_model.py:232</x:v>
      </x:c>
      <x:c r="G378" s="13" t="str">
        <x:v>Total Referrals That Received Offers (Ratio)</x:v>
      </x:c>
      <x:c r="H378" s="13" t="str">
        <x:v>Section 11 - Current Business Reporting</x:v>
      </x:c>
      <x:c r="I378" s="30" t="n">
        <x:v>46312</x:v>
      </x:c>
    </x:row>
    <x:row r="379" ht="228" customHeight="1">
      <x:c r="A379" s="13" t="str">
        <x:v>GOLD-KPI-322</x:v>
      </x:c>
      <x:c r="B379" s="13"/>
      <x:c r="C379" s="13" t="str">
        <x:v>Total Referrals That Received Offers Previous Month</x:v>
      </x:c>
      <x:c r="D379" s="13" t="str">
        <x:v>Requirement association not established; owner review required.</x:v>
      </x:c>
      <x:c r="E379" s="13" t="str">
        <x:v>gold.dim_date; gold.fact_referral</x:v>
      </x:c>
      <x:c r="F379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KPI_LATEST_CALCULATIONS.md#business-total-referrals-that-received-offers-previous-month
DAX [Total Referrals That Received Offers Previous Month]:
CALCULATE ([Total Referrals That Received Offers (Ratio)], DATEADD(dim_date[Date],-1,MONTH))
Saved source: project X/reports/WIP/SM WMPP v16 updated WIP/SM_WMPP_v16.SemanticModel/definition/tables/_Measures.tmdl:604
Python/Spark SQL producer/reference spans: 04_gold_model.py:232; 05_gold_dimensions.py:128</x:v>
      </x:c>
      <x:c r="G379" s="13" t="str">
        <x:v>Total Referrals That Received Offers Previous Month</x:v>
      </x:c>
      <x:c r="H379" s="13" t="str">
        <x:v>Section 11 - Current Business Reporting</x:v>
      </x:c>
      <x:c r="I379" s="30" t="n">
        <x:v>46312</x:v>
      </x:c>
    </x:row>
    <x:row r="380" ht="228" customHeight="1">
      <x:c r="A380" s="13" t="str">
        <x:v>GOLD-KPI-323</x:v>
      </x:c>
      <x:c r="B380" s="13"/>
      <x:c r="C380" s="13" t="str">
        <x:v>Total Referrals That Received Offers Variance</x:v>
      </x:c>
      <x:c r="D380" s="13" t="str">
        <x:v>Requirement association not established; owner review required.</x:v>
      </x:c>
      <x:c r="E380" s="13" t="str">
        <x:v>gold.dim_date; gold.fact_referral</x:v>
      </x:c>
      <x:c r="F380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KPI_LATEST_CALCULATIONS.md#business-total-referrals-that-received-offers-variance
DAX [Total Referrals That Received Offers Variance]:
[Total Referrals That Received Offers (Ratio)]-[Total Referrals That Received Offers Previous Month]
Saved source: project X/reports/WIP/SM WMPP v16 updated WIP/SM_WMPP_v16.SemanticModel/definition/tables/_Measures.tmdl:610
Python/Spark SQL producer/reference spans: 04_gold_model.py:232; 05_gold_dimensions.py:128</x:v>
      </x:c>
      <x:c r="G380" s="13" t="str">
        <x:v>Total Referrals That Received Offers Variance</x:v>
      </x:c>
      <x:c r="H380" s="13" t="str">
        <x:v>Section 11 - Current Business Reporting</x:v>
      </x:c>
      <x:c r="I380" s="30" t="n">
        <x:v>46312</x:v>
      </x:c>
    </x:row>
    <x:row r="381" ht="215" customHeight="1">
      <x:c r="A381" s="13" t="str">
        <x:v>GOLD-KPI-324</x:v>
      </x:c>
      <x:c r="B381" s="13"/>
      <x:c r="C381" s="13" t="str">
        <x:v>Total Referrals Variance</x:v>
      </x:c>
      <x:c r="D381" s="13" t="str">
        <x:v>Requirement association not established; owner review required.</x:v>
      </x:c>
      <x:c r="E381" s="13" t="str">
        <x:v>gold.dim_date; gold.fact_referral</x:v>
      </x:c>
      <x:c r="F381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KPI_LATEST_CALCULATIONS.md#business-total-referrals-variance
DAX [Total Referrals Variance]:
[Total Referrals] - [Total Referrals Previous Month]
Saved source: project X/reports/WIP/SM WMPP v16 updated WIP/SM_WMPP_v16.SemanticModel/definition/tables/_Measures.tmdl:625
Python/Spark SQL producer/reference spans: 04_gold_model.py:232; 05_gold_dimensions.py:128</x:v>
      </x:c>
      <x:c r="G381" s="13" t="str">
        <x:v>Total Referrals Variance</x:v>
      </x:c>
      <x:c r="H381" s="13" t="str">
        <x:v>Section 11 - Current Business Reporting</x:v>
      </x:c>
      <x:c r="I381" s="30" t="n">
        <x:v>46312</x:v>
      </x:c>
    </x:row>
    <x:row r="382" ht="319" customHeight="1">
      <x:c r="A382" s="13" t="str">
        <x:v>GOLD-KPI-325</x:v>
      </x:c>
      <x:c r="B382" s="13"/>
      <x:c r="C382" s="13" t="str">
        <x:v>Under offer</x:v>
      </x:c>
      <x:c r="D382" s="13" t="str">
        <x:v>Requirement association not established; owner review required.</x:v>
      </x:c>
      <x:c r="E382" s="13" t="str">
        <x:v>gold.bridge_referral_framework_category; gold.dim_framework_category; gold.fact_referral</x:v>
      </x:c>
      <x:c r="F382" s="13" t="str">
        <x:v>Business metric. Saved category-aware exploration metric
Latest saved source reviewed 17 October 2026. Static definition verified; refresh, role/context reconciliation and UAT remain pending.
Full current logic: KPI_LATEST_CALCULATIONS.md#business-under-offer
DAX [Under offer]:
VAR selectedCategories=VALUES('Referral Category'[Category ID])
VAR ids=CALCULATETABLE(VALUES('bridge_referral_framework_category'[referral_id]),TREATAS(selectedCategories,'bridge_referral_framework_category'[framework_category_id]))
RETURN IF(ISCROSSFILTERED('Referral Category'),CALCULATE([Referrals Under Offer],KEEPFILTERS(TREATAS(ids,'fact_referral'[referral_id]))),[Referrals Under Offer])
Saved source: project X/reports/WIP/SM WMPP v16 updated WIP/SM_WMPP_v16.SemanticModel/definition/tables/_Explore Measures.tmdl:28
Python/Spark SQL producer/reference spans: 05_gold_dimensions.py:179; 04_gold_model.py:232; 05_gold_dimensions.py:210
Calculated-table dependency: Referral Category. Complete saved partition logic is included in the calculation document.</x:v>
      </x:c>
      <x:c r="G382" s="13" t="str">
        <x:v>Under offer</x:v>
      </x:c>
      <x:c r="H382" s="13" t="str">
        <x:v>Section 11 - Current Business Reporting</x:v>
      </x:c>
      <x:c r="I382" s="30" t="n">
        <x:v>46312</x:v>
      </x:c>
    </x:row>
    <x:row r="383" ht="293" customHeight="1">
      <x:c r="A383" s="13" t="str">
        <x:v>GOLD-KPI-054</x:v>
      </x:c>
      <x:c r="B383" s="13" t="str">
        <x:v>[R28]</x:v>
      </x:c>
      <x:c r="C383" s="13" t="str">
        <x:v>Unsuccessful Offers</x:v>
      </x:c>
      <x:c r="D383" s="13" t="str">
        <x:v>Proposed requirement association; owner approval pending.</x:v>
      </x:c>
      <x:c r="E383" s="13" t="str">
        <x:v>gold.fact_offer</x:v>
      </x:c>
      <x:c r="F383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KPI_LATEST_CALCULATIONS.md#business-unsuccessful-offers
DAX [Unsuccessful Offers]:
CALCULATE (
[Offers Submitted],
FILTER (
'fact_offer',
LOWER ( COALESCE ( 'fact_offer'[offer_status], "" ) )
IN { "declined", "rejected", "withdrawn", "offer_unsuccessful", "offer_withdrawn" }
)
)
Saved source: project X/reports/WIP/SM WMPP v16 updated WIP/SM_WMPP_v16.SemanticModel/definition/tables/_Measures.tmdl:1578
Python/Spark SQL producer/reference spans: 04_gold_model.py:712</x:v>
      </x:c>
      <x:c r="G383" s="13" t="str">
        <x:v>Unsuccessful Offers</x:v>
      </x:c>
      <x:c r="H383" s="13" t="str">
        <x:v>Section 11 - Current Business Reporting</x:v>
      </x:c>
      <x:c r="I383" s="30" t="n">
        <x:v>46260</x:v>
      </x:c>
    </x:row>
    <x:row r="384" ht="267" customHeight="1">
      <x:c r="A384" s="13" t="str">
        <x:v>GOLD-KPI-326</x:v>
      </x:c>
      <x:c r="B384" s="13"/>
      <x:c r="C384" s="13" t="str">
        <x:v>Unsuccessful Offers (Under Offer Referrals)</x:v>
      </x:c>
      <x:c r="D384" s="13" t="str">
        <x:v>Requirement association not established; owner review required.</x:v>
      </x:c>
      <x:c r="E384" s="13" t="str">
        <x:v>gold.fact_offer; gold.fact_referral</x:v>
      </x:c>
      <x:c r="F384" s="13" t="str">
        <x:v>Business metric. Saved business count, rate, duration, cost or comparison
Latest saved source reviewed 17 October 2026. Static definition verified; refresh, role/context reconciliation and UAT remain pending.
Full current logic: KPI_LATEST_CALCULATIONS.md#business-unsuccessful-offers-under-offer-referrals
DAX [Unsuccessful Offers (Under Offer Referrals)]:
CALCULATE (
[Unsuccessful Offers],
FILTER ( 'fact_referral', 'fact_referral'[is_open] = TRUE () &amp;&amp; 'fact_referral'[current_status] = "UNDER_OFFER" )
)
Saved source: project X/reports/WIP/SM WMPP v16 updated WIP/SM_WMPP_v16.SemanticModel/definition/tables/_Measures.tmdl:46
Python/Spark SQL producer/reference spans: 04_gold_model.py:232; 04_gold_model.py:712</x:v>
      </x:c>
      <x:c r="G384" s="13" t="str">
        <x:v>Unsuccessful Offers (Under Offer Referrals)</x:v>
      </x:c>
      <x:c r="H384" s="13" t="str">
        <x:v>Section 11 - Current Business Reporting</x:v>
      </x:c>
      <x:c r="I384" s="30" t="n">
        <x:v>46312</x:v>
      </x:c>
    </x:row>
    <x:row r="385" ht="215" customHeight="1">
      <x:c r="A385" s="13" t="str">
        <x:v>MC-KPI-001</x:v>
      </x:c>
      <x:c r="B385" s="13"/>
      <x:c r="C385" s="13" t="str">
        <x:v>Active DQ Rules</x:v>
      </x:c>
      <x:c r="D385" s="13" t="str">
        <x:v>Requirement association not established; owner review required.</x:v>
      </x:c>
      <x:c r="E385" s="13" t="str">
        <x:v>monitoring.cfg_data_quality_rule</x:v>
      </x:c>
      <x:c r="F38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KPI_LATEST_CALCULATIONS.md#mission-active-dq-rules
DAX [Active DQ Rules]:
COUNTROWS ( FILTER ( 'cfg_data_quality_rule', UPPER ( COALESCE ( 'cfg_data_quality_rule'[active], "" ) ) IN { "TRUE", "Y", "1" } ) )
Saved source: project X/reports/WIP/SM WMPP Mission Control/SM WMPP Mission Control.SemanticModel/definition/tables/_MissionControl_Measures.tmdl:473
Python/Spark SQL producer/reference spans: 03_silver_business_rules.py:133</x:v>
      </x:c>
      <x:c r="G385" s="13" t="str">
        <x:v>Active DQ Rules</x:v>
      </x:c>
      <x:c r="H385" s="13" t="str">
        <x:v>Section 12 - Mission Control</x:v>
      </x:c>
      <x:c r="I385" s="30" t="n">
        <x:v>46312</x:v>
      </x:c>
    </x:row>
    <x:row r="386" ht="215" customHeight="1">
      <x:c r="A386" s="13" t="str">
        <x:v>MC-KPI-002</x:v>
      </x:c>
      <x:c r="B386" s="13"/>
      <x:c r="C386" s="13" t="str">
        <x:v>Archive Export Rows</x:v>
      </x:c>
      <x:c r="D386" s="13" t="str">
        <x:v>Requirement association not established; owner review required.</x:v>
      </x:c>
      <x:c r="E386" s="13" t="str">
        <x:v>monitoring.cfg_archive_table_export_load</x:v>
      </x:c>
      <x:c r="F38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KPI_LATEST_CALCULATIONS.md#mission-archive-export-rows
DAX [Archive Export Rows]:
SUM ( 'cfg_archive_table_export_load'[row_count] )
Saved source: project X/reports/WIP/SM WMPP Mission Control/SM WMPP Mission Control.SemanticModel/definition/tables/_MissionControl_Measures.tmdl:329
Python/Spark SQL producer/reference spans: No direct notebook producer asserted; see calculated/model context.</x:v>
      </x:c>
      <x:c r="G386" s="13" t="str">
        <x:v>Archive Export Rows</x:v>
      </x:c>
      <x:c r="H386" s="13" t="str">
        <x:v>Section 12 - Mission Control</x:v>
      </x:c>
      <x:c r="I386" s="30" t="n">
        <x:v>46312</x:v>
      </x:c>
    </x:row>
    <x:row r="387" ht="215" customHeight="1">
      <x:c r="A387" s="13" t="str">
        <x:v>MC-KPI-003</x:v>
      </x:c>
      <x:c r="B387" s="13"/>
      <x:c r="C387" s="13" t="str">
        <x:v>Archive File Failures</x:v>
      </x:c>
      <x:c r="D387" s="13" t="str">
        <x:v>Requirement association not established; owner review required.</x:v>
      </x:c>
      <x:c r="E387" s="13" t="str">
        <x:v>monitoring.cfg_archive_file_load</x:v>
      </x:c>
      <x:c r="F38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KPI_LATEST_CALCULATIONS.md#mission-archive-file-failures
DAX [Archive File Failures]:
COUNTROWS ( FILTER ( 'cfg_archive_file_load', UPPER ( COALESCE ( 'cfg_archive_file_load'[status], "" ) ) IN { "FAILED", "FAIL", "ERROR" } ) )
Saved source: project X/reports/WIP/SM WMPP Mission Control/SM WMPP Mission Control.SemanticModel/definition/tables/_MissionControl_Measures.tmdl:266
Python/Spark SQL producer/reference spans: 00_archive_load.py:798</x:v>
      </x:c>
      <x:c r="G387" s="13" t="str">
        <x:v>Archive File Failures</x:v>
      </x:c>
      <x:c r="H387" s="13" t="str">
        <x:v>Section 12 - Mission Control</x:v>
      </x:c>
      <x:c r="I387" s="30" t="n">
        <x:v>46312</x:v>
      </x:c>
    </x:row>
    <x:row r="388" ht="202" customHeight="1">
      <x:c r="A388" s="13" t="str">
        <x:v>MC-KPI-004</x:v>
      </x:c>
      <x:c r="B388" s="13"/>
      <x:c r="C388" s="13" t="str">
        <x:v>Archive File Rows Read</x:v>
      </x:c>
      <x:c r="D388" s="13" t="str">
        <x:v>Requirement association not established; owner review required.</x:v>
      </x:c>
      <x:c r="E388" s="13" t="str">
        <x:v>monitoring.cfg_archive_file_load</x:v>
      </x:c>
      <x:c r="F38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KPI_LATEST_CALCULATIONS.md#mission-archive-file-rows-read
DAX [Archive File Rows Read]:
SUM ( 'cfg_archive_file_load'[rows_read] )
Saved source: project X/reports/WIP/SM WMPP Mission Control/SM WMPP Mission Control.SemanticModel/definition/tables/_MissionControl_Measures.tmdl:284
Python/Spark SQL producer/reference spans: 00_archive_load.py:798</x:v>
      </x:c>
      <x:c r="G388" s="13" t="str">
        <x:v>Archive File Rows Read</x:v>
      </x:c>
      <x:c r="H388" s="13" t="str">
        <x:v>Section 12 - Mission Control</x:v>
      </x:c>
      <x:c r="I388" s="30" t="n">
        <x:v>46312</x:v>
      </x:c>
    </x:row>
    <x:row r="389" ht="215" customHeight="1">
      <x:c r="A389" s="13" t="str">
        <x:v>MC-KPI-005</x:v>
      </x:c>
      <x:c r="B389" s="13"/>
      <x:c r="C389" s="13" t="str">
        <x:v>Archive File Rows Written</x:v>
      </x:c>
      <x:c r="D389" s="13" t="str">
        <x:v>Requirement association not established; owner review required.</x:v>
      </x:c>
      <x:c r="E389" s="13" t="str">
        <x:v>monitoring.cfg_archive_file_load</x:v>
      </x:c>
      <x:c r="F38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KPI_LATEST_CALCULATIONS.md#mission-archive-file-rows-written
DAX [Archive File Rows Written]:
SUM ( 'cfg_archive_file_load'[rows_written] )
Saved source: project X/reports/WIP/SM WMPP Mission Control/SM WMPP Mission Control.SemanticModel/definition/tables/_MissionControl_Measures.tmdl:293
Python/Spark SQL producer/reference spans: 00_archive_load.py:798</x:v>
      </x:c>
      <x:c r="G389" s="13" t="str">
        <x:v>Archive File Rows Written</x:v>
      </x:c>
      <x:c r="H389" s="13" t="str">
        <x:v>Section 12 - Mission Control</x:v>
      </x:c>
      <x:c r="I389" s="30" t="n">
        <x:v>46312</x:v>
      </x:c>
    </x:row>
    <x:row r="390" ht="228" customHeight="1">
      <x:c r="A390" s="13" t="str">
        <x:v>MC-KPI-006</x:v>
      </x:c>
      <x:c r="B390" s="13"/>
      <x:c r="C390" s="13" t="str">
        <x:v>Archive Files Awaiting Reload</x:v>
      </x:c>
      <x:c r="D390" s="13" t="str">
        <x:v>Requirement association not established; owner review required.</x:v>
      </x:c>
      <x:c r="E390" s="13" t="str">
        <x:v>monitoring.cfg_archive_file_load</x:v>
      </x:c>
      <x:c r="F39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KPI_LATEST_CALCULATIONS.md#mission-archive-files-awaiting-reload
DAX [Archive Files Awaiting Reload]:
CALCULATE ( [Archive Files Processed], 'cfg_archive_file_load'[reload] = TRUE () )
Saved source: project X/reports/WIP/SM WMPP Mission Control/SM WMPP Mission Control.SemanticModel/definition/tables/_MissionControl_Measures.tmdl:275
Python/Spark SQL producer/reference spans: 00_archive_load.py:798</x:v>
      </x:c>
      <x:c r="G390" s="13" t="str">
        <x:v>Archive Files Awaiting Reload</x:v>
      </x:c>
      <x:c r="H390" s="13" t="str">
        <x:v>Section 12 - Mission Control</x:v>
      </x:c>
      <x:c r="I390" s="30" t="n">
        <x:v>46312</x:v>
      </x:c>
    </x:row>
    <x:row r="391" ht="202" customHeight="1">
      <x:c r="A391" s="13" t="str">
        <x:v>MC-KPI-007</x:v>
      </x:c>
      <x:c r="B391" s="13"/>
      <x:c r="C391" s="13" t="str">
        <x:v>Archive Files Processed</x:v>
      </x:c>
      <x:c r="D391" s="13" t="str">
        <x:v>Requirement association not established; owner review required.</x:v>
      </x:c>
      <x:c r="E391" s="13" t="str">
        <x:v>monitoring.cfg_archive_file_load</x:v>
      </x:c>
      <x:c r="F39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KPI_LATEST_CALCULATIONS.md#mission-archive-files-processed
DAX [Archive Files Processed]:
COUNTROWS ( 'cfg_archive_file_load' )
Saved source: project X/reports/WIP/SM WMPP Mission Control/SM WMPP Mission Control.SemanticModel/definition/tables/_MissionControl_Measures.tmdl:248
Python/Spark SQL producer/reference spans: 00_archive_load.py:798</x:v>
      </x:c>
      <x:c r="G391" s="13" t="str">
        <x:v>Archive Files Processed</x:v>
      </x:c>
      <x:c r="H391" s="13" t="str">
        <x:v>Section 12 - Mission Control</x:v>
      </x:c>
      <x:c r="I391" s="30" t="n">
        <x:v>46312</x:v>
      </x:c>
    </x:row>
    <x:row r="392" ht="254" customHeight="1">
      <x:c r="A392" s="13" t="str">
        <x:v>MC-KPI-008</x:v>
      </x:c>
      <x:c r="B392" s="13"/>
      <x:c r="C392" s="13" t="str">
        <x:v>Archive Pipeline Failures</x:v>
      </x:c>
      <x:c r="D392" s="13" t="str">
        <x:v>Requirement association not established; owner review required.</x:v>
      </x:c>
      <x:c r="E392" s="13" t="str">
        <x:v>monitoring.cfg_pipeline_run</x:v>
      </x:c>
      <x:c r="F39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KPI_LATEST_CALCULATIONS.md#mission-archive-pipeline-failures
DAX [Archive Pipeline Failures]:
CALCULATE ( [Failed Pipeline Runs], 'cfg_pipeline_run'[pipeline_name] = "90_run_archive_pipeline" )
Saved source: project X/reports/WIP/SM WMPP Mission Control/SM WMPP Mission Control.SemanticModel/definition/tables/_MissionControl_Measures.tmdl:85
Python/Spark SQL producer/reference spans: 03_silver_business_rules.py:119; 00_archive_load.py:635; 02a_archive_silver.py:195; 02_silver_formatter.py:110; 99_common_library.py:124</x:v>
      </x:c>
      <x:c r="G392" s="13" t="str">
        <x:v>Archive Pipeline Failures</x:v>
      </x:c>
      <x:c r="H392" s="13" t="str">
        <x:v>Section 12 - Mission Control</x:v>
      </x:c>
      <x:c r="I392" s="30" t="n">
        <x:v>46312</x:v>
      </x:c>
    </x:row>
    <x:row r="393" ht="241" customHeight="1">
      <x:c r="A393" s="13" t="str">
        <x:v>MC-KPI-009</x:v>
      </x:c>
      <x:c r="B393" s="13"/>
      <x:c r="C393" s="13" t="str">
        <x:v>Archive Pipeline Runs</x:v>
      </x:c>
      <x:c r="D393" s="13" t="str">
        <x:v>Requirement association not established; owner review required.</x:v>
      </x:c>
      <x:c r="E393" s="13" t="str">
        <x:v>monitoring.cfg_pipeline_run</x:v>
      </x:c>
      <x:c r="F39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KPI_LATEST_CALCULATIONS.md#mission-archive-pipeline-runs
DAX [Archive Pipeline Runs]:
CALCULATE ( [Pipeline Runs], 'cfg_pipeline_run'[pipeline_name] = "90_run_archive_pipeline" )
Saved source: project X/reports/WIP/SM WMPP Mission Control/SM WMPP Mission Control.SemanticModel/definition/tables/_MissionControl_Measures.tmdl:67
Python/Spark SQL producer/reference spans: 03_silver_business_rules.py:119; 00_archive_load.py:635; 02a_archive_silver.py:195; 02_silver_formatter.py:110; 99_common_library.py:124</x:v>
      </x:c>
      <x:c r="G393" s="13" t="str">
        <x:v>Archive Pipeline Runs</x:v>
      </x:c>
      <x:c r="H393" s="13" t="str">
        <x:v>Section 12 - Mission Control</x:v>
      </x:c>
      <x:c r="I393" s="30" t="n">
        <x:v>46312</x:v>
      </x:c>
    </x:row>
    <x:row r="394" ht="215" customHeight="1">
      <x:c r="A394" s="13" t="str">
        <x:v>MC-KPI-010</x:v>
      </x:c>
      <x:c r="B394" s="13"/>
      <x:c r="C394" s="13" t="str">
        <x:v>Archive Table Exports</x:v>
      </x:c>
      <x:c r="D394" s="13" t="str">
        <x:v>Requirement association not established; owner review required.</x:v>
      </x:c>
      <x:c r="E394" s="13" t="str">
        <x:v>monitoring.cfg_archive_table_export_load</x:v>
      </x:c>
      <x:c r="F39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KPI_LATEST_CALCULATIONS.md#mission-archive-table-exports
DAX [Archive Table Exports]:
COUNTROWS ( 'cfg_archive_table_export_load' )
Saved source: project X/reports/WIP/SM WMPP Mission Control/SM WMPP Mission Control.SemanticModel/definition/tables/_MissionControl_Measures.tmdl:302
Python/Spark SQL producer/reference spans: No direct notebook producer asserted; see calculated/model context.</x:v>
      </x:c>
      <x:c r="G394" s="13" t="str">
        <x:v>Archive Table Exports</x:v>
      </x:c>
      <x:c r="H394" s="13" t="str">
        <x:v>Section 12 - Mission Control</x:v>
      </x:c>
      <x:c r="I394" s="30" t="n">
        <x:v>46312</x:v>
      </x:c>
    </x:row>
    <x:row r="395" ht="241" customHeight="1">
      <x:c r="A395" s="13" t="str">
        <x:v>MC-KPI-011</x:v>
      </x:c>
      <x:c r="B395" s="13"/>
      <x:c r="C395" s="13" t="str">
        <x:v>Archive Table Exports Awaiting Reload</x:v>
      </x:c>
      <x:c r="D395" s="13" t="str">
        <x:v>Requirement association not established; owner review required.</x:v>
      </x:c>
      <x:c r="E395" s="13" t="str">
        <x:v>monitoring.cfg_archive_table_export_load</x:v>
      </x:c>
      <x:c r="F39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KPI_LATEST_CALCULATIONS.md#mission-archive-table-exports-awaiting-reload
DAX [Archive Table Exports Awaiting Reload]:
CALCULATE ( [Archive Table Exports], 'cfg_archive_table_export_load'[reload] = TRUE () )
Saved source: project X/reports/WIP/SM WMPP Mission Control/SM WMPP Mission Control.SemanticModel/definition/tables/_MissionControl_Measures.tmdl:320
Python/Spark SQL producer/reference spans: No direct notebook producer asserted; see calculated/model context.</x:v>
      </x:c>
      <x:c r="G395" s="13" t="str">
        <x:v>Archive Table Exports Awaiting Reload</x:v>
      </x:c>
      <x:c r="H395" s="13" t="str">
        <x:v>Section 12 - Mission Control</x:v>
      </x:c>
      <x:c r="I395" s="30" t="n">
        <x:v>46312</x:v>
      </x:c>
    </x:row>
    <x:row r="396" ht="202" customHeight="1">
      <x:c r="A396" s="13" t="str">
        <x:v>MC-KPI-012</x:v>
      </x:c>
      <x:c r="B396" s="13"/>
      <x:c r="C396" s="13" t="str">
        <x:v>Archive ZIP Batches</x:v>
      </x:c>
      <x:c r="D396" s="13" t="str">
        <x:v>Requirement association not established; owner review required.</x:v>
      </x:c>
      <x:c r="E396" s="13" t="str">
        <x:v>monitoring.cfg_archive_zip_load</x:v>
      </x:c>
      <x:c r="F39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KPI_LATEST_CALCULATIONS.md#mission-archive-zip-batches
DAX [Archive ZIP Batches]:
COUNTROWS ( 'cfg_archive_zip_load' )
Saved source: project X/reports/WIP/SM WMPP Mission Control/SM WMPP Mission Control.SemanticModel/definition/tables/_MissionControl_Measures.tmdl:194
Python/Spark SQL producer/reference spans: 00_archive_load.py:653</x:v>
      </x:c>
      <x:c r="G396" s="13" t="str">
        <x:v>Archive ZIP Batches</x:v>
      </x:c>
      <x:c r="H396" s="13" t="str">
        <x:v>Section 12 - Mission Control</x:v>
      </x:c>
      <x:c r="I396" s="30" t="n">
        <x:v>46312</x:v>
      </x:c>
    </x:row>
    <x:row r="397" ht="215" customHeight="1">
      <x:c r="A397" s="13" t="str">
        <x:v>MC-KPI-013</x:v>
      </x:c>
      <x:c r="B397" s="13"/>
      <x:c r="C397" s="13" t="str">
        <x:v>Archive ZIP Batches Awaiting Reload</x:v>
      </x:c>
      <x:c r="D397" s="13" t="str">
        <x:v>Requirement association not established; owner review required.</x:v>
      </x:c>
      <x:c r="E397" s="13" t="str">
        <x:v>monitoring.cfg_archive_zip_load</x:v>
      </x:c>
      <x:c r="F39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KPI_LATEST_CALCULATIONS.md#mission-archive-zip-batches-awaiting-reload
DAX [Archive ZIP Batches Awaiting Reload]:
CALCULATE ( [Archive ZIP Batches], 'cfg_archive_zip_load'[reload] = TRUE () )
Saved source: project X/reports/WIP/SM WMPP Mission Control/SM WMPP Mission Control.SemanticModel/definition/tables/_MissionControl_Measures.tmdl:221
Python/Spark SQL producer/reference spans: 00_archive_load.py:653</x:v>
      </x:c>
      <x:c r="G397" s="13" t="str">
        <x:v>Archive ZIP Batches Awaiting Reload</x:v>
      </x:c>
      <x:c r="H397" s="13" t="str">
        <x:v>Section 12 - Mission Control</x:v>
      </x:c>
      <x:c r="I397" s="30" t="n">
        <x:v>46312</x:v>
      </x:c>
    </x:row>
    <x:row r="398" ht="215" customHeight="1">
      <x:c r="A398" s="13" t="str">
        <x:v>MC-KPI-014</x:v>
      </x:c>
      <x:c r="B398" s="13"/>
      <x:c r="C398" s="13" t="str">
        <x:v>Archive ZIP Files Declared</x:v>
      </x:c>
      <x:c r="D398" s="13" t="str">
        <x:v>Requirement association not established; owner review required.</x:v>
      </x:c>
      <x:c r="E398" s="13" t="str">
        <x:v>monitoring.cfg_archive_zip_load</x:v>
      </x:c>
      <x:c r="F39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KPI_LATEST_CALCULATIONS.md#mission-archive-zip-files-declared
DAX [Archive ZIP Files Declared]:
SUM ( 'cfg_archive_zip_load'[file_count] )
Saved source: project X/reports/WIP/SM WMPP Mission Control/SM WMPP Mission Control.SemanticModel/definition/tables/_MissionControl_Measures.tmdl:230
Python/Spark SQL producer/reference spans: 00_archive_load.py:653</x:v>
      </x:c>
      <x:c r="G398" s="13" t="str">
        <x:v>Archive ZIP Files Declared</x:v>
      </x:c>
      <x:c r="H398" s="13" t="str">
        <x:v>Section 12 - Mission Control</x:v>
      </x:c>
      <x:c r="I398" s="30" t="n">
        <x:v>46312</x:v>
      </x:c>
    </x:row>
    <x:row r="399" ht="241" customHeight="1">
      <x:c r="A399" s="13" t="str">
        <x:v>MC-KPI-015</x:v>
      </x:c>
      <x:c r="B399" s="13"/>
      <x:c r="C399" s="13" t="str">
        <x:v>Archived Nullable Columns</x:v>
      </x:c>
      <x:c r="D399" s="13" t="str">
        <x:v>Requirement association not established; owner review required.</x:v>
      </x:c>
      <x:c r="E399" s="13" t="str">
        <x:v>monitoring.cfg_archived_schema_live</x:v>
      </x:c>
      <x:c r="F39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KPI_LATEST_CALCULATIONS.md#mission-archived-nullable-columns
DAX [Archived Nullable Columns]:
COUNTROWS ( FILTER ( 'cfg_archived_schema_live', UPPER ( COALESCE ( 'cfg_archived_schema_live'[is_nullable], "" ) ) IN { "TRUE", "YES", "Y", "1" } ) )
Saved source: project X/reports/WIP/SM WMPP Mission Control/SM WMPP Mission Control.SemanticModel/definition/tables/_MissionControl_Measures.tmdl:554
Python/Spark SQL producer/reference spans: 01a_cfg_schema_capture_archive.py:107</x:v>
      </x:c>
      <x:c r="G399" s="13" t="str">
        <x:v>Archived Nullable Columns</x:v>
      </x:c>
      <x:c r="H399" s="13" t="str">
        <x:v>Section 12 - Mission Control</x:v>
      </x:c>
      <x:c r="I399" s="30" t="n">
        <x:v>46312</x:v>
      </x:c>
    </x:row>
    <x:row r="400" ht="215" customHeight="1">
      <x:c r="A400" s="13" t="str">
        <x:v>MC-KPI-016</x:v>
      </x:c>
      <x:c r="B400" s="13"/>
      <x:c r="C400" s="13" t="str">
        <x:v>Archived Schema Columns</x:v>
      </x:c>
      <x:c r="D400" s="13" t="str">
        <x:v>Requirement association not established; owner review required.</x:v>
      </x:c>
      <x:c r="E400" s="13" t="str">
        <x:v>monitoring.cfg_archived_schema_live</x:v>
      </x:c>
      <x:c r="F40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KPI_LATEST_CALCULATIONS.md#mission-archived-schema-columns
DAX [Archived Schema Columns]:
COUNTROWS ( 'cfg_archived_schema_live' )
Saved source: project X/reports/WIP/SM WMPP Mission Control/SM WMPP Mission Control.SemanticModel/definition/tables/_MissionControl_Measures.tmdl:527
Python/Spark SQL producer/reference spans: 01a_cfg_schema_capture_archive.py:107</x:v>
      </x:c>
      <x:c r="G400" s="13" t="str">
        <x:v>Archived Schema Columns</x:v>
      </x:c>
      <x:c r="H400" s="13" t="str">
        <x:v>Section 12 - Mission Control</x:v>
      </x:c>
      <x:c r="I400" s="30" t="n">
        <x:v>46312</x:v>
      </x:c>
    </x:row>
    <x:row r="401" ht="228" customHeight="1">
      <x:c r="A401" s="13" t="str">
        <x:v>MC-KPI-017</x:v>
      </x:c>
      <x:c r="B401" s="13"/>
      <x:c r="C401" s="13" t="str">
        <x:v>Archived Schema Data Types</x:v>
      </x:c>
      <x:c r="D401" s="13" t="str">
        <x:v>Requirement association not established; owner review required.</x:v>
      </x:c>
      <x:c r="E401" s="13" t="str">
        <x:v>monitoring.cfg_archived_schema_live</x:v>
      </x:c>
      <x:c r="F40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KPI_LATEST_CALCULATIONS.md#mission-archived-schema-data-types
DAX [Archived Schema Data Types]:
DISTINCTCOUNT ( 'cfg_archived_schema_live'[data_type] )
Saved source: project X/reports/WIP/SM WMPP Mission Control/SM WMPP Mission Control.SemanticModel/definition/tables/_MissionControl_Measures.tmdl:563
Python/Spark SQL producer/reference spans: 01a_cfg_schema_capture_archive.py:107</x:v>
      </x:c>
      <x:c r="G401" s="13" t="str">
        <x:v>Archived Schema Data Types</x:v>
      </x:c>
      <x:c r="H401" s="13" t="str">
        <x:v>Section 12 - Mission Control</x:v>
      </x:c>
      <x:c r="I401" s="30" t="n">
        <x:v>46312</x:v>
      </x:c>
    </x:row>
    <x:row r="402" ht="228" customHeight="1">
      <x:c r="A402" s="13" t="str">
        <x:v>MC-KPI-018</x:v>
      </x:c>
      <x:c r="B402" s="13"/>
      <x:c r="C402" s="13" t="str">
        <x:v>Archived Schema Tables</x:v>
      </x:c>
      <x:c r="D402" s="13" t="str">
        <x:v>Requirement association not established; owner review required.</x:v>
      </x:c>
      <x:c r="E402" s="13" t="str">
        <x:v>monitoring.cfg_archived_schema_live</x:v>
      </x:c>
      <x:c r="F40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KPI_LATEST_CALCULATIONS.md#mission-archived-schema-tables
DAX [Archived Schema Tables]:
COUNTROWS ( SUMMARIZE ( 'cfg_archived_schema_live', 'cfg_archived_schema_live'[schema_name], 'cfg_archived_schema_live'[table_name] ) )
Saved source: project X/reports/WIP/SM WMPP Mission Control/SM WMPP Mission Control.SemanticModel/definition/tables/_MissionControl_Measures.tmdl:536
Python/Spark SQL producer/reference spans: 01a_cfg_schema_capture_archive.py:107</x:v>
      </x:c>
      <x:c r="G402" s="13" t="str">
        <x:v>Archived Schema Tables</x:v>
      </x:c>
      <x:c r="H402" s="13" t="str">
        <x:v>Section 12 - Mission Control</x:v>
      </x:c>
      <x:c r="I402" s="30" t="n">
        <x:v>46312</x:v>
      </x:c>
    </x:row>
    <x:row r="403" ht="254" customHeight="1">
      <x:c r="A403" s="13" t="str">
        <x:v>MC-KPI-019</x:v>
      </x:c>
      <x:c r="B403" s="13"/>
      <x:c r="C403" s="13" t="str">
        <x:v>Average Archive ZIP Duration (min)</x:v>
      </x:c>
      <x:c r="D403" s="13" t="str">
        <x:v>Requirement association not established; owner review required.</x:v>
      </x:c>
      <x:c r="E403" s="13" t="str">
        <x:v>monitoring.cfg_archive_zip_load</x:v>
      </x:c>
      <x:c r="F40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KPI_LATEST_CALCULATIONS.md#mission-average-archive-zip-duration-min
DAX [Average Archive ZIP Duration (min)]:
AVERAGEX ( FILTER ( 'cfg_archive_zip_load', NOT ISBLANK ( 'cfg_archive_zip_load'[started_at] ) &amp;&amp; NOT ISBLANK ( 'cfg_archive_zip_load'[ended_at] ) ), DIVIDE ( DATEDIFF ( 'cfg_archive_zip_load'[started_at], 'cfg_archive_zip_load'[ended_at], SECOND ), 60.0 ) )
Saved source: project X/reports/WIP/SM WMPP Mission Control/SM WMPP Mission Control.SemanticModel/definition/tables/_MissionControl_Measures.tmdl:239
Python/Spark SQL producer/reference spans: 00_archive_load.py:653</x:v>
      </x:c>
      <x:c r="G403" s="13" t="str">
        <x:v>Average Archive ZIP Duration (min)</x:v>
      </x:c>
      <x:c r="H403" s="13" t="str">
        <x:v>Section 12 - Mission Control</x:v>
      </x:c>
      <x:c r="I403" s="30" t="n">
        <x:v>46312</x:v>
      </x:c>
    </x:row>
    <x:row r="404" ht="280" customHeight="1">
      <x:c r="A404" s="13" t="str">
        <x:v>MC-KPI-020</x:v>
      </x:c>
      <x:c r="B404" s="13"/>
      <x:c r="C404" s="13" t="str">
        <x:v>Average Pipeline Duration (min)</x:v>
      </x:c>
      <x:c r="D404" s="13" t="str">
        <x:v>Requirement association not established; owner review required.</x:v>
      </x:c>
      <x:c r="E404" s="13" t="str">
        <x:v>monitoring.cfg_pipeline_run</x:v>
      </x:c>
      <x:c r="F40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KPI_LATEST_CALCULATIONS.md#mission-average-pipeline-duration-min
DAX [Average Pipeline Duration (min)]:
AVERAGEX ( FILTER ( 'cfg_pipeline_run', NOT ISBLANK ( 'cfg_pipeline_run'[started_at] ) &amp;&amp; NOT ISBLANK ( 'cfg_pipeline_run'[ended_at] ) ), DIVIDE ( DATEDIFF ( 'cfg_pipeline_run'[started_at], 'cfg_pipeline_run'[ended_at], SECOND ), 60.0 ) )
Saved source: project X/reports/WIP/SM WMPP Mission Control/SM WMPP Mission Control.SemanticModel/definition/tables/_MissionControl_Measures.tmdl:139
Python/Spark SQL producer/reference spans: 03_silver_business_rules.py:119; 00_archive_load.py:635; 02a_archive_silver.py:195; 02_silver_formatter.py:110; 99_common_library.py:124</x:v>
      </x:c>
      <x:c r="G404" s="13" t="str">
        <x:v>Average Pipeline Duration (min)</x:v>
      </x:c>
      <x:c r="H404" s="13" t="str">
        <x:v>Section 12 - Mission Control</x:v>
      </x:c>
      <x:c r="I404" s="30" t="n">
        <x:v>46312</x:v>
      </x:c>
    </x:row>
    <x:row r="405" ht="202" customHeight="1">
      <x:c r="A405" s="13" t="str">
        <x:v>MC-KPI-021</x:v>
      </x:c>
      <x:c r="B405" s="13"/>
      <x:c r="C405" s="13" t="str">
        <x:v>Calendar Day Failures</x:v>
      </x:c>
      <x:c r="D405" s="13" t="str">
        <x:v>Requirement association not established; owner review required.</x:v>
      </x:c>
      <x:c r="E405" s="13" t="str">
        <x:v>monitoring.rpt_job_run_summary</x:v>
      </x:c>
      <x:c r="F40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KPI_LATEST_CALCULATIONS.md#mission-calendar-day-failures
DAX [Calendar Day Failures]:
COALESCE([Failed Job Runs], 0)
Saved source: project X/reports/WIP/SM WMPP Mission Control/SM WMPP Mission Control.SemanticModel/definition/tables/_MissionControl_Measures.tmdl:913
Python/Spark SQL producer/reference spans: 06_reports.py:141</x:v>
      </x:c>
      <x:c r="G405" s="13" t="str">
        <x:v>Calendar Day Failures</x:v>
      </x:c>
      <x:c r="H405" s="13" t="str">
        <x:v>Section 12 - Mission Control</x:v>
      </x:c>
      <x:c r="I405" s="30" t="n">
        <x:v>46312</x:v>
      </x:c>
    </x:row>
    <x:row r="406" ht="254" customHeight="1">
      <x:c r="A406" s="13" t="str">
        <x:v>MC-KPI-022</x:v>
      </x:c>
      <x:c r="B406" s="13"/>
      <x:c r="C406" s="13" t="str">
        <x:v>Calendar Day In Window</x:v>
      </x:c>
      <x:c r="D406" s="13" t="str">
        <x:v>Requirement association not established; owner review required.</x:v>
      </x:c>
      <x:c r="E406" s="13" t="str">
        <x:v>monitoring.rpt_job_run_summary</x:v>
      </x:c>
      <x:c r="F40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KPI_LATEST_CALCULATIONS.md#mission-calendar-day-in-window
DAX [Calendar Day In Window]:
VAR d = SELECTEDVALUE('Load Calendar'[Date])
RETURN IF(NOT ISBLANK(d) &amp;&amp; d &gt;= TODAY() - 364 &amp;&amp; d &lt;= TODAY(), 1, 0)
Saved source: project X/reports/WIP/SM WMPP Mission Control/SM WMPP Mission Control.SemanticModel/definition/tables/_MissionControl_Measures.tmdl:923
Python/Spark SQL producer/reference spans: 06_reports.py:141
Calculated-table dependency: Load Calendar. Complete saved partition logic is included in the calculation document.</x:v>
      </x:c>
      <x:c r="G406" s="13" t="str">
        <x:v>Calendar Day In Window</x:v>
      </x:c>
      <x:c r="H406" s="13" t="str">
        <x:v>Section 12 - Mission Control</x:v>
      </x:c>
      <x:c r="I406" s="30" t="n">
        <x:v>46312</x:v>
      </x:c>
    </x:row>
    <x:row r="407" ht="215" customHeight="1">
      <x:c r="A407" s="13" t="str">
        <x:v>MC-KPI-023</x:v>
      </x:c>
      <x:c r="B407" s="13"/>
      <x:c r="C407" s="13" t="str">
        <x:v>Calendar Day Other</x:v>
      </x:c>
      <x:c r="D407" s="13" t="str">
        <x:v>Requirement association not established; owner review required.</x:v>
      </x:c>
      <x:c r="E407" s="13" t="str">
        <x:v>monitoring.rpt_job_run_summary</x:v>
      </x:c>
      <x:c r="F40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KPI_LATEST_CALCULATIONS.md#mission-calendar-day-other
DAX [Calendar Day Other]:
COALESCE(CALCULATE([Job Runs], KEEPFILTERS(rpt_job_run_summary[Outcome] IN {"Running", "Other"})), 0)
Saved source: project X/reports/WIP/SM WMPP Mission Control/SM WMPP Mission Control.SemanticModel/definition/tables/_MissionControl_Measures.tmdl:918
Python/Spark SQL producer/reference spans: 06_reports.py:141</x:v>
      </x:c>
      <x:c r="G407" s="13" t="str">
        <x:v>Calendar Day Other</x:v>
      </x:c>
      <x:c r="H407" s="13" t="str">
        <x:v>Section 12 - Mission Control</x:v>
      </x:c>
      <x:c r="I407" s="30" t="n">
        <x:v>46312</x:v>
      </x:c>
    </x:row>
    <x:row r="408" ht="202" customHeight="1">
      <x:c r="A408" s="13" t="str">
        <x:v>MC-KPI-024</x:v>
      </x:c>
      <x:c r="B408" s="13"/>
      <x:c r="C408" s="13" t="str">
        <x:v>Calendar Day Runs</x:v>
      </x:c>
      <x:c r="D408" s="13" t="str">
        <x:v>Requirement association not established; owner review required.</x:v>
      </x:c>
      <x:c r="E408" s="13" t="str">
        <x:v>monitoring.rpt_job_run_summary</x:v>
      </x:c>
      <x:c r="F40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KPI_LATEST_CALCULATIONS.md#mission-calendar-day-runs
DAX [Calendar Day Runs]:
COALESCE([Job Runs], 0)
Saved source: project X/reports/WIP/SM WMPP Mission Control/SM WMPP Mission Control.SemanticModel/definition/tables/_MissionControl_Measures.tmdl:908
Python/Spark SQL producer/reference spans: 06_reports.py:141</x:v>
      </x:c>
      <x:c r="G408" s="13" t="str">
        <x:v>Calendar Day Runs</x:v>
      </x:c>
      <x:c r="H408" s="13" t="str">
        <x:v>Section 12 - Mission Control</x:v>
      </x:c>
      <x:c r="I408" s="30" t="n">
        <x:v>46312</x:v>
      </x:c>
    </x:row>
    <x:row r="409" ht="228" customHeight="1">
      <x:c r="A409" s="13" t="str">
        <x:v>MC-KPI-025</x:v>
      </x:c>
      <x:c r="B409" s="13"/>
      <x:c r="C409" s="13" t="str">
        <x:v>Completed Pipeline Runs</x:v>
      </x:c>
      <x:c r="D409" s="13" t="str">
        <x:v>Requirement association not established; owner review required.</x:v>
      </x:c>
      <x:c r="E409" s="13" t="str">
        <x:v>monitoring.cfg_pipeline_run</x:v>
      </x:c>
      <x:c r="F40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KPI_LATEST_CALCULATIONS.md#mission-completed-pipeline-runs
DAX [Completed Pipeline Runs]:
[Successful Pipeline Runs] + [Failed Pipeline Runs]
Saved source: project X/reports/WIP/SM WMPP Mission Control/SM WMPP Mission Control.SemanticModel/definition/tables/_MissionControl_Measures.tmdl:40
Python/Spark SQL producer/reference spans: 03_silver_business_rules.py:119; 00_archive_load.py:635; 02a_archive_silver.py:195; 02_silver_formatter.py:110; 99_common_library.py:124</x:v>
      </x:c>
      <x:c r="G409" s="13" t="str">
        <x:v>Completed Pipeline Runs</x:v>
      </x:c>
      <x:c r="H409" s="13" t="str">
        <x:v>Section 12 - Mission Control</x:v>
      </x:c>
      <x:c r="I409" s="30" t="n">
        <x:v>46312</x:v>
      </x:c>
    </x:row>
    <x:row r="410" ht="254" customHeight="1">
      <x:c r="A410" s="13" t="str">
        <x:v>MC-KPI-026</x:v>
      </x:c>
      <x:c r="B410" s="13"/>
      <x:c r="C410" s="13" t="str">
        <x:v>Control Failures</x:v>
      </x:c>
      <x:c r="D410" s="13" t="str">
        <x:v>Requirement association not established; owner review required.</x:v>
      </x:c>
      <x:c r="E410" s="13" t="str">
        <x:v>monitoring.cfg_archive_file_load; monitoring.cfg_archive_table_export_load; monitoring.cfg_archive_zip_load; monitoring.cfg_month_end_gold_run; monitoring.cfg_pipeline_run</x:v>
      </x:c>
      <x:c r="F41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KPI_LATEST_CALCULATIONS.md#mission-control-failures
DAX [Control Failures]:
[Failed Pipeline Runs] + [Failed Archive ZIP Batches] + [Archive File Failures] + [Failed Archive Table Exports] + [Failed Gold Snapshots]
Saved source: project X/reports/WIP/SM WMPP Mission Control/SM WMPP Mission Control.SemanticModel/definition/tables/_MissionControl_Measures.tmdl:581
Python/Spark SQL producer/reference spans: 00_archive_load.py:653; 03_silver_business_rules.py:119; 00_archive_load.py:635; 02a_archive_silver.py:195; 02_silver_formatter.py:110; 99_common_library.py:124; 02a_archive_silver.py:611; 00_archive_load.py:798</x:v>
      </x:c>
      <x:c r="G410" s="13" t="str">
        <x:v>Control Failures</x:v>
      </x:c>
      <x:c r="H410" s="13" t="str">
        <x:v>Section 12 - Mission Control</x:v>
      </x:c>
      <x:c r="I410" s="30" t="n">
        <x:v>46312</x:v>
      </x:c>
    </x:row>
    <x:row r="411" ht="241" customHeight="1">
      <x:c r="A411" s="13" t="str">
        <x:v>MC-KPI-027</x:v>
      </x:c>
      <x:c r="B411" s="13"/>
      <x:c r="C411" s="13" t="str">
        <x:v>Critical Active DQ Rules</x:v>
      </x:c>
      <x:c r="D411" s="13" t="str">
        <x:v>Requirement association not established; owner review required.</x:v>
      </x:c>
      <x:c r="E411" s="13" t="str">
        <x:v>monitoring.cfg_data_quality_rule</x:v>
      </x:c>
      <x:c r="F41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KPI_LATEST_CALCULATIONS.md#mission-critical-active-dq-rules
DAX [Critical Active DQ Rules]:
COUNTROWS ( FILTER ( 'cfg_data_quality_rule', UPPER ( COALESCE ( 'cfg_data_quality_rule'[active], "" ) ) IN { "TRUE", "Y", "1" } &amp;&amp; UPPER ( COALESCE ( 'cfg_data_quality_rule'[severity], "" ) ) = "CRITICAL" ) )
Saved source: project X/reports/WIP/SM WMPP Mission Control/SM WMPP Mission Control.SemanticModel/definition/tables/_MissionControl_Measures.tmdl:482
Python/Spark SQL producer/reference spans: 03_silver_business_rules.py:133</x:v>
      </x:c>
      <x:c r="G411" s="13" t="str">
        <x:v>Critical Active DQ Rules</x:v>
      </x:c>
      <x:c r="H411" s="13" t="str">
        <x:v>Section 12 - Mission Control</x:v>
      </x:c>
      <x:c r="I411" s="30" t="n">
        <x:v>46312</x:v>
      </x:c>
    </x:row>
    <x:row r="412" ht="254" customHeight="1">
      <x:c r="A412" s="13" t="str">
        <x:v>MC-KPI-028</x:v>
      </x:c>
      <x:c r="B412" s="13"/>
      <x:c r="C412" s="13" t="str">
        <x:v>Critical Rules Failing</x:v>
      </x:c>
      <x:c r="D412" s="13" t="str">
        <x:v>Requirement association not established; owner review required.</x:v>
      </x:c>
      <x:c r="E412" s="13" t="str">
        <x:v>monitoring.cfg_data_quality_result</x:v>
      </x:c>
      <x:c r="F41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KPI_LATEST_CALCULATIONS.md#mission-critical-rules-failing
DAX [Critical Rules Failing]:
CALCULATE ( DISTINCTCOUNT ( 'cfg_data_quality_result'[rule_id] ), FILTER ( 'cfg_data_quality_result', UPPER ( COALESCE ( 'cfg_data_quality_result'[severity], "" ) ) = "CRITICAL" &amp;&amp; UPPER ( COALESCE ( 'cfg_data_quality_result'[status], "" ) ) IN { "FAILED", "FAIL", "ERROR" } ) )
Saved source: project X/reports/WIP/SM WMPP Mission Control/SM WMPP Mission Control.SemanticModel/definition/tables/_MissionControl_Measures.tmdl:446
Python/Spark SQL producer/reference spans: 03_silver_business_rules.py:208; 03_silver_business_rules.py:366; 99_common_library.py:124</x:v>
      </x:c>
      <x:c r="G412" s="13" t="str">
        <x:v>Critical Rules Failing</x:v>
      </x:c>
      <x:c r="H412" s="13" t="str">
        <x:v>Section 12 - Mission Control</x:v>
      </x:c>
      <x:c r="I412" s="30" t="n">
        <x:v>46312</x:v>
      </x:c>
    </x:row>
    <x:row r="413" ht="345" customHeight="1">
      <x:c r="A413" s="13" t="str">
        <x:v>MC-KPI-029</x:v>
      </x:c>
      <x:c r="B413" s="13"/>
      <x:c r="C413" s="13" t="str">
        <x:v>Discovery calendar failures</x:v>
      </x:c>
      <x:c r="D413" s="13" t="str">
        <x:v>Requirement association not established; owner review required.</x:v>
      </x:c>
      <x:c r="E413" s="13" t="str">
        <x:v>monitoring.cfg_job_run; monitoring.rpt_job_run_summary</x:v>
      </x:c>
      <x:c r="F41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KPI_LATEST_CALCULATIONS.md#mission-discovery-calendar-failures
DAX [Discovery calendar failures]:
COALESCE(CALCULATE(COUNTROWS('Discovery Job Runs'),
KEEPFILTERS(TREATAS(VALUES('Load Calendar'[Date]), 'Discovery Job Runs'[Run Date])),
FILTER('Discovery Job Runs', UPPER('Discovery Job Runs'[status]) IN {"FAILED", "FAILURE", "ERROR"}
|| 'Discovery Job Runs'[steps_failed] &gt; 0)), 0)
Saved source: project X/reports/WIP/SM WMPP Mission Control/SM WMPP Mission Control.SemanticModel/definition/tables/_MissionControl_Measures.tmdl:2100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13" s="13" t="str">
        <x:v>Discovery calendar failures</x:v>
      </x:c>
      <x:c r="H413" s="13" t="str">
        <x:v>Section 12 - Mission Control</x:v>
      </x:c>
      <x:c r="I413" s="30" t="n">
        <x:v>46312</x:v>
      </x:c>
    </x:row>
    <x:row r="414" ht="293" customHeight="1">
      <x:c r="A414" s="13" t="str">
        <x:v>MC-KPI-030</x:v>
      </x:c>
      <x:c r="B414" s="13"/>
      <x:c r="C414" s="13" t="str">
        <x:v>Discovery calendar jobs</x:v>
      </x:c>
      <x:c r="D414" s="13" t="str">
        <x:v>Requirement association not established; owner review required.</x:v>
      </x:c>
      <x:c r="E414" s="13" t="str">
        <x:v>monitoring.cfg_job_run; monitoring.rpt_job_run_summary</x:v>
      </x:c>
      <x:c r="F41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KPI_LATEST_CALCULATIONS.md#mission-discovery-calendar-jobs
DAX [Discovery calendar jobs]:
COALESCE(CALCULATE(COUNTROWS('Discovery Job Runs'),
KEEPFILTERS(TREATAS(VALUES('Load Calendar'[Date]), 'Discovery Job Runs'[Run Date]))), 0)
Saved source: project X/reports/WIP/SM WMPP Mission Control/SM WMPP Mission Control.SemanticModel/definition/tables/_MissionControl_Measures.tmdl:2093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14" s="13" t="str">
        <x:v>Discovery calendar jobs</x:v>
      </x:c>
      <x:c r="H414" s="13" t="str">
        <x:v>Section 12 - Mission Control</x:v>
      </x:c>
      <x:c r="I414" s="30" t="n">
        <x:v>46312</x:v>
      </x:c>
    </x:row>
    <x:row r="415" ht="345" customHeight="1">
      <x:c r="A415" s="13" t="str">
        <x:v>MC-KPI-031</x:v>
      </x:c>
      <x:c r="B415" s="13"/>
      <x:c r="C415" s="13" t="str">
        <x:v>Discovery calendar other</x:v>
      </x:c>
      <x:c r="D415" s="13" t="str">
        <x:v>Requirement association not established; owner review required.</x:v>
      </x:c>
      <x:c r="E415" s="13" t="str">
        <x:v>monitoring.cfg_job_run; monitoring.rpt_job_run_summary</x:v>
      </x:c>
      <x:c r="F41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KPI_LATEST_CALCULATIONS.md#mission-discovery-calendar-other
DAX [Discovery calendar other]:
COALESCE(CALCULATE(COUNTROWS('Discovery Job Runs'),
KEEPFILTERS(TREATAS(VALUES('Load Calendar'[Date]), 'Discovery Job Runs'[Run Date])),
FILTER('Discovery Job Runs', NOT(UPPER('Discovery Job Runs'[status]) IN {"SUCCESS", "SUCCESSFUL", "SUCCEEDED", "FAILED", "FAILURE", "ERROR"})
&amp;&amp; COALESCE('Discovery Job Runs'[steps_failed], 0) = 0)), 0)
Saved source: project X/reports/WIP/SM WMPP Mission Control/SM WMPP Mission Control.SemanticModel/definition/tables/_MissionControl_Measures.tmdl:2109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15" s="13" t="str">
        <x:v>Discovery calendar other</x:v>
      </x:c>
      <x:c r="H415" s="13" t="str">
        <x:v>Section 12 - Mission Control</x:v>
      </x:c>
      <x:c r="I415" s="30" t="n">
        <x:v>46312</x:v>
      </x:c>
    </x:row>
    <x:row r="416" ht="228" customHeight="1">
      <x:c r="A416" s="13" t="str">
        <x:v>MC-KPI-032</x:v>
      </x:c>
      <x:c r="B416" s="13"/>
      <x:c r="C416" s="13" t="str">
        <x:v>Discovery cfg_archive_zip_load Rows</x:v>
      </x:c>
      <x:c r="D416" s="13" t="str">
        <x:v>Requirement association not established; owner review required.</x:v>
      </x:c>
      <x:c r="E416" s="13" t="str">
        <x:v>monitoring.cfg_archive_zip_load</x:v>
      </x:c>
      <x:c r="F41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KPI_LATEST_CALCULATIONS.md#mission-discovery-cfg-archive-zip-load-rows
DAX [Discovery cfg_archive_zip_load Rows]:
COALESCE(CALCULATE(COUNTROWS(cfg_archive_zip_load), KEEPFILTERS(TREATAS({[Discovery cfg_archive_zip_load Latest key]}, cfg_archive_zip_load[run_id]))), 0)
Saved source: project X/reports/WIP/SM WMPP Mission Control/SM WMPP Mission Control.SemanticModel/definition/tables/_MissionControl_Measures.tmdl:2015
Python/Spark SQL producer/reference spans: 00_archive_load.py:653</x:v>
      </x:c>
      <x:c r="G416" s="13" t="str">
        <x:v>Discovery cfg_archive_zip_load Rows</x:v>
      </x:c>
      <x:c r="H416" s="13" t="str">
        <x:v>Section 12 - Mission Control</x:v>
      </x:c>
      <x:c r="I416" s="30" t="n">
        <x:v>46312</x:v>
      </x:c>
    </x:row>
    <x:row r="417" ht="254" customHeight="1">
      <x:c r="A417" s="13" t="str">
        <x:v>MC-KPI-033</x:v>
      </x:c>
      <x:c r="B417" s="13"/>
      <x:c r="C417" s="13" t="str">
        <x:v>Discovery cfg_archived_schema_live Rows</x:v>
      </x:c>
      <x:c r="D417" s="13" t="str">
        <x:v>Requirement association not established; owner review required.</x:v>
      </x:c>
      <x:c r="E417" s="13" t="str">
        <x:v>monitoring.cfg_archived_schema_live</x:v>
      </x:c>
      <x:c r="F41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KPI_LATEST_CALCULATIONS.md#mission-discovery-cfg-archived-schema-live-rows
DAX [Discovery cfg_archived_schema_live Rows]:
COALESCE(CALCULATE(COUNTROWS(cfg_archived_schema_live), KEEPFILTERS(TREATAS({[Discovery cfg_archived_schema_live Latest time]}, cfg_archived_schema_live[contract_loaded_at]))), 0)
Saved source: project X/reports/WIP/SM WMPP Mission Control/SM WMPP Mission Control.SemanticModel/definition/tables/_MissionControl_Measures.tmdl:1980
Python/Spark SQL producer/reference spans: 01a_cfg_schema_capture_archive.py:107</x:v>
      </x:c>
      <x:c r="G417" s="13" t="str">
        <x:v>Discovery cfg_archived_schema_live Rows</x:v>
      </x:c>
      <x:c r="H417" s="13" t="str">
        <x:v>Section 12 - Mission Control</x:v>
      </x:c>
      <x:c r="I417" s="30" t="n">
        <x:v>46312</x:v>
      </x:c>
    </x:row>
    <x:row r="418" ht="409" customHeight="1">
      <x:c r="A418" s="13" t="str">
        <x:v>MC-KPI-034</x:v>
      </x:c>
      <x:c r="B418" s="13"/>
      <x:c r="C418" s="13" t="str">
        <x:v>Discovery cfg_bronze_schema_live Discovery batches</x:v>
      </x:c>
      <x:c r="D418" s="13" t="str">
        <x:v>Requirement association not established; owner review required.</x:v>
      </x:c>
      <x:c r="E418" s="13" t="str">
        <x:v>monitoring.cfg_bronze_schema_live; monitoring.cfg_job_run; monitoring.rpt_job_run_summary</x:v>
      </x:c>
      <x:c r="F41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KPI_LATEST_CALCULATIONS.md#mission-discovery-cfg-bronze-schema-live-discovery-batches
DAX [Discovery cfg_bronze_schema_live Discovery batches]:
COALESCE((VAR DateChosen=ISFILTERED('Load Calendar'[Date])
VAR JobChosen=ISFILTERED('Discovery Job Runs'[job_run_id])
VAR Days=VALUES('Load Calendar'[Date])
VAR Jobs=VALUES('Discovery Job Runs'[job_run_id])
RETURN IF(DateChosen || JobChosen,CALCULATE(DISTINCTCOUNT('cfg_bronze_schema_live'[run_id]),KEEPFILTERS(FILTER('cfg_bronze_schema_live',(NOT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key]),CALCULATE(DISTINCTCOUNT('cfg_bronze_schema_live'[r
[EXCERPT; exact complete expression and dependencies in linked current calculation document]
Saved source: project X/reports/WIP/SM WMPP Mission Control/SM WMPP Mission Control.SemanticModel/definition/tables/_MissionControl_Measures.tmdl:1781
Python/Spark SQL producer/reference spans: 00_setup_cfg.py:96; 90_run_archive_pipeline.py:144; 90_run_live_pipeline.py:78; 99_data_domain.py:110; 99_common_library.py:124; 01a_cfg_schema_capture_live.py:308; 06_reports.py:141
Calculated-table dependency: Load Calendar. Complete saved partition logic is included in the calculation document.</x:v>
      </x:c>
      <x:c r="G418" s="13" t="str">
        <x:v>Discovery cfg_bronze_schema_live Discovery batches</x:v>
      </x:c>
      <x:c r="H418" s="13" t="str">
        <x:v>Section 12 - Mission Control</x:v>
      </x:c>
      <x:c r="I418" s="30" t="n">
        <x:v>46312</x:v>
      </x:c>
    </x:row>
    <x:row r="419" ht="409" customHeight="1">
      <x:c r="A419" s="13" t="str">
        <x:v>MC-KPI-035</x:v>
      </x:c>
      <x:c r="B419" s="13"/>
      <x:c r="C419" s="13" t="str">
        <x:v>Discovery cfg_bronze_schema_live Distinct objects</x:v>
      </x:c>
      <x:c r="D419" s="13" t="str">
        <x:v>Requirement association not established; owner review required.</x:v>
      </x:c>
      <x:c r="E419" s="13" t="str">
        <x:v>monitoring.cfg_bronze_schema_live; monitoring.cfg_job_run; monitoring.rpt_job_run_summary</x:v>
      </x:c>
      <x:c r="F41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KPI_LATEST_CALCULATIONS.md#mission-discovery-cfg-bronze-schema-live-distinct-objects
DAX [Discovery cfg_bronze_schema_live Distinct objects]:
COALESCE((VAR DateChosen=ISFILTERED('Load Calendar'[Date])
VAR JobChosen=ISFILTERED('Discovery Job Runs'[job_run_id])
VAR Days=VALUES('Load Calendar'[Date])
VAR Jobs=VALUES('Discovery Job Runs'[job_run_id])
RETURN IF(DateChosen || JobChosen,CALCULATE(DISTINCTCOUNT('cfg_bronze_schema_live'[table_name]),KEEPFILTERS(FILTER('cfg_bronze_schema_live',(NOT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key]),CALCULATE(DISTINCTCOUNT('cfg_bronze_schema_liv
[EXCERPT; exact complete expression and dependencies in linked current calculation document]
Saved source: project X/reports/WIP/SM WMPP Mission Control/SM WMPP Mission Control.SemanticModel/definition/tables/_MissionControl_Measures.tmdl:1771
Python/Spark SQL producer/reference spans: 00_setup_cfg.py:96; 90_run_archive_pipeline.py:144; 90_run_live_pipeline.py:78; 99_data_domain.py:110; 99_common_library.py:124; 01a_cfg_schema_capture_live.py:308; 06_reports.py:141
Calculated-table dependency: Load Calendar. Complete saved partition logic is included in the calculation document.</x:v>
      </x:c>
      <x:c r="G419" s="13" t="str">
        <x:v>Discovery cfg_bronze_schema_live Distinct objects</x:v>
      </x:c>
      <x:c r="H419" s="13" t="str">
        <x:v>Section 12 - Mission Control</x:v>
      </x:c>
      <x:c r="I419" s="30" t="n">
        <x:v>46312</x:v>
      </x:c>
    </x:row>
    <x:row r="420" ht="409" customHeight="1">
      <x:c r="A420" s="13" t="str">
        <x:v>MC-KPI-036</x:v>
      </x:c>
      <x:c r="B420" s="13"/>
      <x:c r="C420" s="13" t="str">
        <x:v>Discovery cfg_bronze_schema_live Rows</x:v>
      </x:c>
      <x:c r="D420" s="13" t="str">
        <x:v>Requirement association not established; owner review required.</x:v>
      </x:c>
      <x:c r="E420" s="13" t="str">
        <x:v>monitoring.cfg_bronze_schema_live; monitoring.cfg_job_run; monitoring.rpt_job_run_summary</x:v>
      </x:c>
      <x:c r="F42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KPI_LATEST_CALCULATIONS.md#mission-discovery-cfg-bronze-schema-live-rows
DAX [Discovery cfg_bronze_schema_live Rows]:
COALESCE((VAR DateChosen=ISFILTERED('Load Calendar'[Date])
VAR JobChosen=ISFILTERED('Discovery Job Runs'[job_run_id])
VAR Days=VALUES('Load Calendar'[Date])
VAR Jobs=VALUES('Discovery Job Runs'[job_run_id])
RETURN IF(DateChosen || JobChosen,CALCULATE(COUNTROWS('cfg_bronze_schema_live'),KEEPFILTERS(FILTER('cfg_bronze_schema_live',(NOT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key]),CALCULATE(COUNTROWS('cfg_bronze_schema_live'),KEEPFILTERS(TREA
[EXCERPT; exact complete expression and dependencies in linked current calculation document]
Saved source: project X/reports/WIP/SM WMPP Mission Control/SM WMPP Mission Control.SemanticModel/definition/tables/_MissionControl_Measures.tmdl:1209
Python/Spark SQL producer/reference spans: 00_setup_cfg.py:96; 90_run_archive_pipeline.py:144; 90_run_live_pipeline.py:78; 99_data_domain.py:110; 99_common_library.py:124; 01a_cfg_schema_capture_live.py:308; 06_reports.py:141
Calculated-table dependency: Load Calendar. Complete saved partition logic is included in the calculation document.</x:v>
      </x:c>
      <x:c r="G420" s="13" t="str">
        <x:v>Discovery cfg_bronze_schema_live Rows</x:v>
      </x:c>
      <x:c r="H420" s="13" t="str">
        <x:v>Section 12 - Mission Control</x:v>
      </x:c>
      <x:c r="I420" s="30" t="n">
        <x:v>46312</x:v>
      </x:c>
    </x:row>
    <x:row r="421" ht="409" customHeight="1">
      <x:c r="A421" s="13" t="str">
        <x:v>MC-KPI-037</x:v>
      </x:c>
      <x:c r="B421" s="13"/>
      <x:c r="C421" s="13" t="str">
        <x:v>Discovery cfg_bronze_schema_live Scope count</x:v>
      </x:c>
      <x:c r="D421" s="13" t="str">
        <x:v>Requirement association not established; owner review required.</x:v>
      </x:c>
      <x:c r="E421" s="13" t="str">
        <x:v>monitoring.cfg_bronze_schema_live; monitoring.cfg_job_run; monitoring.rpt_job_run_summary</x:v>
      </x:c>
      <x:c r="F42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KPI_LATEST_CALCULATIONS.md#mission-discovery-cfg-bronze-schema-live-scope-count
DAX [Discovery cfg_bronze_schema_live Scope count]:
COALESCE((VAR DateChosen=ISFILTERED('Load Calendar'[Date])
VAR JobChosen=ISFILTERED('Discovery Job Runs'[job_run_id])
VAR Days=VALUES('Load Calendar'[Date])
VAR Jobs=VALUES('Discovery Job Runs'[job_run_id])
RETURN IF(DateChosen || JobChosen,CALCULATE(COUNTROWS(SUMMARIZE('cfg_bronze_schema_live','cfg_bronze_schema_live'[table_name],'cfg_bronze_schema_live'[column_name])),KEEPFILTERS(FILTER('cfg_bronze_schema_live',(NOT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
[EXCERPT; exact complete expression and dependencies in linked current calculation document]
Saved source: project X/reports/WIP/SM WMPP Mission Control/SM WMPP Mission Control.SemanticModel/definition/tables/_MissionControl_Measures.tmdl:1761
Python/Spark SQL producer/reference spans: 00_setup_cfg.py:96; 90_run_archive_pipeline.py:144; 90_run_live_pipeline.py:78; 99_data_domain.py:110; 99_common_library.py:124; 01a_cfg_schema_capture_live.py:308; 06_reports.py:141
Calculated-table dependency: Load Calendar. Complete saved partition logic is included in the calculation document.</x:v>
      </x:c>
      <x:c r="G421" s="13" t="str">
        <x:v>Discovery cfg_bronze_schema_live Scope count</x:v>
      </x:c>
      <x:c r="H421" s="13" t="str">
        <x:v>Section 12 - Mission Control</x:v>
      </x:c>
      <x:c r="I421" s="30" t="n">
        <x:v>46312</x:v>
      </x:c>
    </x:row>
    <x:row r="422" ht="397" customHeight="1">
      <x:c r="A422" s="13" t="str">
        <x:v>MC-KPI-038</x:v>
      </x:c>
      <x:c r="B422" s="13"/>
      <x:c r="C422" s="13" t="str">
        <x:v>Discovery cfg_data_domain Discovery batches</x:v>
      </x:c>
      <x:c r="D422" s="13" t="str">
        <x:v>Requirement association not established; owner review required.</x:v>
      </x:c>
      <x:c r="E422" s="13" t="str">
        <x:v>monitoring.cfg_data_domain; monitoring.cfg_job_run; monitoring.rpt_job_run_summary</x:v>
      </x:c>
      <x:c r="F42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KPI_LATEST_CALCULATIONS.md#mission-discovery-cfg-data-domain-discovery-batches
DAX [Discovery cfg_data_domain Discovery batches]:
COALESCE((VAR DateChosen=ISFILTERED('Load Calendar'[Date])
VAR JobChosen=ISFILTERED('Discovery Job Runs'[job_run_id])
VAR AllVersions=SELECTEDVALUE('Domain History View'[Mode],"Latest version")="All retained versions"
VAR Days=VALUES('Load Calendar'[Date])
VAR Jobs=VALUES('Discovery Job Runs'[job_run_id])
VAR LatestKey=[Discovery cfg_data_domain Latest key]
VAR LatestTime=[Discovery cfg_data_domain Latest time]
[EXCERPT; exact complete expression and dependencies in linked current calculation document]
Saved source: project X/reports/WIP/SM WMPP Mission Control/SM WMPP Mission Control.SemanticModel/definition/tables/_MissionControl_Measures.tmdl:1698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422" s="13" t="str">
        <x:v>Discovery cfg_data_domain Discovery batches</x:v>
      </x:c>
      <x:c r="H422" s="13" t="str">
        <x:v>Section 12 - Mission Control</x:v>
      </x:c>
      <x:c r="I422" s="30" t="n">
        <x:v>46312</x:v>
      </x:c>
    </x:row>
    <x:row r="423" ht="397" customHeight="1">
      <x:c r="A423" s="13" t="str">
        <x:v>MC-KPI-039</x:v>
      </x:c>
      <x:c r="B423" s="13"/>
      <x:c r="C423" s="13" t="str">
        <x:v>Discovery cfg_data_domain Distinct objects</x:v>
      </x:c>
      <x:c r="D423" s="13" t="str">
        <x:v>Requirement association not established; owner review required.</x:v>
      </x:c>
      <x:c r="E423" s="13" t="str">
        <x:v>monitoring.cfg_data_domain; monitoring.cfg_job_run; monitoring.rpt_job_run_summary</x:v>
      </x:c>
      <x:c r="F42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KPI_LATEST_CALCULATIONS.md#mission-discovery-cfg-data-domain-distinct-objects
DAX [Discovery cfg_data_domain Distinct objects]:
COALESCE((VAR DateChosen=ISFILTERED('Load Calendar'[Date])
VAR JobChosen=ISFILTERED('Discovery Job Runs'[job_run_id])
VAR AllVersions=SELECTEDVALUE('Domain History View'[Mode],"Latest version")="All retained versions"
VAR Days=VALUES('Load Calendar'[Date])
VAR Jobs=VALUES('Discovery Job Runs'[job_run_id])
VAR LatestKey=[Discovery cfg_data_domain Latest key]
VAR LatestTime=[Discovery cfg_data_domain Latest time]
[EXCERPT; exact complete expression and dependencies in linked current calculation document]
Saved source: project X/reports/WIP/SM WMPP Mission Control/SM WMPP Mission Control.SemanticModel/definition/tables/_MissionControl_Measures.tmdl:1679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423" s="13" t="str">
        <x:v>Discovery cfg_data_domain Distinct objects</x:v>
      </x:c>
      <x:c r="H423" s="13" t="str">
        <x:v>Section 12 - Mission Control</x:v>
      </x:c>
      <x:c r="I423" s="30" t="n">
        <x:v>46312</x:v>
      </x:c>
    </x:row>
    <x:row r="424" ht="397" customHeight="1">
      <x:c r="A424" s="13" t="str">
        <x:v>MC-KPI-040</x:v>
      </x:c>
      <x:c r="B424" s="13"/>
      <x:c r="C424" s="13" t="str">
        <x:v>Discovery cfg_data_domain Rows</x:v>
      </x:c>
      <x:c r="D424" s="13" t="str">
        <x:v>Requirement association not established; owner review required.</x:v>
      </x:c>
      <x:c r="E424" s="13" t="str">
        <x:v>monitoring.cfg_data_domain; monitoring.cfg_job_run; monitoring.rpt_job_run_summary</x:v>
      </x:c>
      <x:c r="F42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KPI_LATEST_CALCULATIONS.md#mission-discovery-cfg-data-domain-rows
DAX [Discovery cfg_data_domain Rows]:
COALESCE((VAR DateChosen=ISFILTERED('Load Calendar'[Date])
VAR JobChosen=ISFILTERED('Discovery Job Runs'[job_run_id])
VAR AllVersions=SELECTEDVALUE('Domain History View'[Mode],"Latest version")="All retained versions"
VAR Days=VALUES('Load Calendar'[Date])
VAR Jobs=VALUES('Discovery Job Runs'[job_run_id])
VAR LatestKey=[Discovery cfg_data_domain Latest key]
VAR LatestTime=[Discovery cfg_data_domain Latest time]
[EXCERPT; exact complete expression and dependencies in linked current calculation document]
Saved source: project X/reports/WIP/SM WMPP Mission Control/SM WMPP Mission Control.SemanticModel/definition/tables/_MissionControl_Measures.tmdl:988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424" s="13" t="str">
        <x:v>Discovery cfg_data_domain Rows</x:v>
      </x:c>
      <x:c r="H424" s="13" t="str">
        <x:v>Section 12 - Mission Control</x:v>
      </x:c>
      <x:c r="I424" s="30" t="n">
        <x:v>46312</x:v>
      </x:c>
    </x:row>
    <x:row r="425" ht="397" customHeight="1">
      <x:c r="A425" s="13" t="str">
        <x:v>MC-KPI-041</x:v>
      </x:c>
      <x:c r="B425" s="13"/>
      <x:c r="C425" s="13" t="str">
        <x:v>Discovery cfg_data_domain Scope count</x:v>
      </x:c>
      <x:c r="D425" s="13" t="str">
        <x:v>Requirement association not established; owner review required.</x:v>
      </x:c>
      <x:c r="E425" s="13" t="str">
        <x:v>monitoring.cfg_data_domain; monitoring.cfg_job_run; monitoring.rpt_job_run_summary</x:v>
      </x:c>
      <x:c r="F42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KPI_LATEST_CALCULATIONS.md#mission-discovery-cfg-data-domain-scope-count
DAX [Discovery cfg_data_domain Scope count]:
COALESCE((VAR DateChosen=ISFILTERED('Load Calendar'[Date])
VAR JobChosen=ISFILTERED('Discovery Job Runs'[job_run_id])
VAR AllVersions=SELECTEDVALUE('Domain History View'[Mode],"Latest version")="All retained versions"
VAR Days=VALUES('Load Calendar'[Date])
VAR Jobs=VALUES('Discovery Job Runs'[job_run_id])
VAR LatestKey=[Discovery cfg_data_domain Latest key]
VAR LatestTime=[Discovery cfg_data_domain Latest time]
[EXCERPT; exact complete expression and dependencies in linked current calculation document]
Saved source: project X/reports/WIP/SM WMPP Mission Control/SM WMPP Mission Control.SemanticModel/definition/tables/_MissionControl_Measures.tmdl:1660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425" s="13" t="str">
        <x:v>Discovery cfg_data_domain Scope count</x:v>
      </x:c>
      <x:c r="H425" s="13" t="str">
        <x:v>Section 12 - Mission Control</x:v>
      </x:c>
      <x:c r="I425" s="30" t="n">
        <x:v>46312</x:v>
      </x:c>
    </x:row>
    <x:row r="426" ht="215" customHeight="1">
      <x:c r="A426" s="13" t="str">
        <x:v>MC-KPI-042</x:v>
      </x:c>
      <x:c r="B426" s="13"/>
      <x:c r="C426" s="13" t="str">
        <x:v>Discovery cfg_gold_lineage_mapping Rows</x:v>
      </x:c>
      <x:c r="D426" s="13" t="str">
        <x:v>Requirement association not established; owner review required.</x:v>
      </x:c>
      <x:c r="E426" s="13" t="str">
        <x:v>monitoring.cfg_gold_lineage_mapping</x:v>
      </x:c>
      <x:c r="F42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KPI_LATEST_CALCULATIONS.md#mission-discovery-cfg-gold-lineage-mapping-rows
DAX [Discovery cfg_gold_lineage_mapping Rows]:
COALESCE((COUNTROWS('cfg_gold_lineage_mapping')),0)
Saved source: project X/reports/WIP/SM WMPP Mission Control/SM WMPP Mission Control.SemanticModel/definition/tables/_MissionControl_Measures.tmdl:1636
Python/Spark SQL producer/reference spans: 00_setup_cfg.py:96</x:v>
      </x:c>
      <x:c r="G426" s="13" t="str">
        <x:v>Discovery cfg_gold_lineage_mapping Rows</x:v>
      </x:c>
      <x:c r="H426" s="13" t="str">
        <x:v>Section 12 - Mission Control</x:v>
      </x:c>
      <x:c r="I426" s="30" t="n">
        <x:v>46312</x:v>
      </x:c>
    </x:row>
    <x:row r="427" ht="215" customHeight="1">
      <x:c r="A427" s="13" t="str">
        <x:v>MC-KPI-043</x:v>
      </x:c>
      <x:c r="B427" s="13"/>
      <x:c r="C427" s="13" t="str">
        <x:v>Discovery cfg_location_coordinate Rows</x:v>
      </x:c>
      <x:c r="D427" s="13" t="str">
        <x:v>Requirement association not established; owner review required.</x:v>
      </x:c>
      <x:c r="E427" s="13" t="str">
        <x:v>monitoring.cfg_location_coordinate</x:v>
      </x:c>
      <x:c r="F42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KPI_LATEST_CALCULATIONS.md#mission-discovery-cfg-location-coordinate-rows
DAX [Discovery cfg_location_coordinate Rows]:
COALESCE((COUNTROWS('cfg_location_coordinate')),0)
Saved source: project X/reports/WIP/SM WMPP Mission Control/SM WMPP Mission Control.SemanticModel/definition/tables/_MissionControl_Measures.tmdl:1037
Python/Spark SQL producer/reference spans: 00_setup_cfg.py:96</x:v>
      </x:c>
      <x:c r="G427" s="13" t="str">
        <x:v>Discovery cfg_location_coordinate Rows</x:v>
      </x:c>
      <x:c r="H427" s="13" t="str">
        <x:v>Section 12 - Mission Control</x:v>
      </x:c>
      <x:c r="I427" s="30" t="n">
        <x:v>46312</x:v>
      </x:c>
    </x:row>
    <x:row r="428" ht="241" customHeight="1">
      <x:c r="A428" s="13" t="str">
        <x:v>MC-KPI-044</x:v>
      </x:c>
      <x:c r="B428" s="13"/>
      <x:c r="C428" s="13" t="str">
        <x:v>Discovery cfg_month_end_gold_run Rows</x:v>
      </x:c>
      <x:c r="D428" s="13" t="str">
        <x:v>Requirement association not established; owner review required.</x:v>
      </x:c>
      <x:c r="E428" s="13" t="str">
        <x:v>monitoring.cfg_month_end_gold_run</x:v>
      </x:c>
      <x:c r="F42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KPI_LATEST_CALCULATIONS.md#mission-discovery-cfg-month-end-gold-run-rows
DAX [Discovery cfg_month_end_gold_run Rows]:
COALESCE(CALCULATE(COUNTROWS(cfg_month_end_gold_run), KEEPFILTERS(TREATAS({[Discovery cfg_month_end_gold_run Latest key]}, cfg_month_end_gold_run[run_id]))), 0)
Saved source: project X/reports/WIP/SM WMPP Mission Control/SM WMPP Mission Control.SemanticModel/definition/tables/_MissionControl_Measures.tmdl:2050
Python/Spark SQL producer/reference spans: 02a_archive_silver.py:611</x:v>
      </x:c>
      <x:c r="G428" s="13" t="str">
        <x:v>Discovery cfg_month_end_gold_run Rows</x:v>
      </x:c>
      <x:c r="H428" s="13" t="str">
        <x:v>Section 12 - Mission Control</x:v>
      </x:c>
      <x:c r="I428" s="30" t="n">
        <x:v>46312</x:v>
      </x:c>
    </x:row>
    <x:row r="429" ht="409" customHeight="1">
      <x:c r="A429" s="13" t="str">
        <x:v>MC-KPI-045</x:v>
      </x:c>
      <x:c r="B429" s="13"/>
      <x:c r="C429" s="13" t="str">
        <x:v>Discovery cfg_referential_exception Rows</x:v>
      </x:c>
      <x:c r="D429" s="13" t="str">
        <x:v>Requirement association not established; owner review required.</x:v>
      </x:c>
      <x:c r="E429" s="13" t="str">
        <x:v>monitoring.cfg_job_run; monitoring.cfg_referential_exception; monitoring.rpt_job_run_summary</x:v>
      </x:c>
      <x:c r="F42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KPI_LATEST_CALCULATIONS.md#mission-discovery-cfg-referential-exception-rows
DAX [Discovery cfg_referential_exception Rows]:
COALESCE((VAR DateChosen=ISFILTERED('Load Calendar'[Date])
VAR JobChosen=ISFILTERED('Discovery Job Runs'[job_run_id])
VAR Days=VALUES('Load Calendar'[Date])
VAR Jobs=VALUES('Discovery Job Runs'[job_run_id])
RETURN IF(DateChosen || JobChosen,CALCULATE(COUNTROWS('cfg_referential_exception'),KEEPFILTERS(FILTER('cfg_referential_exception',(NOT DateChosen || ((NOT ISBLANK('cfg_referential_exception'[detected_at]) &amp;&amp; INT('cfg_referential_exception'[detected_at]) IN Days))) &amp;&amp; (NOT JobChosen || 'cfg_referential_exception'[job_run_id] IN Jobs)))),IF(ISBLANK([Discovery cfg_referential_exception Latest key]),CALCULATE(COUNTROWS('cfg_referential_excepti
[EXCERPT; exact complete expression and dependencies in linked current calculation document]
Saved source: project X/reports/WIP/SM WMPP Mission Control/SM WMPP Mission Control.SemanticModel/definition/tables/_MissionControl_Measures.tmdl:1380
Python/Spark SQL producer/reference spans: 03_silver_business_rules.py:208; 99_common_library.py:124; 00_setup_cfg.py:96; 90_run_archive_pipeline.py:144; 90_run_live_pipeline.py:78; 99_data_domain.py:110; 06_reports.py:141
Calculated-table dependency: Load Calendar. Complete saved partition logic is included in the calculation document.</x:v>
      </x:c>
      <x:c r="G429" s="13" t="str">
        <x:v>Discovery cfg_referential_exception Rows</x:v>
      </x:c>
      <x:c r="H429" s="13" t="str">
        <x:v>Section 12 - Mission Control</x:v>
      </x:c>
      <x:c r="I429" s="30" t="n">
        <x:v>46312</x:v>
      </x:c>
    </x:row>
    <x:row r="430" ht="409" customHeight="1">
      <x:c r="A430" s="13" t="str">
        <x:v>MC-KPI-046</x:v>
      </x:c>
      <x:c r="B430" s="13"/>
      <x:c r="C430" s="13" t="str">
        <x:v>Discovery cfg_rejected_row Rows</x:v>
      </x:c>
      <x:c r="D430" s="13" t="str">
        <x:v>Requirement association not established; owner review required.</x:v>
      </x:c>
      <x:c r="E430" s="13" t="str">
        <x:v>monitoring.cfg_job_run; monitoring.cfg_rejected_row; monitoring.rpt_job_run_summary</x:v>
      </x:c>
      <x:c r="F43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KPI_LATEST_CALCULATIONS.md#mission-discovery-cfg-rejected-row-rows
DAX [Discovery cfg_rejected_row Rows]:
COALESCE((VAR DateChosen=ISFILTERED('Load Calendar'[Date])
VAR JobChosen=ISFILTERED('Discovery Job Runs'[job_run_id])
VAR Days=VALUES('Load Calendar'[Date])
VAR Jobs=VALUES('Discovery Job Runs'[job_run_id])
RETURN IF(DateChosen || JobChosen,CALCULATE(COUNTROWS('cfg_rejected_row'),KEEPFILTERS(FILTER('cfg_rejected_row',(NOT DateChosen || ((NOT ISBLANK('cfg_rejected_row'[rejected_at]) &amp;&amp; INT('cfg_rejected_row'[rejected_at]) IN Days))) &amp;&amp; (NOT JobChosen || 'cfg_rejected_row'[job_run_id] IN Jobs)))),IF(ISBLANK([Discovery cfg_rejected_row Latest key]),CALCULATE(COUNTROWS('cfg_rejected_row'),KEEPFILTERS(TREATAS({[Discovery cfg_rejected_row Latest ti
[EXCERPT; exact complete expression and dependencies in linked current calculation document]
Saved source: project X/reports/WIP/SM WMPP Mission Control/SM WMPP Mission Control.SemanticModel/definition/tables/_MissionControl_Measures.tmdl:1335
Python/Spark SQL producer/reference spans: 03_silver_business_rules.py:208; 03_silver_business_rules.py:366; 99_common_library.py:124; 00_setup_cfg.py:96; 90_run_archive_pipeline.py:144; 90_run_live_pipeline.py:78; 99_data_domain.py:110; 06_reports.py:141
Calculated-table dependency: Load Calendar. Complete saved partition logic is included in the calculation document.</x:v>
      </x:c>
      <x:c r="G430" s="13" t="str">
        <x:v>Discovery cfg_rejected_row Rows</x:v>
      </x:c>
      <x:c r="H430" s="13" t="str">
        <x:v>Section 12 - Mission Control</x:v>
      </x:c>
      <x:c r="I430" s="30" t="n">
        <x:v>46312</x:v>
      </x:c>
    </x:row>
    <x:row r="431" ht="397" customHeight="1">
      <x:c r="A431" s="13" t="str">
        <x:v>MC-KPI-047</x:v>
      </x:c>
      <x:c r="B431" s="13"/>
      <x:c r="C431" s="13" t="str">
        <x:v>Discovery cfg_schema_contract_column Rows</x:v>
      </x:c>
      <x:c r="D431" s="13" t="str">
        <x:v>Requirement association not established; owner review required.</x:v>
      </x:c>
      <x:c r="E431" s="13" t="str">
        <x:v>monitoring.cfg_job_run; monitoring.cfg_schema_contract_column; monitoring.rpt_job_run_summary</x:v>
      </x:c>
      <x:c r="F43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KPI_LATEST_CALCULATIONS.md#mission-discovery-cfg-schema-contract-column-rows
DAX [Discovery cfg_schema_contract_column Rows]:
COALESCE((VAR DateChosen=ISFILTERED('Load Calendar'[Date])
VAR JobChosen=ISFILTERED('Discovery Job Runs'[job_run_id])
VAR Days=VALUES('Load Calendar'[Date])
VAR Jobs=VALUES('Discovery Job Runs'[job_run_id])
RETURN IF(DateChosen,CALCULATE(COUNTROWS('cfg_schema_contract_column'),KEEPFILTERS(FILTER('cfg_schema_contract_column',(NOT DateChosen || ((NOT ISBLANK('cfg_schema_contract_column'[contract_loaded_at]) &amp;&amp; INT('cfg_schema_contract_column'[contract_loaded_at]) IN Days)))))),CALCULATE(COUNTROWS('cfg_schema_contract_column'),KEEPFILTERS(TREATAS({[Discovery cfg_schema_contract_column Latest time]}, cfg_schema_contract_column[contract_loaded_at]))))),0)
Saved source: project X/reports/WIP/SM WMPP Mission Control/SM WMPP Mission Control.SemanticModel/definition/tables/_MissionControl_Measures.tmdl:1245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31" s="13" t="str">
        <x:v>Discovery cfg_schema_contract_column Rows</x:v>
      </x:c>
      <x:c r="H431" s="13" t="str">
        <x:v>Section 12 - Mission Control</x:v>
      </x:c>
      <x:c r="I431" s="30" t="n">
        <x:v>46312</x:v>
      </x:c>
    </x:row>
    <x:row r="432" ht="215" customHeight="1">
      <x:c r="A432" s="13" t="str">
        <x:v>MC-KPI-048</x:v>
      </x:c>
      <x:c r="B432" s="13"/>
      <x:c r="C432" s="13" t="str">
        <x:v>Discovery cfg_schema_definition_candidate Rows</x:v>
      </x:c>
      <x:c r="D432" s="13" t="str">
        <x:v>Requirement association not established; owner review required.</x:v>
      </x:c>
      <x:c r="E432" s="13" t="str">
        <x:v>monitoring.cfg_schema_definition_candidate</x:v>
      </x:c>
      <x:c r="F43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KPI_LATEST_CALCULATIONS.md#mission-discovery-cfg-schema-definition-candidate-rows
DAX [Discovery cfg_schema_definition_candidate Rows]:
COALESCE((COUNTROWS('cfg_schema_definition_candidate')),0)
Saved source: project X/reports/WIP/SM WMPP Mission Control/SM WMPP Mission Control.SemanticModel/definition/tables/_MissionControl_Measures.tmdl:1179
Python/Spark SQL producer/reference spans: 01a_cfg_schema_capture_live.py:189</x:v>
      </x:c>
      <x:c r="G432" s="13" t="str">
        <x:v>Discovery cfg_schema_definition_candidate Rows</x:v>
      </x:c>
      <x:c r="H432" s="13" t="str">
        <x:v>Section 12 - Mission Control</x:v>
      </x:c>
      <x:c r="I432" s="30" t="n">
        <x:v>46312</x:v>
      </x:c>
    </x:row>
    <x:row r="433" ht="397" customHeight="1">
      <x:c r="A433" s="13" t="str">
        <x:v>MC-KPI-049</x:v>
      </x:c>
      <x:c r="B433" s="13"/>
      <x:c r="C433" s="13" t="str">
        <x:v>Discovery cfg_schema_drift_definition Rows</x:v>
      </x:c>
      <x:c r="D433" s="13" t="str">
        <x:v>Requirement association not established; owner review required.</x:v>
      </x:c>
      <x:c r="E433" s="13" t="str">
        <x:v>monitoring.cfg_job_run; monitoring.cfg_schema_drift_definition; monitoring.rpt_job_run_summary</x:v>
      </x:c>
      <x:c r="F43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KPI_LATEST_CALCULATIONS.md#mission-discovery-cfg-schema-drift-definition-rows
DAX [Discovery cfg_schema_drift_definition Rows]:
COALESCE((VAR DateChosen=ISFILTERED('Load Calendar'[Date])
VAR JobChosen=ISFILTERED('Discovery Job Runs'[job_run_id])
VAR Days=VALUES('Load Calendar'[Date])
VAR Jobs=VALUES('Discovery Job Runs'[job_run_id])
RETURN IF(DateChosen,CALCULATE(COUNTROWS('cfg_schema_drift_definition'),KEEPFILTERS(FILTER('cfg_schema_drift_definition',(NOT DateChosen || ((NOT ISBLANK('cfg_schema_drift_definition'[definition_loaded_at]) &amp;&amp; INT('cfg_schema_drift_definition'[definition_loaded_at]) IN Days)))))),CALCULATE(COUNTROWS('cfg_schema_drift_definition'),KEEPFILTERS(TREATAS({[Discovery cfg_schema_drift_definition Latest time]}, cfg_schema_drift_definition[definition_loaded_at]))))),0)
Saved source: project X/reports/WIP/SM WMPP Mission Control/SM WMPP Mission Control.SemanticModel/definition/tables/_MissionControl_Measures.tmdl:1148
Python/Spark SQL producer/reference spans: 00_setup_cfg.py:96; 90_run_archive_pipeline.py:144; 90_run_live_pipeline.py:78; 99_data_domain.py:110; 99_common_library.py:124; 01a_cfg_schema_capture_live.py:120; 06_reports.py:141
Calculated-table dependency: Load Calendar. Complete saved partition logic is included in the calculation document.</x:v>
      </x:c>
      <x:c r="G433" s="13" t="str">
        <x:v>Discovery cfg_schema_drift_definition Rows</x:v>
      </x:c>
      <x:c r="H433" s="13" t="str">
        <x:v>Section 12 - Mission Control</x:v>
      </x:c>
      <x:c r="I433" s="30" t="n">
        <x:v>46312</x:v>
      </x:c>
    </x:row>
    <x:row r="434" ht="409" customHeight="1">
      <x:c r="A434" s="13" t="str">
        <x:v>MC-KPI-050</x:v>
      </x:c>
      <x:c r="B434" s="13"/>
      <x:c r="C434" s="13" t="str">
        <x:v>Discovery cfg_schema_drift_event Discovery batches</x:v>
      </x:c>
      <x:c r="D434" s="13" t="str">
        <x:v>Requirement association not established; owner review required.</x:v>
      </x:c>
      <x:c r="E434" s="13" t="str">
        <x:v>monitoring.cfg_job_run; monitoring.cfg_schema_drift_event; monitoring.rpt_job_run_summary</x:v>
      </x:c>
      <x:c r="F43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KPI_LATEST_CALCULATIONS.md#mission-discovery-cfg-schema-drift-event-discovery-batches
DAX [Discovery cfg_schema_drift_event Discovery batches]:
COALESCE((VAR DateChosen=ISFILTERED('Load Calendar'[Date])
VAR JobChosen=ISFILTERED('Discovery Job Runs'[job_run_id])
VAR Days=VALUES('Load Calendar'[Date])
VAR Jobs=VALUES('Discovery Job Runs'[job_run_id])
RETURN IF(DateChosen || JobChosen,CALCULATE(DISTINCTCOUNT('cfg_schema_drift_event'[run_id]),KEEPFILTERS(FILTER('cfg_schema_drift_event',(NOT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
[EXCERPT; exact complete expression and dependencies in linked current calculation document]
Saved source: project X/reports/WIP/SM WMPP Mission Control/SM WMPP Mission Control.SemanticModel/definition/tables/_MissionControl_Measures.tmdl:1744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434" s="13" t="str">
        <x:v>Discovery cfg_schema_drift_event Discovery batches</x:v>
      </x:c>
      <x:c r="H434" s="13" t="str">
        <x:v>Section 12 - Mission Control</x:v>
      </x:c>
      <x:c r="I434" s="30" t="n">
        <x:v>46312</x:v>
      </x:c>
    </x:row>
    <x:row r="435" ht="409" customHeight="1">
      <x:c r="A435" s="13" t="str">
        <x:v>MC-KPI-051</x:v>
      </x:c>
      <x:c r="B435" s="13"/>
      <x:c r="C435" s="13" t="str">
        <x:v>Discovery cfg_schema_drift_event Distinct objects</x:v>
      </x:c>
      <x:c r="D435" s="13" t="str">
        <x:v>Requirement association not established; owner review required.</x:v>
      </x:c>
      <x:c r="E435" s="13" t="str">
        <x:v>monitoring.cfg_job_run; monitoring.cfg_schema_drift_event; monitoring.rpt_job_run_summary</x:v>
      </x:c>
      <x:c r="F43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KPI_LATEST_CALCULATIONS.md#mission-discovery-cfg-schema-drift-event-distinct-objects
DAX [Discovery cfg_schema_drift_event Distinct objects]:
COALESCE((VAR DateChosen=ISFILTERED('Load Calendar'[Date])
VAR JobChosen=ISFILTERED('Discovery Job Runs'[job_run_id])
VAR Days=VALUES('Load Calendar'[Date])
VAR Jobs=VALUES('Discovery Job Runs'[job_run_id])
RETURN IF(DateChosen || JobChosen,CALCULATE(DISTINCTCOUNT('cfg_schema_drift_event'[target_table]),KEEPFILTERS(FILTER('cfg_schema_drift_event',(NOT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
[EXCERPT; exact complete expression and dependencies in linked current calculation document]
Saved source: project X/reports/WIP/SM WMPP Mission Control/SM WMPP Mission Control.SemanticModel/definition/tables/_MissionControl_Measures.tmdl:1734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435" s="13" t="str">
        <x:v>Discovery cfg_schema_drift_event Distinct objects</x:v>
      </x:c>
      <x:c r="H435" s="13" t="str">
        <x:v>Section 12 - Mission Control</x:v>
      </x:c>
      <x:c r="I435" s="30" t="n">
        <x:v>46312</x:v>
      </x:c>
    </x:row>
    <x:row r="436" ht="409" customHeight="1">
      <x:c r="A436" s="13" t="str">
        <x:v>MC-KPI-052</x:v>
      </x:c>
      <x:c r="B436" s="13"/>
      <x:c r="C436" s="13" t="str">
        <x:v>Discovery cfg_schema_drift_event Rows</x:v>
      </x:c>
      <x:c r="D436" s="13" t="str">
        <x:v>Requirement association not established; owner review required.</x:v>
      </x:c>
      <x:c r="E436" s="13" t="str">
        <x:v>monitoring.cfg_job_run; monitoring.cfg_schema_drift_event; monitoring.rpt_job_run_summary</x:v>
      </x:c>
      <x:c r="F43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KPI_LATEST_CALCULATIONS.md#mission-discovery-cfg-schema-drift-event-rows
DAX [Discovery cfg_schema_drift_event Rows]:
COALESCE((VAR DateChosen=ISFILTERED('Load Calendar'[Date])
VAR JobChosen=ISFILTERED('Discovery Job Runs'[job_run_id])
VAR Days=VALUES('Load Calendar'[Date])
VAR Jobs=VALUES('Discovery Job Runs'[job_run_id])
RETURN IF(DateChosen || JobChosen,CALCULATE(COUNTROWS('cfg_schema_drift_event'),KEEPFILTERS(FILTER('cfg_schema_drift_event',(NOT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
[EXCERPT; exact complete expression and dependencies in linked current calculation document]
Saved source: project X/reports/WIP/SM WMPP Mission Control/SM WMPP Mission Control.SemanticModel/definition/tables/_MissionControl_Measures.tmdl:1067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436" s="13" t="str">
        <x:v>Discovery cfg_schema_drift_event Rows</x:v>
      </x:c>
      <x:c r="H436" s="13" t="str">
        <x:v>Section 12 - Mission Control</x:v>
      </x:c>
      <x:c r="I436" s="30" t="n">
        <x:v>46312</x:v>
      </x:c>
    </x:row>
    <x:row r="437" ht="409" customHeight="1">
      <x:c r="A437" s="13" t="str">
        <x:v>MC-KPI-053</x:v>
      </x:c>
      <x:c r="B437" s="13"/>
      <x:c r="C437" s="13" t="str">
        <x:v>Discovery cfg_schema_drift_event Scope count</x:v>
      </x:c>
      <x:c r="D437" s="13" t="str">
        <x:v>Requirement association not established; owner review required.</x:v>
      </x:c>
      <x:c r="E437" s="13" t="str">
        <x:v>monitoring.cfg_job_run; monitoring.cfg_schema_drift_event; monitoring.rpt_job_run_summary</x:v>
      </x:c>
      <x:c r="F43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KPI_LATEST_CALCULATIONS.md#mission-discovery-cfg-schema-drift-event-scope-count
DAX [Discovery cfg_schema_drift_event Scope count]:
COALESCE((VAR DateChosen=ISFILTERED('Load Calendar'[Date])
VAR JobChosen=ISFILTERED('Discovery Job Runs'[job_run_id])
VAR Days=VALUES('Load Calendar'[Date])
VAR Jobs=VALUES('Discovery Job Runs'[job_run_id])
RETURN IF(DateChosen || JobChosen,CALCULATE(COUNTROWS(SUMMARIZE('cfg_schema_drift_event','cfg_schema_drift_event'[drift_key])),KEEPFILTERS(FILTER('cfg_schema_drift_event',(NOT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
[EXCERPT; exact complete expression and dependencies in linked current calculation document]
Saved source: project X/reports/WIP/SM WMPP Mission Control/SM WMPP Mission Control.SemanticModel/definition/tables/_MissionControl_Measures.tmdl:1724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437" s="13" t="str">
        <x:v>Discovery cfg_schema_drift_event Scope count</x:v>
      </x:c>
      <x:c r="H437" s="13" t="str">
        <x:v>Section 12 - Mission Control</x:v>
      </x:c>
      <x:c r="I437" s="30" t="n">
        <x:v>46312</x:v>
      </x:c>
    </x:row>
    <x:row r="438" ht="409" customHeight="1">
      <x:c r="A438" s="13" t="str">
        <x:v>MC-KPI-054</x:v>
      </x:c>
      <x:c r="B438" s="13"/>
      <x:c r="C438" s="13" t="str">
        <x:v>Discovery cfg_silver_export_load Rows</x:v>
      </x:c>
      <x:c r="D438" s="13" t="str">
        <x:v>Requirement association not established; owner review required.</x:v>
      </x:c>
      <x:c r="E438" s="13" t="str">
        <x:v>monitoring.cfg_job_run; monitoring.cfg_silver_export_load; monitoring.rpt_job_run_summary</x:v>
      </x:c>
      <x:c r="F43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KPI_LATEST_CALCULATIONS.md#mission-discovery-cfg-silver-export-load-rows
DAX [Discovery cfg_silver_export_load Rows]:
COALESCE((VAR DateChosen=ISFILTERED('Load Calendar'[Date])
VAR JobChosen=ISFILTERED('Discovery Job Runs'[job_run_id])
VAR Days=VALUES('Load Calendar'[Date])
VAR Jobs=VALUES('Discovery Job Runs'[job_run_id])
RETURN IF(DateChosen || JobChosen,CALCULATE(COUNTROWS('cfg_silver_export_load'),KEEPFILTERS(FILTER('cfg_silver_export_load',(NOT DateChosen || (NOT ISBLANK(COALESCE(cfg_silver_export_load[last_updated_at],COALESCE(cfg_silver_export_load[ended_at],cfg_silver_export_load[started_at]))) &amp;&amp; INT(COALESCE(cfg_silver_export_load[last_updated_at],COALESCE(cfg_silver_export_load[ended_at],cfg_silver_export_load[started_at]))) IN Days)) &amp;&amp; (NOT JobC
[EXCERPT; exact complete expression and dependencies in linked current calculation document]
Saved source: project X/reports/WIP/SM WMPP Mission Control/SM WMPP Mission Control.SemanticModel/definition/tables/_MissionControl_Measures.tmdl:1470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38" s="13" t="str">
        <x:v>Discovery cfg_silver_export_load Rows</x:v>
      </x:c>
      <x:c r="H438" s="13" t="str">
        <x:v>Section 12 - Mission Control</x:v>
      </x:c>
      <x:c r="I438" s="30" t="n">
        <x:v>46312</x:v>
      </x:c>
    </x:row>
    <x:row r="439" ht="409" customHeight="1">
      <x:c r="A439" s="13" t="str">
        <x:v>MC-KPI-055</x:v>
      </x:c>
      <x:c r="B439" s="13"/>
      <x:c r="C439" s="13" t="str">
        <x:v>Discovery cfg_silver_load_control Rows</x:v>
      </x:c>
      <x:c r="D439" s="13" t="str">
        <x:v>Requirement association not established; owner review required.</x:v>
      </x:c>
      <x:c r="E439" s="13" t="str">
        <x:v>monitoring.cfg_job_run; monitoring.cfg_silver_load_control; monitoring.rpt_job_run_summary</x:v>
      </x:c>
      <x:c r="F43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KPI_LATEST_CALCULATIONS.md#mission-discovery-cfg-silver-load-control-rows
DAX [Discovery cfg_silver_load_control Rows]:
COALESCE((VAR DateChosen=ISFILTERED('Load Calendar'[Date])
VAR JobChosen=ISFILTERED('Discovery Job Runs'[job_run_id])
VAR Days=VALUES('Load Calendar'[Date])
VAR Jobs=VALUES('Discovery Job Runs'[job_run_id])
RETURN IF(DateChosen,CALCULATE(COUNTROWS('cfg_silver_load_control'),KEEPFILTERS(FILTER('cfg_silver_load_control',(NOT DateChosen || (NOT ISBLANK(COALESCE(cfg_silver_load_control[ended_at],cfg_silver_load_control[started_at])) &amp;&amp; INT(COALESCE(cfg_silver_load_control[ended_at],cfg_silver_load_control[started_at])) IN Days))))),IF(ISBLANK([Discovery cfg_silver_load_control Latest key]),CALCULATE(COUNTROWS('cfg_silver_load_control'),KEEPFILTER
[EXCERPT; exact complete expression and dependencies in linked current calculation document]
Saved source: project X/reports/WIP/SM WMPP Mission Control/SM WMPP Mission Control.SemanticModel/definition/tables/_MissionControl_Measures.tmdl:1515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39" s="13" t="str">
        <x:v>Discovery cfg_silver_load_control Rows</x:v>
      </x:c>
      <x:c r="H439" s="13" t="str">
        <x:v>Section 12 - Mission Control</x:v>
      </x:c>
      <x:c r="I439" s="30" t="n">
        <x:v>46312</x:v>
      </x:c>
    </x:row>
    <x:row r="440" ht="409" customHeight="1">
      <x:c r="A440" s="13" t="str">
        <x:v>MC-KPI-056</x:v>
      </x:c>
      <x:c r="B440" s="13"/>
      <x:c r="C440" s="13" t="str">
        <x:v>Discovery cfg_table_load_metric Discovery batches</x:v>
      </x:c>
      <x:c r="D440" s="13" t="str">
        <x:v>Requirement association not established; owner review required.</x:v>
      </x:c>
      <x:c r="E440" s="13" t="str">
        <x:v>monitoring.cfg_job_run; monitoring.cfg_table_load_metric; monitoring.rpt_job_run_summary</x:v>
      </x:c>
      <x:c r="F44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KPI_LATEST_CALCULATIONS.md#mission-discovery-cfg-table-load-metric-discovery-batches
DAX [Discovery cfg_table_load_metric Discovery batches]:
COALESCE((VAR DateChosen=ISFILTERED('Load Calendar'[Date])
VAR JobChosen=ISFILTERED('Discovery Job Runs'[job_run_id])
VAR Days=VALUES('Load Calendar'[Date])
VAR Jobs=VALUES('Discovery Job Runs'[job_run_id])
RETURN IF(DateChosen || JobChosen,CALCULATE(DISTINCTCOUNT('cfg_table_load_metric'[run_id]),KEEPFILTERS(FILTER('cfg_table_load_metric',(NOT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key]),CALCULATE(DISTINCTCOUNT('cfg_table_load_metric'[run_id])
[EXCERPT; exact complete expression and dependencies in linked current calculation document]
Saved source: project X/reports/WIP/SM WMPP Mission Control/SM WMPP Mission Control.SemanticModel/definition/tables/_MissionControl_Measures.tmdl:1855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40" s="13" t="str">
        <x:v>Discovery cfg_table_load_metric Discovery batches</x:v>
      </x:c>
      <x:c r="H440" s="13" t="str">
        <x:v>Section 12 - Mission Control</x:v>
      </x:c>
      <x:c r="I440" s="30" t="n">
        <x:v>46312</x:v>
      </x:c>
    </x:row>
    <x:row r="441" ht="409" customHeight="1">
      <x:c r="A441" s="13" t="str">
        <x:v>MC-KPI-057</x:v>
      </x:c>
      <x:c r="B441" s="13"/>
      <x:c r="C441" s="13" t="str">
        <x:v>Discovery cfg_table_load_metric Distinct objects</x:v>
      </x:c>
      <x:c r="D441" s="13" t="str">
        <x:v>Requirement association not established; owner review required.</x:v>
      </x:c>
      <x:c r="E441" s="13" t="str">
        <x:v>monitoring.cfg_job_run; monitoring.cfg_table_load_metric; monitoring.rpt_job_run_summary</x:v>
      </x:c>
      <x:c r="F44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KPI_LATEST_CALCULATIONS.md#mission-discovery-cfg-table-load-metric-distinct-objects
DAX [Discovery cfg_table_load_metric Distinct objects]:
COALESCE((VAR DateChosen=ISFILTERED('Load Calendar'[Date])
VAR JobChosen=ISFILTERED('Discovery Job Runs'[job_run_id])
VAR Days=VALUES('Load Calendar'[Date])
VAR Jobs=VALUES('Discovery Job Runs'[job_run_id])
RETURN IF(DateChosen || JobChosen,CALCULATE(DISTINCTCOUNT('cfg_table_load_metric'[source_object]),KEEPFILTERS(FILTER('cfg_table_load_metric',(NOT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key]),CALCULATE(DISTINCTCOUNT('cfg_table_load_metric'[s
[EXCERPT; exact complete expression and dependencies in linked current calculation document]
Saved source: project X/reports/WIP/SM WMPP Mission Control/SM WMPP Mission Control.SemanticModel/definition/tables/_MissionControl_Measures.tmdl:1845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41" s="13" t="str">
        <x:v>Discovery cfg_table_load_metric Distinct objects</x:v>
      </x:c>
      <x:c r="H441" s="13" t="str">
        <x:v>Section 12 - Mission Control</x:v>
      </x:c>
      <x:c r="I441" s="30" t="n">
        <x:v>46312</x:v>
      </x:c>
    </x:row>
    <x:row r="442" ht="409" customHeight="1">
      <x:c r="A442" s="13" t="str">
        <x:v>MC-KPI-058</x:v>
      </x:c>
      <x:c r="B442" s="13"/>
      <x:c r="C442" s="13" t="str">
        <x:v>Discovery cfg_table_load_metric Rows</x:v>
      </x:c>
      <x:c r="D442" s="13" t="str">
        <x:v>Requirement association not established; owner review required.</x:v>
      </x:c>
      <x:c r="E442" s="13" t="str">
        <x:v>monitoring.cfg_job_run; monitoring.cfg_table_load_metric; monitoring.rpt_job_run_summary</x:v>
      </x:c>
      <x:c r="F44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KPI_LATEST_CALCULATIONS.md#mission-discovery-cfg-table-load-metric-rows
DAX [Discovery cfg_table_load_metric Rows]:
COALESCE((VAR DateChosen=ISFILTERED('Load Calendar'[Date])
VAR JobChosen=ISFILTERED('Discovery Job Runs'[job_run_id])
VAR Days=VALUES('Load Calendar'[Date])
VAR Jobs=VALUES('Discovery Job Runs'[job_run_id])
RETURN IF(DateChosen || JobChosen,CALCULATE(COUNTROWS('cfg_table_load_metric'),KEEPFILTERS(FILTER('cfg_table_load_metric',(NOT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key]),CALCULATE(COUNTROWS('cfg_table_load_metric'),KEEPFILTERS(TREATAS({[D
[EXCERPT; exact complete expression and dependencies in linked current calculation document]
Saved source: project X/reports/WIP/SM WMPP Mission Control/SM WMPP Mission Control.SemanticModel/definition/tables/_MissionControl_Measures.tmdl:1425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42" s="13" t="str">
        <x:v>Discovery cfg_table_load_metric Rows</x:v>
      </x:c>
      <x:c r="H442" s="13" t="str">
        <x:v>Section 12 - Mission Control</x:v>
      </x:c>
      <x:c r="I442" s="30" t="n">
        <x:v>46312</x:v>
      </x:c>
    </x:row>
    <x:row r="443" ht="409" customHeight="1">
      <x:c r="A443" s="13" t="str">
        <x:v>MC-KPI-059</x:v>
      </x:c>
      <x:c r="B443" s="13"/>
      <x:c r="C443" s="13" t="str">
        <x:v>Discovery cfg_table_load_metric Scope count</x:v>
      </x:c>
      <x:c r="D443" s="13" t="str">
        <x:v>Requirement association not established; owner review required.</x:v>
      </x:c>
      <x:c r="E443" s="13" t="str">
        <x:v>monitoring.cfg_job_run; monitoring.cfg_table_load_metric; monitoring.rpt_job_run_summary</x:v>
      </x:c>
      <x:c r="F44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KPI_LATEST_CALCULATIONS.md#mission-discovery-cfg-table-load-metric-scope-count
DAX [Discovery cfg_table_load_metric Scope count]:
COALESCE((VAR DateChosen=ISFILTERED('Load Calendar'[Date])
VAR JobChosen=ISFILTERED('Discovery Job Runs'[job_run_id])
VAR Days=VALUES('Load Calendar'[Date])
VAR Jobs=VALUES('Discovery Job Runs'[job_run_id])
RETURN IF(DateChosen || JobChosen,CALCULATE(COUNTROWS(SUMMARIZE('cfg_table_load_metric','cfg_table_load_metric'[target_object])),KEEPFILTERS(FILTER('cfg_table_load_metric',(NOT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key]),CALCULATE(COUNTROW
[EXCERPT; exact complete expression and dependencies in linked current calculation document]
Saved source: project X/reports/WIP/SM WMPP Mission Control/SM WMPP Mission Control.SemanticModel/definition/tables/_MissionControl_Measures.tmdl:1835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43" s="13" t="str">
        <x:v>Discovery cfg_table_load_metric Scope count</x:v>
      </x:c>
      <x:c r="H443" s="13" t="str">
        <x:v>Section 12 - Mission Control</x:v>
      </x:c>
      <x:c r="I443" s="30" t="n">
        <x:v>46312</x:v>
      </x:c>
    </x:row>
    <x:row r="444" ht="409" customHeight="1">
      <x:c r="A444" s="13" t="str">
        <x:v>MC-KPI-060</x:v>
      </x:c>
      <x:c r="B444" s="13"/>
      <x:c r="C444" s="13" t="str">
        <x:v>Discovery contracts calendar changes</x:v>
      </x:c>
      <x:c r="D444" s="13" t="str">
        <x:v>Requirement association not established; owner review required.</x:v>
      </x:c>
      <x:c r="E444" s="13" t="str">
        <x:v>monitoring.cfg_job_run; monitoring.cfg_schema_drift_event; monitoring.rpt_job_run_summary</x:v>
      </x:c>
      <x:c r="F44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KPI_LATEST_CALCULATIONS.md#mission-discovery-contracts-calendar-changes
DAX [Discovery contracts calendar changes]:
VAR Days=VALUES('Load Calendar'[Date])
VAR JobChosen=ISFILTERED('Discovery Job Runs'[job_run_id])
VAR Jobs=VALUES('Discovery Job Runs'[job_run_id])
RETURN COALESCE(COUNTROWS(SUMMARIZE(FILTER(ALL('cfg_schema_drift_event'),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ISBLANK('cfg_schema_drift_event'[resolved_at]) &amp;&amp; INT('cfg_schema_drif
[EXCERPT; exact complete expression and dependencies in linked current calculation document]
Saved source: project X/reports/WIP/SM WMPP Mission Control/SM WMPP Mission Control.SemanticModel/definition/tables/_MissionControl_Measures.tmdl:2195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444" s="13" t="str">
        <x:v>Discovery contracts calendar changes</x:v>
      </x:c>
      <x:c r="H444" s="13" t="str">
        <x:v>Section 12 - Mission Control</x:v>
      </x:c>
      <x:c r="I444" s="30" t="n">
        <x:v>46312</x:v>
      </x:c>
    </x:row>
    <x:row r="445" ht="319" customHeight="1">
      <x:c r="A445" s="13" t="str">
        <x:v>MC-KPI-061</x:v>
      </x:c>
      <x:c r="B445" s="13"/>
      <x:c r="C445" s="13" t="str">
        <x:v>Discovery contracts calendar critical</x:v>
      </x:c>
      <x:c r="D445" s="13" t="str">
        <x:v>Requirement association not established; owner review required.</x:v>
      </x:c>
      <x:c r="E445" s="13" t="str">
        <x:v>monitoring.cfg_job_run; monitoring.rpt_job_run_summary</x:v>
      </x:c>
      <x:c r="F44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KPI_LATEST_CALCULATIONS.md#mission-discovery-contracts-calendar-critical
DAX [Discovery contracts calendar critical]:
VAR Days=VALUES('Load Calendar'[Date])
VAR JobChosen=ISFILTERED('Discovery Job Runs'[job_run_id])
VAR Jobs=VALUES('Discovery Job Runs'[job_run_id])
RETURN COALESCE(0,0)
Saved source: project X/reports/WIP/SM WMPP Mission Control/SM WMPP Mission Control.SemanticModel/definition/tables/_MissionControl_Measures.tmdl:2213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45" s="13" t="str">
        <x:v>Discovery contracts calendar critical</x:v>
      </x:c>
      <x:c r="H445" s="13" t="str">
        <x:v>Section 12 - Mission Control</x:v>
      </x:c>
      <x:c r="I445" s="30" t="n">
        <x:v>46312</x:v>
      </x:c>
    </x:row>
    <x:row r="446" ht="409" customHeight="1">
      <x:c r="A446" s="13" t="str">
        <x:v>MC-KPI-062</x:v>
      </x:c>
      <x:c r="B446" s="13"/>
      <x:c r="C446" s="13" t="str">
        <x:v>Discovery contracts calendar discoveries</x:v>
      </x:c>
      <x:c r="D446" s="13" t="str">
        <x:v>Requirement association not established; owner review required.</x:v>
      </x:c>
      <x:c r="E446" s="13" t="str">
        <x:v>monitoring.cfg_bronze_schema_live; monitoring.cfg_job_run; monitoring.cfg_schema_contract_column; monitoring.rpt_job_run_summary</x:v>
      </x:c>
      <x:c r="F44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KPI_LATEST_CALCULATIONS.md#mission-discovery-contracts-calendar-discoveries
DAX [Discovery contracts calendar discoveries]:
VAR Days=VALUES('Load Calendar'[Date])
VAR JobChosen=ISFILTERED('Discovery Job Runs'[job_run_id])
VAR Jobs=VALUES('Discovery Job Runs'[job_run_id])
RETURN COALESCE(COUNTROWS(SUMMARIZE(FILTER(ALL('cfg_bronze_schema_live'), ((NOT ISBLANK('cfg_bronze_schema_live'[captured_at]) &amp;&amp; INT('cfg_bronze_schema_live'[captured_at]) IN Days)) &amp;&amp; (TRUE()) &amp;&amp; (NOT JobChosen || 'cfg_bronze_schema_live'[job_run_id] IN Jobs)),'cfg_bronze_schema_live'[run_id])) + COUNTROWS(SUMMARIZE(FILTER(ALL('cfg_schema_contract_column'), ((NOT ISBLANK('cfg_schema_contract_column'[contract_loaded_at]) &amp;&amp; INT('cfg_schema_contract_column'[contract_loaded_at]) IN Days)) &amp;&amp; (TRUE())),'cfg_schema_contract_column'[contract_loaded_at])),0)
Saved source: project X/reports/WIP/SM WMPP Mission Control/SM WMPP Mission Control.SemanticModel/definition/tables/_MissionControl_Measures.tmdl:2204
Python/Spark SQL producer/reference spans: 00_setup_cfg.py:96; 90_run_archive_pipeline.py:144; 90_run_live_pipeline.py:78; 99_data_domain.py:110; 99_common_library.py:124; 01a_cfg_schema_capture_live.py:308; 06_reports.py:141
Calculated-table dependency: Load Calendar. Complete saved partition logic is included in the calculation document.</x:v>
      </x:c>
      <x:c r="G446" s="13" t="str">
        <x:v>Discovery contracts calendar discoveries</x:v>
      </x:c>
      <x:c r="H446" s="13" t="str">
        <x:v>Section 12 - Mission Control</x:v>
      </x:c>
      <x:c r="I446" s="30" t="n">
        <x:v>46312</x:v>
      </x:c>
    </x:row>
    <x:row r="447" ht="358" customHeight="1">
      <x:c r="A447" s="13" t="str">
        <x:v>MC-KPI-063</x:v>
      </x:c>
      <x:c r="B447" s="13"/>
      <x:c r="C447" s="13" t="str">
        <x:v>Discovery domains calendar changes</x:v>
      </x:c>
      <x:c r="D447" s="13" t="str">
        <x:v>Requirement association not established; owner review required.</x:v>
      </x:c>
      <x:c r="E447" s="13" t="str">
        <x:v>monitoring.cfg_data_domain; monitoring.cfg_job_run; monitoring.rpt_job_run_summary</x:v>
      </x:c>
      <x:c r="F44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KPI_LATEST_CALCULATIONS.md#mission-discovery-domains-calendar-changes
DAX [Discovery domains calendar changes]:
VAR Days=VALUES('Load Calendar'[Date])
VAR JobChosen=ISFILTERED('Discovery Job Runs'[job_run_id])
VAR Jobs=VALUES('Discovery Job Runs'[job_run_id])
RETURN COALESCE(COUNTROWS(FILTER(ALL('cfg_data_domain'), ((NOT ISBLANK('cfg_data_domain'[profiled_at]) &amp;&amp; INT('cfg_data_domain'[profiled_at]) IN Days)) &amp;&amp; (cfg_data_domain[change_type] IN {"ADDED","REMOVED"}) &amp;&amp; (NOT JobChosen || 'cfg_data_domain'[job_run_id] IN Jobs))),0)
Saved source: project X/reports/WIP/SM WMPP Mission Control/SM WMPP Mission Control.SemanticModel/definition/tables/_MissionControl_Measures.tmdl:2125
Python/Spark SQL producer/reference spans: 00_setup_cfg.py:96; 90_run_archive_pipeline.py:144; 90_run_live_pipeline.py:78; 99_data_domain.py:110; 99_common_library.py:124; 99_common_library.py:462; 06_reports.py:141
Calculated-table dependency: Load Calendar. Complete saved partition logic is included in the calculation document.</x:v>
      </x:c>
      <x:c r="G447" s="13" t="str">
        <x:v>Discovery domains calendar changes</x:v>
      </x:c>
      <x:c r="H447" s="13" t="str">
        <x:v>Section 12 - Mission Control</x:v>
      </x:c>
      <x:c r="I447" s="30" t="n">
        <x:v>46312</x:v>
      </x:c>
    </x:row>
    <x:row r="448" ht="319" customHeight="1">
      <x:c r="A448" s="13" t="str">
        <x:v>MC-KPI-064</x:v>
      </x:c>
      <x:c r="B448" s="13"/>
      <x:c r="C448" s="13" t="str">
        <x:v>Discovery domains calendar critical</x:v>
      </x:c>
      <x:c r="D448" s="13" t="str">
        <x:v>Requirement association not established; owner review required.</x:v>
      </x:c>
      <x:c r="E448" s="13" t="str">
        <x:v>monitoring.cfg_job_run; monitoring.rpt_job_run_summary</x:v>
      </x:c>
      <x:c r="F44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KPI_LATEST_CALCULATIONS.md#mission-discovery-domains-calendar-critical
DAX [Discovery domains calendar critical]:
VAR Days=VALUES('Load Calendar'[Date])
VAR JobChosen=ISFILTERED('Discovery Job Runs'[job_run_id])
VAR Jobs=VALUES('Discovery Job Runs'[job_run_id])
RETURN COALESCE(0,0)
Saved source: project X/reports/WIP/SM WMPP Mission Control/SM WMPP Mission Control.SemanticModel/definition/tables/_MissionControl_Measures.tmdl:2143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48" s="13" t="str">
        <x:v>Discovery domains calendar critical</x:v>
      </x:c>
      <x:c r="H448" s="13" t="str">
        <x:v>Section 12 - Mission Control</x:v>
      </x:c>
      <x:c r="I448" s="30" t="n">
        <x:v>46312</x:v>
      </x:c>
    </x:row>
    <x:row r="449" ht="358" customHeight="1">
      <x:c r="A449" s="13" t="str">
        <x:v>MC-KPI-065</x:v>
      </x:c>
      <x:c r="B449" s="13"/>
      <x:c r="C449" s="13" t="str">
        <x:v>Discovery domains calendar discoveries</x:v>
      </x:c>
      <x:c r="D449" s="13" t="str">
        <x:v>Requirement association not established; owner review required.</x:v>
      </x:c>
      <x:c r="E449" s="13" t="str">
        <x:v>monitoring.cfg_data_domain; monitoring.cfg_job_run; monitoring.rpt_job_run_summary</x:v>
      </x:c>
      <x:c r="F44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KPI_LATEST_CALCULATIONS.md#mission-discovery-domains-calendar-discoveries
DAX [Discovery domains calendar discoveries]:
VAR Days=VALUES('Load Calendar'[Date])
VAR JobChosen=ISFILTERED('Discovery Job Runs'[job_run_id])
VAR Jobs=VALUES('Discovery Job Runs'[job_run_id])
RETURN COALESCE(COUNTROWS(SUMMARIZE(FILTER(ALL('cfg_data_domain'), ((NOT ISBLANK('cfg_data_domain'[profiled_at]) &amp;&amp; INT('cfg_data_domain'[profiled_at]) IN Days)) &amp;&amp; (TRUE()) &amp;&amp; (NOT JobChosen || 'cfg_data_domain'[job_run_id] IN Jobs)),'cfg_data_domain'[run_id])),0)
Saved source: project X/reports/WIP/SM WMPP Mission Control/SM WMPP Mission Control.SemanticModel/definition/tables/_MissionControl_Measures.tmdl:2134
Python/Spark SQL producer/reference spans: 00_setup_cfg.py:96; 90_run_archive_pipeline.py:144; 90_run_live_pipeline.py:78; 99_data_domain.py:110; 99_common_library.py:124; 99_common_library.py:462; 06_reports.py:141
Calculated-table dependency: Load Calendar. Complete saved partition logic is included in the calculation document.</x:v>
      </x:c>
      <x:c r="G449" s="13" t="str">
        <x:v>Discovery domains calendar discoveries</x:v>
      </x:c>
      <x:c r="H449" s="13" t="str">
        <x:v>Section 12 - Mission Control</x:v>
      </x:c>
      <x:c r="I449" s="30" t="n">
        <x:v>46312</x:v>
      </x:c>
    </x:row>
    <x:row r="450" ht="409" customHeight="1">
      <x:c r="A450" s="13" t="str">
        <x:v>MC-KPI-066</x:v>
      </x:c>
      <x:c r="B450" s="13"/>
      <x:c r="C450" s="13" t="str">
        <x:v>Discovery drift calendar changes</x:v>
      </x:c>
      <x:c r="D450" s="13" t="str">
        <x:v>Requirement association not established; owner review required.</x:v>
      </x:c>
      <x:c r="E450" s="13" t="str">
        <x:v>monitoring.cfg_job_run; monitoring.cfg_schema_drift_event; monitoring.rpt_job_run_summary</x:v>
      </x:c>
      <x:c r="F45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KPI_LATEST_CALCULATIONS.md#mission-discovery-drift-calendar-changes
DAX [Discovery drift calendar changes]:
VAR Days=VALUES('Load Calendar'[Date])
VAR JobChosen=ISFILTERED('Discovery Job Runs'[job_run_id])
VAR Jobs=VALUES('Discovery Job Runs'[job_run_id])
RETURN COALESCE(COUNTROWS(SUMMARIZE(FILTER(ALL('cfg_schema_drift_event'),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ISBLANK('cfg_schema_drift_event'[resolved_at]) &amp;&amp; INT('cfg_schema_drif
[EXCERPT; exact complete expression and dependencies in linked current calculation document]
Saved source: project X/reports/WIP/SM WMPP Mission Control/SM WMPP Mission Control.SemanticModel/definition/tables/_MissionControl_Measures.tmdl:2160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450" s="13" t="str">
        <x:v>Discovery drift calendar changes</x:v>
      </x:c>
      <x:c r="H450" s="13" t="str">
        <x:v>Section 12 - Mission Control</x:v>
      </x:c>
      <x:c r="I450" s="30" t="n">
        <x:v>46312</x:v>
      </x:c>
    </x:row>
    <x:row r="451" ht="319" customHeight="1">
      <x:c r="A451" s="13" t="str">
        <x:v>MC-KPI-067</x:v>
      </x:c>
      <x:c r="B451" s="13"/>
      <x:c r="C451" s="13" t="str">
        <x:v>Discovery drift calendar critical</x:v>
      </x:c>
      <x:c r="D451" s="13" t="str">
        <x:v>Requirement association not established; owner review required.</x:v>
      </x:c>
      <x:c r="E451" s="13" t="str">
        <x:v>monitoring.cfg_job_run; monitoring.rpt_job_run_summary</x:v>
      </x:c>
      <x:c r="F45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KPI_LATEST_CALCULATIONS.md#mission-discovery-drift-calendar-critical
DAX [Discovery drift calendar critical]:
VAR Days=VALUES('Load Calendar'[Date])
VAR JobChosen=ISFILTERED('Discovery Job Runs'[job_run_id])
VAR Jobs=VALUES('Discovery Job Runs'[job_run_id])
RETURN COALESCE(0,0)
Saved source: project X/reports/WIP/SM WMPP Mission Control/SM WMPP Mission Control.SemanticModel/definition/tables/_MissionControl_Measures.tmdl:2178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51" s="13" t="str">
        <x:v>Discovery drift calendar critical</x:v>
      </x:c>
      <x:c r="H451" s="13" t="str">
        <x:v>Section 12 - Mission Control</x:v>
      </x:c>
      <x:c r="I451" s="30" t="n">
        <x:v>46312</x:v>
      </x:c>
    </x:row>
    <x:row r="452" ht="358" customHeight="1">
      <x:c r="A452" s="13" t="str">
        <x:v>MC-KPI-068</x:v>
      </x:c>
      <x:c r="B452" s="13"/>
      <x:c r="C452" s="13" t="str">
        <x:v>Discovery drift calendar discoveries</x:v>
      </x:c>
      <x:c r="D452" s="13" t="str">
        <x:v>Requirement association not established; owner review required.</x:v>
      </x:c>
      <x:c r="E452" s="13" t="str">
        <x:v>monitoring.cfg_job_run; monitoring.cfg_schema_drift_definition; monitoring.rpt_job_run_summary</x:v>
      </x:c>
      <x:c r="F45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KPI_LATEST_CALCULATIONS.md#mission-discovery-drift-calendar-discoveries
DAX [Discovery drift calendar discoveries]:
VAR Days=VALUES('Load Calendar'[Date])
VAR JobChosen=ISFILTERED('Discovery Job Runs'[job_run_id])
VAR Jobs=VALUES('Discovery Job Runs'[job_run_id])
RETURN COALESCE(COUNTROWS(SUMMARIZE(FILTER(ALL('cfg_schema_drift_definition'), ((NOT ISBLANK('cfg_schema_drift_definition'[definition_loaded_at]) &amp;&amp; INT('cfg_schema_drift_definition'[definition_loaded_at]) IN Days)) &amp;&amp; (TRUE())),'cfg_schema_drift_definition'[definition_loaded_at])),0)
Saved source: project X/reports/WIP/SM WMPP Mission Control/SM WMPP Mission Control.SemanticModel/definition/tables/_MissionControl_Measures.tmdl:2169
Python/Spark SQL producer/reference spans: 00_setup_cfg.py:96; 90_run_archive_pipeline.py:144; 90_run_live_pipeline.py:78; 99_data_domain.py:110; 99_common_library.py:124; 01a_cfg_schema_capture_live.py:120; 06_reports.py:141
Calculated-table dependency: Load Calendar. Complete saved partition logic is included in the calculation document.</x:v>
      </x:c>
      <x:c r="G452" s="13" t="str">
        <x:v>Discovery drift calendar discoveries</x:v>
      </x:c>
      <x:c r="H452" s="13" t="str">
        <x:v>Section 12 - Mission Control</x:v>
      </x:c>
      <x:c r="I452" s="30" t="n">
        <x:v>46312</x:v>
      </x:c>
    </x:row>
    <x:row r="453" ht="409" customHeight="1">
      <x:c r="A453" s="13" t="str">
        <x:v>MC-KPI-069</x:v>
      </x:c>
      <x:c r="B453" s="13"/>
      <x:c r="C453" s="13" t="str">
        <x:v>Discovery lineage calendar changes</x:v>
      </x:c>
      <x:c r="D453" s="13" t="str">
        <x:v>Requirement association not established; owner review required.</x:v>
      </x:c>
      <x:c r="E453" s="13" t="str">
        <x:v>monitoring.cfg_job_run; monitoring.rpt_job_layer_lineage; monitoring.rpt_job_run_summary; monitoring.rpt_job_step_summary</x:v>
      </x:c>
      <x:c r="F45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KPI_LATEST_CALCULATIONS.md#mission-discovery-lineage-calendar-changes
DAX [Discovery lineage calendar changes]:
VAR Days=VALUES('Load Calendar'[Date])
VAR JobChosen=ISFILTERED('Discovery Job Runs'[job_run_id])
VAR Jobs=VALUES('Discovery Job Runs'[job_run_id])
RETURN COALESCE(COUNTROWS(FILTER(ALL('rpt_job_layer_lineage'), ((NOT ISBLANK('rpt_job_layer_lineage'[observed_at]) &amp;&amp; INT('rpt_job_layer_lineage'[observed_at]) IN Days)) &amp;&amp; ((UPPER(COALESCE(rpt_job_layer_lineage[lineage_status],""))
IN {"FAIL","FAILED","FAILURE","ERROR","MISSING","UNMATCHED","BROKEN","NOT_FOUND","STALE"}) || COALESCE(rpt_job_layer_lineage[duplicate_key_count],0)&gt;0) &amp;&amp; (NOT JobChosen || 'rpt_job_layer_lineage'[job_run_id] IN Jobs))) + COUNTROWS(FILTER(ALL('rpt_job_step_summary'), (
[EXCERPT; exact complete expression and dependencies in linked current calculation document]
Saved source: project X/reports/WIP/SM WMPP Mission Control/SM WMPP Mission Control.SemanticModel/definition/tables/_MissionControl_Measures.tmdl:2314
Python/Spark SQL producer/reference spans: 00_setup_cfg.py:96; 90_run_archive_pipeline.py:144; 90_run_live_pipeline.py:78; 99_data_domain.py:110; 99_common_library.py:124; 06_reports.py:235; 06_reports.py:141; 06_reports.py:74
Calculated-table dependency: Load Calendar. Complete saved partition logic is included in the calculation document.</x:v>
      </x:c>
      <x:c r="G453" s="13" t="str">
        <x:v>Discovery lineage calendar changes</x:v>
      </x:c>
      <x:c r="H453" s="13" t="str">
        <x:v>Section 12 - Mission Control</x:v>
      </x:c>
      <x:c r="I453" s="30" t="n">
        <x:v>46312</x:v>
      </x:c>
    </x:row>
    <x:row r="454" ht="409" customHeight="1">
      <x:c r="A454" s="13" t="str">
        <x:v>MC-KPI-070</x:v>
      </x:c>
      <x:c r="B454" s="13"/>
      <x:c r="C454" s="13" t="str">
        <x:v>Discovery lineage calendar critical</x:v>
      </x:c>
      <x:c r="D454" s="13" t="str">
        <x:v>Requirement association not established; owner review required.</x:v>
      </x:c>
      <x:c r="E454" s="13" t="str">
        <x:v>monitoring.cfg_job_run; monitoring.rpt_job_layer_lineage; monitoring.rpt_job_run_summary; monitoring.rpt_job_step_summary</x:v>
      </x:c>
      <x:c r="F45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KPI_LATEST_CALCULATIONS.md#mission-discovery-lineage-calendar-critical
DAX [Discovery lineage calendar critical]:
VAR Days=VALUES('Load Calendar'[Date])
VAR JobChosen=ISFILTERED('Discovery Job Runs'[job_run_id])
VAR Jobs=VALUES('Discovery Job Runs'[job_run_id])
RETURN COALESCE(COUNTROWS(FILTER(ALL('rpt_job_layer_lineage'), ((NOT ISBLANK('rpt_job_layer_lineage'[observed_at]) &amp;&amp; INT('rpt_job_layer_lineage'[observed_at]) IN Days)) &amp;&amp; (UPPER(COALESCE(rpt_job_layer_lineage[lineage_status],""))
IN {"FAIL","FAILED","FAILURE","ERROR","MISSING","UNMATCHED","BROKEN","NOT_FOUND","STALE"}) &amp;&amp; (NOT JobChosen || 'rpt_job_layer_lineage'[job_run_id] IN Jobs))) + COUNTROWS(FILTER(ALL('rpt_job_step_summary'), (NOT ISBLANK(COALESCE(rpt_job_step_summary[ended_at],rpt_job_st
[EXCERPT; exact complete expression and dependencies in linked current calculation document]
Saved source: project X/reports/WIP/SM WMPP Mission Control/SM WMPP Mission Control.SemanticModel/definition/tables/_MissionControl_Measures.tmdl:2340
Python/Spark SQL producer/reference spans: 00_setup_cfg.py:96; 90_run_archive_pipeline.py:144; 90_run_live_pipeline.py:78; 99_data_domain.py:110; 99_common_library.py:124; 06_reports.py:235; 06_reports.py:141; 06_reports.py:74
Calculated-table dependency: Load Calendar. Complete saved partition logic is included in the calculation document.</x:v>
      </x:c>
      <x:c r="G454" s="13" t="str">
        <x:v>Discovery lineage calendar critical</x:v>
      </x:c>
      <x:c r="H454" s="13" t="str">
        <x:v>Section 12 - Mission Control</x:v>
      </x:c>
      <x:c r="I454" s="30" t="n">
        <x:v>46312</x:v>
      </x:c>
    </x:row>
    <x:row r="455" ht="358" customHeight="1">
      <x:c r="A455" s="13" t="str">
        <x:v>MC-KPI-071</x:v>
      </x:c>
      <x:c r="B455" s="13"/>
      <x:c r="C455" s="13" t="str">
        <x:v>Discovery lineage calendar discoveries</x:v>
      </x:c>
      <x:c r="D455" s="13" t="str">
        <x:v>Requirement association not established; owner review required.</x:v>
      </x:c>
      <x:c r="E455" s="13" t="str">
        <x:v>monitoring.cfg_job_run; monitoring.rpt_job_layer_lineage; monitoring.rpt_job_run_summary</x:v>
      </x:c>
      <x:c r="F45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KPI_LATEST_CALCULATIONS.md#mission-discovery-lineage-calendar-discoveries
DAX [Discovery lineage calendar discoveries]:
VAR Days=VALUES('Load Calendar'[Date])
VAR JobChosen=ISFILTERED('Discovery Job Runs'[job_run_id])
VAR Jobs=VALUES('Discovery Job Runs'[job_run_id])
RETURN COALESCE(COUNTROWS(SUMMARIZE(FILTER(ALL('rpt_job_layer_lineage'), ((NOT ISBLANK('rpt_job_layer_lineage'[observed_at]) &amp;&amp; INT('rpt_job_layer_lineage'[observed_at]) IN Days)) &amp;&amp; (TRUE()) &amp;&amp; (NOT JobChosen || 'rpt_job_layer_lineage'[job_run_id] IN Jobs)),'rpt_job_layer_lineage'[job_run_id])),0)
Saved source: project X/reports/WIP/SM WMPP Mission Control/SM WMPP Mission Control.SemanticModel/definition/tables/_MissionControl_Measures.tmdl:2331
Python/Spark SQL producer/reference spans: 00_setup_cfg.py:96; 90_run_archive_pipeline.py:144; 90_run_live_pipeline.py:78; 99_data_domain.py:110; 99_common_library.py:124; 06_reports.py:235; 06_reports.py:141
Calculated-table dependency: Load Calendar. Complete saved partition logic is included in the calculation document.</x:v>
      </x:c>
      <x:c r="G455" s="13" t="str">
        <x:v>Discovery lineage calendar discoveries</x:v>
      </x:c>
      <x:c r="H455" s="13" t="str">
        <x:v>Section 12 - Mission Control</x:v>
      </x:c>
      <x:c r="I455" s="30" t="n">
        <x:v>46312</x:v>
      </x:c>
    </x:row>
    <x:row r="456" ht="409" customHeight="1">
      <x:c r="A456" s="13" t="str">
        <x:v>MC-KPI-072</x:v>
      </x:c>
      <x:c r="B456" s="13"/>
      <x:c r="C456" s="13" t="str">
        <x:v>Discovery loads calendar changes</x:v>
      </x:c>
      <x:c r="D456" s="13" t="str">
        <x:v>Requirement association not established; owner review required.</x:v>
      </x:c>
      <x:c r="E456" s="13" t="str">
        <x:v>monitoring.cfg_job_run; monitoring.cfg_silver_export_load; monitoring.cfg_silver_load_control; monitoring.cfg_table_load_metric; monitoring.rpt_job_run_summary</x:v>
      </x:c>
      <x:c r="F45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KPI_LATEST_CALCULATIONS.md#mission-discovery-loads-calendar-changes
DAX [Discovery loads calendar changes]:
VAR Days=VALUES('Load Calendar'[Date])
VAR JobChosen=ISFILTERED('Discovery Job Runs'[job_run_id])
VAR Jobs=VALUES('Discovery Job Runs'[job_run_id])
RETURN COALESCE(COUNTROWS(FILTER(ALL('cfg_table_load_metric'), ((NOT ISBLANK('cfg_table_load_metric'[recorded_at]) &amp;&amp; INT('cfg_table_load_metric'[recorded_at]) IN Days)) &amp;&amp; (COALESCE(cfg_table_load_metric[duplicate_key_count],0)&gt;0 || COALESCE(cfg_table_load_metric[null_primary_key_count],0)&gt;0) &amp;&amp; (NOT JobChosen || 'cfg_table_load_metric'[job_run_id] IN Jobs))) + COUNTROWS(FILTER(ALL('cfg_silver_export_load'), (NOT ISBLANK(COALESCE(cfg_silver_export_load[last_updated_at],COALESCE(cfg_silver_export_
[EXCERPT; exact complete expression and dependencies in linked current calculation document]
Saved source: project X/reports/WIP/SM WMPP Mission Control/SM WMPP Mission Control.SemanticModel/definition/tables/_MissionControl_Measures.tmdl:2274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56" s="13" t="str">
        <x:v>Discovery loads calendar changes</x:v>
      </x:c>
      <x:c r="H456" s="13" t="str">
        <x:v>Section 12 - Mission Control</x:v>
      </x:c>
      <x:c r="I456" s="30" t="n">
        <x:v>46312</x:v>
      </x:c>
    </x:row>
    <x:row r="457" ht="409" customHeight="1">
      <x:c r="A457" s="13" t="str">
        <x:v>MC-KPI-073</x:v>
      </x:c>
      <x:c r="B457" s="13"/>
      <x:c r="C457" s="13" t="str">
        <x:v>Discovery loads calendar critical</x:v>
      </x:c>
      <x:c r="D457" s="13" t="str">
        <x:v>Requirement association not established; owner review required.</x:v>
      </x:c>
      <x:c r="E457" s="13" t="str">
        <x:v>monitoring.cfg_job_run; monitoring.cfg_silver_export_load; monitoring.cfg_silver_load_control; monitoring.cfg_table_load_metric; monitoring.rpt_job_run_summary</x:v>
      </x:c>
      <x:c r="F45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KPI_LATEST_CALCULATIONS.md#mission-discovery-loads-calendar-critical
DAX [Discovery loads calendar critical]:
VAR Days=VALUES('Load Calendar'[Date])
VAR JobChosen=ISFILTERED('Discovery Job Runs'[job_run_id])
VAR Jobs=VALUES('Discovery Job Runs'[job_run_id])
RETURN COALESCE(COUNTROWS(FILTER(ALL('cfg_table_load_metric'), ((NOT ISBLANK('cfg_table_load_metric'[recorded_at]) &amp;&amp; INT('cfg_table_load_metric'[recorded_at]) IN Days)) &amp;&amp; (COALESCE(cfg_table_load_metric[null_primary_key_count],0)&gt;0) &amp;&amp; (NOT JobChosen || 'cfg_table_load_metric'[job_run_id] IN Jobs))) + COUNTROWS(FILTER(ALL('cfg_silver_export_load'), (NOT ISBLANK(COALESCE(cfg_silver_export_load[last_updated_at],COALESCE(cfg_silver_export_load[ended_at],cfg_silver_export_load[started_at]))) &amp;&amp; INT(
[EXCERPT; exact complete expression and dependencies in linked current calculation document]
Saved source: project X/reports/WIP/SM WMPP Mission Control/SM WMPP Mission Control.SemanticModel/definition/tables/_MissionControl_Measures.tmdl:2294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57" s="13" t="str">
        <x:v>Discovery loads calendar critical</x:v>
      </x:c>
      <x:c r="H457" s="13" t="str">
        <x:v>Section 12 - Mission Control</x:v>
      </x:c>
      <x:c r="I457" s="30" t="n">
        <x:v>46312</x:v>
      </x:c>
    </x:row>
    <x:row r="458" ht="409" customHeight="1">
      <x:c r="A458" s="13" t="str">
        <x:v>MC-KPI-074</x:v>
      </x:c>
      <x:c r="B458" s="13"/>
      <x:c r="C458" s="13" t="str">
        <x:v>Discovery loads calendar discoveries</x:v>
      </x:c>
      <x:c r="D458" s="13" t="str">
        <x:v>Requirement association not established; owner review required.</x:v>
      </x:c>
      <x:c r="E458" s="13" t="str">
        <x:v>monitoring.cfg_job_run; monitoring.cfg_silver_export_load; monitoring.cfg_silver_load_control; monitoring.cfg_table_load_metric; monitoring.rpt_job_run_summary</x:v>
      </x:c>
      <x:c r="F45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KPI_LATEST_CALCULATIONS.md#mission-discovery-loads-calendar-discoveries
DAX [Discovery loads calendar discoveries]:
VAR Days=VALUES('Load Calendar'[Date])
VAR JobChosen=ISFILTERED('Discovery Job Runs'[job_run_id])
VAR Jobs=VALUES('Discovery Job Runs'[job_run_id])
RETURN COALESCE(COUNTROWS(SUMMARIZE(FILTER(ALL('cfg_table_load_metric'), ((NOT ISBLANK('cfg_table_load_metric'[recorded_at]) &amp;&amp; INT('cfg_table_load_metric'[recorded_at]) IN Days)) &amp;&amp; (TRUE()) &amp;&amp; (NOT JobChosen || 'cfg_table_load_metric'[job_run_id] IN Jobs)),'cfg_table_load_metric'[run_id])) + COUNTROWS(SUMMARIZE(FILTER(ALL('cfg_silver_export_load'), (NOT ISBLANK(COALESCE(cfg_silver_export_load[last_updated_at],COALESCE(cfg_silver_export_load[ended_at],cfg_silver_export_load[started_at]))) &amp;&amp; INT(
[EXCERPT; exact complete expression and dependencies in linked current calculation document]
Saved source: project X/reports/WIP/SM WMPP Mission Control/SM WMPP Mission Control.SemanticModel/definition/tables/_MissionControl_Measures.tmdl:2285
Python/Spark SQL producer/reference spans: 00_setup_cfg.py:96; 90_run_archive_pipeline.py:144; 90_run_live_pipeline.py:78; 99_data_domain.py:110; 99_common_library.py:124; 00_archive_load.py:798; 02a_archive_silver.py:611; 02_silver_formatter.py:153; 06_reports.py:141
Calculated-table dependency: Load Calendar. Complete saved partition logic is included in the calculation document.</x:v>
      </x:c>
      <x:c r="G458" s="13" t="str">
        <x:v>Discovery loads calendar discoveries</x:v>
      </x:c>
      <x:c r="H458" s="13" t="str">
        <x:v>Section 12 - Mission Control</x:v>
      </x:c>
      <x:c r="I458" s="30" t="n">
        <x:v>46312</x:v>
      </x:c>
    </x:row>
    <x:row r="459" ht="409" customHeight="1">
      <x:c r="A459" s="13" t="str">
        <x:v>MC-KPI-075</x:v>
      </x:c>
      <x:c r="B459" s="13"/>
      <x:c r="C459" s="13" t="str">
        <x:v>Discovery quality calendar changes</x:v>
      </x:c>
      <x:c r="D459" s="13" t="str">
        <x:v>Requirement association not established; owner review required.</x:v>
      </x:c>
      <x:c r="E459" s="13" t="str">
        <x:v>monitoring.cfg_job_run; monitoring.cfg_referential_exception; monitoring.cfg_rejected_row; monitoring.rpt_job_data_quality; monitoring.rpt_job_run_summary</x:v>
      </x:c>
      <x:c r="F45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KPI_LATEST_CALCULATIONS.md#mission-discovery-quality-calendar-changes
DAX [Discovery quality calendar changes]:
VAR Days=VALUES('Load Calendar'[Date])
VAR JobChosen=ISFILTERED('Discovery Job Runs'[job_run_id])
VAR Jobs=VALUES('Discovery Job Runs'[job_run_id])
RETURN COALESCE(COUNTROWS(FILTER(ALL('rpt_job_data_quality'), ((NOT ISBLANK('rpt_job_data_quality'[checked_at]) &amp;&amp; INT('rpt_job_data_quality'[checked_at]) IN Days)) &amp;&amp; (COALESCE(rpt_job_data_quality[failed_row_count],0)&gt;0
|| COALESCE(rpt_job_data_quality[rejected_key_count],0)&gt;0
|| COALESCE(rpt_job_data_quality[referential_exception_count],0)&gt;0
|| UPPER(COALESCE(rpt_job_data_quality[status],"")) IN {"FAIL","FAILED","FAILURE","ERROR"}) &amp;&amp; (NOT JobChosen || 'rpt_job_data_quality'[job_run_id] IN Jobs
[EXCERPT; exact complete expression and dependencies in linked current calculation document]
Saved source: project X/reports/WIP/SM WMPP Mission Control/SM WMPP Mission Control.SemanticModel/definition/tables/_MissionControl_Measures.tmdl:2230
Python/Spark SQL producer/reference spans: 03_silver_business_rules.py:208; 03_silver_business_rules.py:366; 99_common_library.py:124; 00_setup_cfg.py:96; 90_run_archive_pipeline.py:144; 90_run_live_pipeline.py:78; 99_data_domain.py:110; 06_reports.py:202; 06_reports.py:141
Calculated-table dependency: Load Calendar. Complete saved partition logic is included in the calculation document.</x:v>
      </x:c>
      <x:c r="G459" s="13" t="str">
        <x:v>Discovery quality calendar changes</x:v>
      </x:c>
      <x:c r="H459" s="13" t="str">
        <x:v>Section 12 - Mission Control</x:v>
      </x:c>
      <x:c r="I459" s="30" t="n">
        <x:v>46312</x:v>
      </x:c>
    </x:row>
    <x:row r="460" ht="409" customHeight="1">
      <x:c r="A460" s="13" t="str">
        <x:v>MC-KPI-076</x:v>
      </x:c>
      <x:c r="B460" s="13"/>
      <x:c r="C460" s="13" t="str">
        <x:v>Discovery quality calendar critical</x:v>
      </x:c>
      <x:c r="D460" s="13" t="str">
        <x:v>Requirement association not established; owner review required.</x:v>
      </x:c>
      <x:c r="E460" s="13" t="str">
        <x:v>monitoring.cfg_job_run; monitoring.rpt_job_data_quality; monitoring.rpt_job_run_summary</x:v>
      </x:c>
      <x:c r="F46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KPI_LATEST_CALCULATIONS.md#mission-discovery-quality-calendar-critical
DAX [Discovery quality calendar critical]:
VAR Days=VALUES('Load Calendar'[Date])
VAR JobChosen=ISFILTERED('Discovery Job Runs'[job_run_id])
VAR Jobs=VALUES('Discovery Job Runs'[job_run_id])
RETURN COALESCE(COUNTROWS(FILTER(ALL('rpt_job_data_quality'), ((NOT ISBLANK('rpt_job_data_quality'[checked_at]) &amp;&amp; INT('rpt_job_data_quality'[checked_at]) IN Days)) &amp;&amp; ((COALESCE(rpt_job_data_quality[failed_row_count],0)&gt;0
|| COALESCE(rpt_job_data_quality[rejected_key_count],0)&gt;0
|| COALESCE(rpt_job_data_quality[referential_exception_count],0)&gt;0
|| UPPER(COALESCE(rpt_job_data_quality[status],"")) IN {"FAIL","FAILED","FAILURE","ERROR"}) &amp;&amp; UPPER(COALESCE(rpt_job_data_quality[severity],"")) IN {"CRITICAL","ERROR","FATAL"}) &amp;&amp; (NOT JobChosen || 'rpt_job_data_quality'[job_run_id] IN Jobs))),0)
Saved source: project X/reports/WIP/SM WMPP Mission Control/SM WMPP Mission Control.SemanticModel/definition/tables/_MissionControl_Measures.tmdl:2251
Python/Spark SQL producer/reference spans: 00_setup_cfg.py:96; 90_run_archive_pipeline.py:144; 90_run_live_pipeline.py:78; 99_data_domain.py:110; 99_common_library.py:124; 06_reports.py:202; 06_reports.py:141
Calculated-table dependency: Load Calendar. Complete saved partition logic is included in the calculation document.</x:v>
      </x:c>
      <x:c r="G460" s="13" t="str">
        <x:v>Discovery quality calendar critical</x:v>
      </x:c>
      <x:c r="H460" s="13" t="str">
        <x:v>Section 12 - Mission Control</x:v>
      </x:c>
      <x:c r="I460" s="30" t="n">
        <x:v>46312</x:v>
      </x:c>
    </x:row>
    <x:row r="461" ht="319" customHeight="1">
      <x:c r="A461" s="13" t="str">
        <x:v>MC-KPI-077</x:v>
      </x:c>
      <x:c r="B461" s="13"/>
      <x:c r="C461" s="13" t="str">
        <x:v>Discovery quality calendar discoveries</x:v>
      </x:c>
      <x:c r="D461" s="13" t="str">
        <x:v>Requirement association not established; owner review required.</x:v>
      </x:c>
      <x:c r="E461" s="13" t="str">
        <x:v>monitoring.cfg_job_run; monitoring.rpt_job_run_summary</x:v>
      </x:c>
      <x:c r="F46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KPI_LATEST_CALCULATIONS.md#mission-discovery-quality-calendar-discoveries
DAX [Discovery quality calendar discoveries]:
VAR Days=VALUES('Load Calendar'[Date])
VAR JobChosen=ISFILTERED('Discovery Job Runs'[job_run_id])
VAR Jobs=VALUES('Discovery Job Runs'[job_run_id])
RETURN COALESCE(0,0)
Saved source: project X/reports/WIP/SM WMPP Mission Control/SM WMPP Mission Control.SemanticModel/definition/tables/_MissionControl_Measures.tmdl:2242
Python/Spark SQL producer/reference spans: 00_setup_cfg.py:96; 90_run_archive_pipeline.py:144; 90_run_live_pipeline.py:78; 99_data_domain.py:110; 99_common_library.py:124; 06_reports.py:141
Calculated-table dependency: Load Calendar. Complete saved partition logic is included in the calculation document.</x:v>
      </x:c>
      <x:c r="G461" s="13" t="str">
        <x:v>Discovery quality calendar discoveries</x:v>
      </x:c>
      <x:c r="H461" s="13" t="str">
        <x:v>Section 12 - Mission Control</x:v>
      </x:c>
      <x:c r="I461" s="30" t="n">
        <x:v>46312</x:v>
      </x:c>
    </x:row>
    <x:row r="462" ht="409" customHeight="1">
      <x:c r="A462" s="13" t="str">
        <x:v>MC-KPI-078</x:v>
      </x:c>
      <x:c r="B462" s="13"/>
      <x:c r="C462" s="13" t="str">
        <x:v>Discovery rpt_job_data_quality Discovery batches</x:v>
      </x:c>
      <x:c r="D462" s="13" t="str">
        <x:v>Requirement association not established; owner review required.</x:v>
      </x:c>
      <x:c r="E462" s="13" t="str">
        <x:v>monitoring.cfg_job_run; monitoring.rpt_job_data_quality; monitoring.rpt_job_run_summary</x:v>
      </x:c>
      <x:c r="F46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KPI_LATEST_CALCULATIONS.md#mission-discovery-rpt-job-data-quality-discovery-batches
DAX [Discovery rpt_job_data_quality Discovery batches]:
COALESCE((VAR DateChosen=ISFILTERED('Load Calendar'[Date])
VAR JobChosen=ISFILTERED('Discovery Job Runs'[job_run_id])
VAR Days=VALUES('Load Calendar'[Date])
VAR Jobs=VALUES('Discovery Job Runs'[job_run_id])
RETURN IF(DateChosen || JobChosen,CALCULATE(DISTINCTCOUNT('rpt_job_data_quality'[run_id]),KEEPFILTERS(FILTER('rpt_job_data_quality',(NOT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key]),CALCULATE(DISTINCTCOUNT('rpt_job_data_quality'[run_id]),KEEPFILT
[EXCERPT; exact complete expression and dependencies in linked current calculation document]
Saved source: project X/reports/WIP/SM WMPP Mission Control/SM WMPP Mission Control.SemanticModel/definition/tables/_MissionControl_Measures.tmdl:1818
Python/Spark SQL producer/reference spans: 00_setup_cfg.py:96; 90_run_archive_pipeline.py:144; 90_run_live_pipeline.py:78; 99_data_domain.py:110; 99_common_library.py:124; 06_reports.py:202; 06_reports.py:141
Calculated-table dependency: Load Calendar. Complete saved partition logic is included in the calculation document.</x:v>
      </x:c>
      <x:c r="G462" s="13" t="str">
        <x:v>Discovery rpt_job_data_quality Discovery batches</x:v>
      </x:c>
      <x:c r="H462" s="13" t="str">
        <x:v>Section 12 - Mission Control</x:v>
      </x:c>
      <x:c r="I462" s="30" t="n">
        <x:v>46312</x:v>
      </x:c>
    </x:row>
    <x:row r="463" ht="409" customHeight="1">
      <x:c r="A463" s="13" t="str">
        <x:v>MC-KPI-079</x:v>
      </x:c>
      <x:c r="B463" s="13"/>
      <x:c r="C463" s="13" t="str">
        <x:v>Discovery rpt_job_data_quality Distinct objects</x:v>
      </x:c>
      <x:c r="D463" s="13" t="str">
        <x:v>Requirement association not established; owner review required.</x:v>
      </x:c>
      <x:c r="E463" s="13" t="str">
        <x:v>monitoring.cfg_job_run; monitoring.rpt_job_data_quality; monitoring.rpt_job_run_summary</x:v>
      </x:c>
      <x:c r="F46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KPI_LATEST_CALCULATIONS.md#mission-discovery-rpt-job-data-quality-distinct-objects
DAX [Discovery rpt_job_data_quality Distinct objects]:
COALESCE((VAR DateChosen=ISFILTERED('Load Calendar'[Date])
VAR JobChosen=ISFILTERED('Discovery Job Runs'[job_run_id])
VAR Days=VALUES('Load Calendar'[Date])
VAR Jobs=VALUES('Discovery Job Runs'[job_run_id])
RETURN IF(DateChosen || JobChosen,CALCULATE(DISTINCTCOUNT('rpt_job_data_quality'[source_table]),KEEPFILTERS(FILTER('rpt_job_data_quality',(NOT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key]),CALCULATE(DISTINCTCOUNT('rpt_job_data_quality'[source_tabl
[EXCERPT; exact complete expression and dependencies in linked current calculation document]
Saved source: project X/reports/WIP/SM WMPP Mission Control/SM WMPP Mission Control.SemanticModel/definition/tables/_MissionControl_Measures.tmdl:1808
Python/Spark SQL producer/reference spans: 00_setup_cfg.py:96; 90_run_archive_pipeline.py:144; 90_run_live_pipeline.py:78; 99_data_domain.py:110; 99_common_library.py:124; 06_reports.py:202; 06_reports.py:141
Calculated-table dependency: Load Calendar. Complete saved partition logic is included in the calculation document.</x:v>
      </x:c>
      <x:c r="G463" s="13" t="str">
        <x:v>Discovery rpt_job_data_quality Distinct objects</x:v>
      </x:c>
      <x:c r="H463" s="13" t="str">
        <x:v>Section 12 - Mission Control</x:v>
      </x:c>
      <x:c r="I463" s="30" t="n">
        <x:v>46312</x:v>
      </x:c>
    </x:row>
    <x:row r="464" ht="409" customHeight="1">
      <x:c r="A464" s="13" t="str">
        <x:v>MC-KPI-080</x:v>
      </x:c>
      <x:c r="B464" s="13"/>
      <x:c r="C464" s="13" t="str">
        <x:v>Discovery rpt_job_data_quality Rows</x:v>
      </x:c>
      <x:c r="D464" s="13" t="str">
        <x:v>Requirement association not established; owner review required.</x:v>
      </x:c>
      <x:c r="E464" s="13" t="str">
        <x:v>monitoring.cfg_job_run; monitoring.rpt_job_data_quality; monitoring.rpt_job_run_summary</x:v>
      </x:c>
      <x:c r="F46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KPI_LATEST_CALCULATIONS.md#mission-discovery-rpt-job-data-quality-rows
DAX [Discovery rpt_job_data_quality Rows]:
COALESCE((VAR DateChosen=ISFILTERED('Load Calendar'[Date])
VAR JobChosen=ISFILTERED('Discovery Job Runs'[job_run_id])
VAR Days=VALUES('Load Calendar'[Date])
VAR Jobs=VALUES('Discovery Job Runs'[job_run_id])
RETURN IF(DateChosen || JobChosen,CALCULATE(COUNTROWS('rpt_job_data_quality'),KEEPFILTERS(FILTER('rpt_job_data_quality',(NOT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key]),CALCULATE(COUNTROWS('rpt_job_data_quality'),KEEPFILTERS(TREATAS({[Discovery 
[EXCERPT; exact complete expression and dependencies in linked current calculation document]
Saved source: project X/reports/WIP/SM WMPP Mission Control/SM WMPP Mission Control.SemanticModel/definition/tables/_MissionControl_Measures.tmdl:1290
Python/Spark SQL producer/reference spans: 00_setup_cfg.py:96; 90_run_archive_pipeline.py:144; 90_run_live_pipeline.py:78; 99_data_domain.py:110; 99_common_library.py:124; 06_reports.py:202; 06_reports.py:141
Calculated-table dependency: Load Calendar. Complete saved partition logic is included in the calculation document.</x:v>
      </x:c>
      <x:c r="G464" s="13" t="str">
        <x:v>Discovery rpt_job_data_quality Rows</x:v>
      </x:c>
      <x:c r="H464" s="13" t="str">
        <x:v>Section 12 - Mission Control</x:v>
      </x:c>
      <x:c r="I464" s="30" t="n">
        <x:v>46312</x:v>
      </x:c>
    </x:row>
    <x:row r="465" ht="409" customHeight="1">
      <x:c r="A465" s="13" t="str">
        <x:v>MC-KPI-081</x:v>
      </x:c>
      <x:c r="B465" s="13"/>
      <x:c r="C465" s="13" t="str">
        <x:v>Discovery rpt_job_data_quality Scope count</x:v>
      </x:c>
      <x:c r="D465" s="13" t="str">
        <x:v>Requirement association not established; owner review required.</x:v>
      </x:c>
      <x:c r="E465" s="13" t="str">
        <x:v>monitoring.cfg_job_run; monitoring.rpt_job_data_quality; monitoring.rpt_job_run_summary</x:v>
      </x:c>
      <x:c r="F46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KPI_LATEST_CALCULATIONS.md#mission-discovery-rpt-job-data-quality-scope-count
DAX [Discovery rpt_job_data_quality Scope count]:
COALESCE((VAR DateChosen=ISFILTERED('Load Calendar'[Date])
VAR JobChosen=ISFILTERED('Discovery Job Runs'[job_run_id])
VAR Days=VALUES('Load Calendar'[Date])
VAR Jobs=VALUES('Discovery Job Runs'[job_run_id])
RETURN IF(DateChosen || JobChosen,CALCULATE(COUNTROWS(SUMMARIZE('rpt_job_data_quality','rpt_job_data_quality'[rule_id])),KEEPFILTERS(FILTER('rpt_job_data_quality',(NOT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key]),CALCULATE(COUNTROWS(SUMMARIZE('rp
[EXCERPT; exact complete expression and dependencies in linked current calculation document]
Saved source: project X/reports/WIP/SM WMPP Mission Control/SM WMPP Mission Control.SemanticModel/definition/tables/_MissionControl_Measures.tmdl:1798
Python/Spark SQL producer/reference spans: 00_setup_cfg.py:96; 90_run_archive_pipeline.py:144; 90_run_live_pipeline.py:78; 99_data_domain.py:110; 99_common_library.py:124; 06_reports.py:202; 06_reports.py:141
Calculated-table dependency: Load Calendar. Complete saved partition logic is included in the calculation document.</x:v>
      </x:c>
      <x:c r="G465" s="13" t="str">
        <x:v>Discovery rpt_job_data_quality Scope count</x:v>
      </x:c>
      <x:c r="H465" s="13" t="str">
        <x:v>Section 12 - Mission Control</x:v>
      </x:c>
      <x:c r="I465" s="30" t="n">
        <x:v>46312</x:v>
      </x:c>
    </x:row>
    <x:row r="466" ht="409" customHeight="1">
      <x:c r="A466" s="13" t="str">
        <x:v>MC-KPI-082</x:v>
      </x:c>
      <x:c r="B466" s="13"/>
      <x:c r="C466" s="13" t="str">
        <x:v>Discovery rpt_job_layer_lineage Discovery batches</x:v>
      </x:c>
      <x:c r="D466" s="13" t="str">
        <x:v>Requirement association not established; owner review required.</x:v>
      </x:c>
      <x:c r="E466" s="13" t="str">
        <x:v>monitoring.cfg_job_run; monitoring.rpt_job_layer_lineage; monitoring.rpt_job_run_summary</x:v>
      </x:c>
      <x:c r="F46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KPI_LATEST_CALCULATIONS.md#mission-discovery-rpt-job-layer-lineage-discovery-batches
DAX [Discovery rpt_job_layer_lineage Discovery batches]:
COALESCE((VAR DateChosen=ISFILTERED('Load Calendar'[Date])
VAR JobChosen=ISFILTERED('Discovery Job Runs'[job_run_id])
VAR Days=VALUES('Load Calendar'[Date])
VAR Jobs=VALUES('Discovery Job Runs'[job_run_id])
RETURN IF(DateChosen || JobChosen,CALCULATE(DISTINCTCOUNT('rpt_job_layer_lineage'[job_run_id]),KEEPFILTERS(FILTER('rpt_job_layer_lineage',(NOT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key]),CALCULATE(DISTINCTCOUNT('rpt_job_layer_lineage'[job_
[EXCERPT; exact complete expression and dependencies in linked current calculation document]
Saved source: project X/reports/WIP/SM WMPP Mission Control/SM WMPP Mission Control.SemanticModel/definition/tables/_MissionControl_Measures.tmdl:1892
Python/Spark SQL producer/reference spans: 00_setup_cfg.py:96; 90_run_archive_pipeline.py:144; 90_run_live_pipeline.py:78; 99_data_domain.py:110; 99_common_library.py:124; 06_reports.py:235; 06_reports.py:141
Calculated-table dependency: Load Calendar. Complete saved partition logic is included in the calculation document.</x:v>
      </x:c>
      <x:c r="G466" s="13" t="str">
        <x:v>Discovery rpt_job_layer_lineage Discovery batches</x:v>
      </x:c>
      <x:c r="H466" s="13" t="str">
        <x:v>Section 12 - Mission Control</x:v>
      </x:c>
      <x:c r="I466" s="30" t="n">
        <x:v>46312</x:v>
      </x:c>
    </x:row>
    <x:row r="467" ht="409" customHeight="1">
      <x:c r="A467" s="13" t="str">
        <x:v>MC-KPI-083</x:v>
      </x:c>
      <x:c r="B467" s="13"/>
      <x:c r="C467" s="13" t="str">
        <x:v>Discovery rpt_job_layer_lineage Distinct objects</x:v>
      </x:c>
      <x:c r="D467" s="13" t="str">
        <x:v>Requirement association not established; owner review required.</x:v>
      </x:c>
      <x:c r="E467" s="13" t="str">
        <x:v>monitoring.cfg_job_run; monitoring.rpt_job_layer_lineage; monitoring.rpt_job_run_summary</x:v>
      </x:c>
      <x:c r="F46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KPI_LATEST_CALCULATIONS.md#mission-discovery-rpt-job-layer-lineage-distinct-objects
DAX [Discovery rpt_job_layer_lineage Distinct objects]:
COALESCE((VAR DateChosen=ISFILTERED('Load Calendar'[Date])
VAR JobChosen=ISFILTERED('Discovery Job Runs'[job_run_id])
VAR Days=VALUES('Load Calendar'[Date])
VAR Jobs=VALUES('Discovery Job Runs'[job_run_id])
RETURN IF(DateChosen || JobChosen,CALCULATE(DISTINCTCOUNT('rpt_job_layer_lineage'[source_object]),KEEPFILTERS(FILTER('rpt_job_layer_lineage',(NOT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key]),CALCULATE(DISTINCTCOUNT('rpt_job_layer_lineage'[s
[EXCERPT; exact complete expression and dependencies in linked current calculation document]
Saved source: project X/reports/WIP/SM WMPP Mission Control/SM WMPP Mission Control.SemanticModel/definition/tables/_MissionControl_Measures.tmdl:1882
Python/Spark SQL producer/reference spans: 00_setup_cfg.py:96; 90_run_archive_pipeline.py:144; 90_run_live_pipeline.py:78; 99_data_domain.py:110; 99_common_library.py:124; 06_reports.py:235; 06_reports.py:141
Calculated-table dependency: Load Calendar. Complete saved partition logic is included in the calculation document.</x:v>
      </x:c>
      <x:c r="G467" s="13" t="str">
        <x:v>Discovery rpt_job_layer_lineage Distinct objects</x:v>
      </x:c>
      <x:c r="H467" s="13" t="str">
        <x:v>Section 12 - Mission Control</x:v>
      </x:c>
      <x:c r="I467" s="30" t="n">
        <x:v>46312</x:v>
      </x:c>
    </x:row>
    <x:row r="468" ht="409" customHeight="1">
      <x:c r="A468" s="13" t="str">
        <x:v>MC-KPI-084</x:v>
      </x:c>
      <x:c r="B468" s="13"/>
      <x:c r="C468" s="13" t="str">
        <x:v>Discovery rpt_job_layer_lineage Rows</x:v>
      </x:c>
      <x:c r="D468" s="13" t="str">
        <x:v>Requirement association not established; owner review required.</x:v>
      </x:c>
      <x:c r="E468" s="13" t="str">
        <x:v>monitoring.cfg_job_run; monitoring.rpt_job_layer_lineage; monitoring.rpt_job_run_summary</x:v>
      </x:c>
      <x:c r="F46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KPI_LATEST_CALCULATIONS.md#mission-discovery-rpt-job-layer-lineage-rows
DAX [Discovery rpt_job_layer_lineage Rows]:
COALESCE((VAR DateChosen=ISFILTERED('Load Calendar'[Date])
VAR JobChosen=ISFILTERED('Discovery Job Runs'[job_run_id])
VAR Days=VALUES('Load Calendar'[Date])
VAR Jobs=VALUES('Discovery Job Runs'[job_run_id])
RETURN IF(DateChosen || JobChosen,CALCULATE(COUNTROWS('rpt_job_layer_lineage'),KEEPFILTERS(FILTER('rpt_job_layer_lineage',(NOT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key]),CALCULATE(COUNTROWS('rpt_job_layer_lineage'),KEEPFILTERS(TREATAS({[D
[EXCERPT; exact complete expression and dependencies in linked current calculation document]
Saved source: project X/reports/WIP/SM WMPP Mission Control/SM WMPP Mission Control.SemanticModel/definition/tables/_MissionControl_Measures.tmdl:1560
Python/Spark SQL producer/reference spans: 00_setup_cfg.py:96; 90_run_archive_pipeline.py:144; 90_run_live_pipeline.py:78; 99_data_domain.py:110; 99_common_library.py:124; 06_reports.py:235; 06_reports.py:141
Calculated-table dependency: Load Calendar. Complete saved partition logic is included in the calculation document.</x:v>
      </x:c>
      <x:c r="G468" s="13" t="str">
        <x:v>Discovery rpt_job_layer_lineage Rows</x:v>
      </x:c>
      <x:c r="H468" s="13" t="str">
        <x:v>Section 12 - Mission Control</x:v>
      </x:c>
      <x:c r="I468" s="30" t="n">
        <x:v>46312</x:v>
      </x:c>
    </x:row>
    <x:row r="469" ht="409" customHeight="1">
      <x:c r="A469" s="13" t="str">
        <x:v>MC-KPI-085</x:v>
      </x:c>
      <x:c r="B469" s="13"/>
      <x:c r="C469" s="13" t="str">
        <x:v>Discovery rpt_job_layer_lineage Scope count</x:v>
      </x:c>
      <x:c r="D469" s="13" t="str">
        <x:v>Requirement association not established; owner review required.</x:v>
      </x:c>
      <x:c r="E469" s="13" t="str">
        <x:v>monitoring.cfg_job_run; monitoring.rpt_job_layer_lineage; monitoring.rpt_job_run_summary</x:v>
      </x:c>
      <x:c r="F46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KPI_LATEST_CALCULATIONS.md#mission-discovery-rpt-job-layer-lineage-scope-count
DAX [Discovery rpt_job_layer_lineage Scope count]:
COALESCE((VAR DateChosen=ISFILTERED('Load Calendar'[Date])
VAR JobChosen=ISFILTERED('Discovery Job Runs'[job_run_id])
VAR Days=VALUES('Load Calendar'[Date])
VAR Jobs=VALUES('Discovery Job Runs'[job_run_id])
RETURN IF(DateChosen || JobChosen,CALCULATE(COUNTROWS(SUMMARIZE('rpt_job_layer_lineage','rpt_job_layer_lineage'[target_layer],'rpt_job_layer_lineage'[target_object])),KEEPFILTERS(FILTER('rpt_job_layer_lineage',(NOT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
[EXCERPT; exact complete expression and dependencies in linked current calculation document]
Saved source: project X/reports/WIP/SM WMPP Mission Control/SM WMPP Mission Control.SemanticModel/definition/tables/_MissionControl_Measures.tmdl:1872
Python/Spark SQL producer/reference spans: 00_setup_cfg.py:96; 90_run_archive_pipeline.py:144; 90_run_live_pipeline.py:78; 99_data_domain.py:110; 99_common_library.py:124; 06_reports.py:235; 06_reports.py:141
Calculated-table dependency: Load Calendar. Complete saved partition logic is included in the calculation document.</x:v>
      </x:c>
      <x:c r="G469" s="13" t="str">
        <x:v>Discovery rpt_job_layer_lineage Scope count</x:v>
      </x:c>
      <x:c r="H469" s="13" t="str">
        <x:v>Section 12 - Mission Control</x:v>
      </x:c>
      <x:c r="I469" s="30" t="n">
        <x:v>46312</x:v>
      </x:c>
    </x:row>
    <x:row r="470" ht="409" customHeight="1">
      <x:c r="A470" s="13" t="str">
        <x:v>MC-KPI-086</x:v>
      </x:c>
      <x:c r="B470" s="13"/>
      <x:c r="C470" s="13" t="str">
        <x:v>Discovery rpt_job_schema_drift Rows</x:v>
      </x:c>
      <x:c r="D470" s="13" t="str">
        <x:v>Requirement association not established; owner review required.</x:v>
      </x:c>
      <x:c r="E470" s="13" t="str">
        <x:v>monitoring.cfg_job_run; monitoring.rpt_job_run_summary; monitoring.rpt_job_schema_drift</x:v>
      </x:c>
      <x:c r="F47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KPI_LATEST_CALCULATIONS.md#mission-discovery-rpt-job-schema-drift-rows
DAX [Discovery rpt_job_schema_drift Rows]:
COALESCE((VAR DateChosen=ISFILTERED('Load Calendar'[Date])
VAR JobChosen=ISFILTERED('Discovery Job Runs'[job_run_id])
VAR Days=VALUES('Load Calendar'[Date])
VAR Jobs=VALUES('Discovery Job Runs'[job_run_id])
RETURN IF(DateChosen || JobChosen,CALCULATE(COUNTROWS('rpt_job_schema_drift'),KEEPFILTERS(FILTER('rpt_job_schema_drift',(NOT DateChosen || ((NOT ISBLANK('rpt_job_schema_drift'[first_detected_at]) &amp;&amp; INT('rpt_job_schema_drift'[first_detected_at]) IN Days) || (NOT ISBLANK('rpt_job_schema_drift'[last_detected_at]) &amp;&amp; INT('rpt_job_schema_drift'[last_detected_at]) IN Days) || (NOT ISBLANK('rpt_job_schema_drift'[resolved_at]) &amp;&amp; INT('rpt_job_sch
[EXCERPT; exact complete expression and dependencies in linked current calculation document]
Saved source: project X/reports/WIP/SM WMPP Mission Control/SM WMPP Mission Control.SemanticModel/definition/tables/_MissionControl_Measures.tmdl:1112
Python/Spark SQL producer/reference spans: 00_setup_cfg.py:96; 90_run_archive_pipeline.py:144; 90_run_live_pipeline.py:78; 99_data_domain.py:110; 99_common_library.py:124; 06_reports.py:177; 06_reports.py:141
Calculated-table dependency: Load Calendar. Complete saved partition logic is included in the calculation document.</x:v>
      </x:c>
      <x:c r="G470" s="13" t="str">
        <x:v>Discovery rpt_job_schema_drift Rows</x:v>
      </x:c>
      <x:c r="H470" s="13" t="str">
        <x:v>Section 12 - Mission Control</x:v>
      </x:c>
      <x:c r="I470" s="30" t="n">
        <x:v>46312</x:v>
      </x:c>
    </x:row>
    <x:row r="471" ht="409" customHeight="1">
      <x:c r="A471" s="13" t="str">
        <x:v>MC-KPI-087</x:v>
      </x:c>
      <x:c r="B471" s="13"/>
      <x:c r="C471" s="13" t="str">
        <x:v>Discovery rpt_job_step_summary Rows</x:v>
      </x:c>
      <x:c r="D471" s="13" t="str">
        <x:v>Requirement association not established; owner review required.</x:v>
      </x:c>
      <x:c r="E471" s="13" t="str">
        <x:v>monitoring.cfg_job_run; monitoring.rpt_job_run_summary; monitoring.rpt_job_step_summary</x:v>
      </x:c>
      <x:c r="F47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KPI_LATEST_CALCULATIONS.md#mission-discovery-rpt-job-step-summary-rows
DAX [Discovery rpt_job_step_summary Rows]:
COALESCE((VAR DateChosen=ISFILTERED('Load Calendar'[Date])
VAR JobChosen=ISFILTERED('Discovery Job Runs'[job_run_id])
VAR Days=VALUES('Load Calendar'[Date])
VAR Jobs=VALUES('Discovery Job Runs'[job_run_id])
RETURN IF(DateChosen || JobChosen,CALCULATE(COUNTROWS('rpt_job_step_summary'),KEEPFILTERS(FILTER('rpt_job_step_summary',(NOT DateChosen || (NOT ISBLANK(COALESCE(rpt_job_step_summary[ended_at],rpt_job_step_summary[started_at])) &amp;&amp; INT(COALESCE(rpt_job_step_summary[ended_at],rpt_job_step_summary[started_at])) IN Days)) &amp;&amp; (NOT JobChosen || 'rpt_job_step_summary'[job_run_id] IN Jobs)))),IF(ISBLANK([Discovery rpt_job_step_summary Latest key]),
[EXCERPT; exact complete expression and dependencies in linked current calculation document]
Saved source: project X/reports/WIP/SM WMPP Mission Control/SM WMPP Mission Control.SemanticModel/definition/tables/_MissionControl_Measures.tmdl:1605
Python/Spark SQL producer/reference spans: 00_setup_cfg.py:96; 90_run_archive_pipeline.py:144; 90_run_live_pipeline.py:78; 99_data_domain.py:110; 99_common_library.py:124; 06_reports.py:74; 06_reports.py:141
Calculated-table dependency: Load Calendar. Complete saved partition logic is included in the calculation document.</x:v>
      </x:c>
      <x:c r="G471" s="13" t="str">
        <x:v>Discovery rpt_job_step_summary Rows</x:v>
      </x:c>
      <x:c r="H471" s="13" t="str">
        <x:v>Section 12 - Mission Control</x:v>
      </x:c>
      <x:c r="I471" s="30" t="n">
        <x:v>46312</x:v>
      </x:c>
    </x:row>
    <x:row r="472" ht="409" customHeight="1">
      <x:c r="A472" s="13" t="str">
        <x:v>MC-KPI-088</x:v>
      </x:c>
      <x:c r="B472" s="13"/>
      <x:c r="C472" s="13" t="str">
        <x:v>Domain values Added</x:v>
      </x:c>
      <x:c r="D472" s="13" t="str">
        <x:v>Requirement association not established; owner review required.</x:v>
      </x:c>
      <x:c r="E472" s="13" t="str">
        <x:v>monitoring.cfg_data_domain; monitoring.cfg_job_run; monitoring.rpt_job_run_summary</x:v>
      </x:c>
      <x:c r="F472" s="13" t="str">
        <x:v>Operational metric.
Latest saved source reviewed 17 October 2026. Static definition verified; refresh, role/context reconciliation and UAT remain pending.
Retained domain snapshots with change_type ADDED; selected dates/jobs/all-history mode or the latest recorded run determine the population.
Full current logic: KPI_LATEST_CALCULATIONS.md#mission-domain-values-added
DAX [Domain values Added]:
COALESCE((VAR DateChosen=ISFILTERED('Load Calendar'[Date])
VAR JobChosen=ISFILTERED('Discovery Job Runs'[job_run_id])
VAR AllVersions=SELECTEDVALUE('Domain History View'[Mode],"Latest version")="All retained versions"
VAR Days=VALUES('Load Calendar'[Date])
VAR Jobs=VALUES('Discovery Job Runs'[job_run_id])
VAR LatestKey=[Discovery cfg_data_domain Latest key]
VAR LatestTime=[Discovery cfg_data_domain Latest time]
[EXCERPT; exact complete expression and dependencies in linked current calculation document]
Saved source: project X/reports/WIP/SM WMPP Mission Control/SM WMPP Mission Control.SemanticModel/definition/tables/_MissionControl_Measures.tmdl:2646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472" s="13" t="str">
        <x:v>Domain values Added</x:v>
      </x:c>
      <x:c r="H472" s="13" t="str">
        <x:v>Section 12 - Mission Control</x:v>
      </x:c>
      <x:c r="I472" s="30" t="n">
        <x:v>46312</x:v>
      </x:c>
    </x:row>
    <x:row r="473" ht="409" customHeight="1">
      <x:c r="A473" s="13" t="str">
        <x:v>MC-KPI-089</x:v>
      </x:c>
      <x:c r="B473" s="13"/>
      <x:c r="C473" s="13" t="str">
        <x:v>Domain values Removed</x:v>
      </x:c>
      <x:c r="D473" s="13" t="str">
        <x:v>Requirement association not established; owner review required.</x:v>
      </x:c>
      <x:c r="E473" s="13" t="str">
        <x:v>monitoring.cfg_data_domain; monitoring.cfg_job_run; monitoring.rpt_job_run_summary</x:v>
      </x:c>
      <x:c r="F473" s="13" t="str">
        <x:v>Operational metric.
Latest saved source reviewed 17 October 2026. Static definition verified; refresh, role/context reconciliation and UAT remain pending.
Retained domain snapshots with change_type REMOVED; skipped scans must not be interpreted as removals.
Full current logic: KPI_LATEST_CALCULATIONS.md#mission-domain-values-removed
DAX [Domain values Removed]:
COALESCE((VAR DateChosen=ISFILTERED('Load Calendar'[Date])
VAR JobChosen=ISFILTERED('Discovery Job Runs'[job_run_id])
VAR AllVersions=SELECTEDVALUE('Domain History View'[Mode],"Latest version")="All retained versions"
VAR Days=VALUES('Load Calendar'[Date])
VAR Jobs=VALUES('Discovery Job Runs'[job_run_id])
VAR LatestKey=[Discovery cfg_data_domain Latest key]
VAR LatestTime=[Discovery cfg_data_domain Latest time]
[EXCERPT; exact complete expression and dependencies in linked current calculation document]
Saved source: project X/reports/WIP/SM WMPP Mission Control/SM WMPP Mission Control.SemanticModel/definition/tables/_MissionControl_Measures.tmdl:2665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473" s="13" t="str">
        <x:v>Domain values Removed</x:v>
      </x:c>
      <x:c r="H473" s="13" t="str">
        <x:v>Section 12 - Mission Control</x:v>
      </x:c>
      <x:c r="I473" s="30" t="n">
        <x:v>46312</x:v>
      </x:c>
    </x:row>
    <x:row r="474" ht="215" customHeight="1">
      <x:c r="A474" s="13" t="str">
        <x:v>MC-KPI-090</x:v>
      </x:c>
      <x:c r="B474" s="13"/>
      <x:c r="C474" s="13" t="str">
        <x:v>DQ Checked Rows</x:v>
      </x:c>
      <x:c r="D474" s="13" t="str">
        <x:v>Requirement association not established; owner review required.</x:v>
      </x:c>
      <x:c r="E474" s="13" t="str">
        <x:v>monitoring.cfg_data_quality_result</x:v>
      </x:c>
      <x:c r="F47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KPI_LATEST_CALCULATIONS.md#mission-dq-checked-rows
DAX [DQ Checked Rows]:
SUM ( 'cfg_data_quality_result'[checked_row_count] )
Saved source: project X/reports/WIP/SM WMPP Mission Control/SM WMPP Mission Control.SemanticModel/definition/tables/_MissionControl_Measures.tmdl:419
Python/Spark SQL producer/reference spans: 03_silver_business_rules.py:208; 03_silver_business_rules.py:366; 99_common_library.py:124</x:v>
      </x:c>
      <x:c r="G474" s="13" t="str">
        <x:v>DQ Checked Rows</x:v>
      </x:c>
      <x:c r="H474" s="13" t="str">
        <x:v>Section 12 - Mission Control</x:v>
      </x:c>
      <x:c r="I474" s="30" t="n">
        <x:v>46312</x:v>
      </x:c>
    </x:row>
    <x:row r="475" ht="215" customHeight="1">
      <x:c r="A475" s="13" t="str">
        <x:v>MC-KPI-091</x:v>
      </x:c>
      <x:c r="B475" s="13"/>
      <x:c r="C475" s="13" t="str">
        <x:v>DQ Checks</x:v>
      </x:c>
      <x:c r="D475" s="13" t="str">
        <x:v>Requirement association not established; owner review required.</x:v>
      </x:c>
      <x:c r="E475" s="13" t="str">
        <x:v>monitoring.cfg_data_quality_result</x:v>
      </x:c>
      <x:c r="F47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KPI_LATEST_CALCULATIONS.md#mission-dq-checks
DAX [DQ Checks]:
COUNTROWS ( 'cfg_data_quality_result' )
Saved source: project X/reports/WIP/SM WMPP Mission Control/SM WMPP Mission Control.SemanticModel/definition/tables/_MissionControl_Measures.tmdl:383
Python/Spark SQL producer/reference spans: 03_silver_business_rules.py:208; 03_silver_business_rules.py:366; 99_common_library.py:124</x:v>
      </x:c>
      <x:c r="G475" s="13" t="str">
        <x:v>DQ Checks</x:v>
      </x:c>
      <x:c r="H475" s="13" t="str">
        <x:v>Section 12 - Mission Control</x:v>
      </x:c>
      <x:c r="I475" s="30" t="n">
        <x:v>46312</x:v>
      </x:c>
    </x:row>
    <x:row r="476" ht="241" customHeight="1">
      <x:c r="A476" s="13" t="str">
        <x:v>MC-KPI-092</x:v>
      </x:c>
      <x:c r="B476" s="13"/>
      <x:c r="C476" s="13" t="str">
        <x:v>DQ Evaluated Checks</x:v>
      </x:c>
      <x:c r="D476" s="13" t="str">
        <x:v>Requirement association not established; owner review required.</x:v>
      </x:c>
      <x:c r="E476" s="13" t="str">
        <x:v>monitoring.cfg_data_quality_result</x:v>
      </x:c>
      <x:c r="F47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KPI_LATEST_CALCULATIONS.md#mission-dq-evaluated-checks
DAX [DQ Evaluated Checks]:
COUNTROWS ( FILTER ( 'cfg_data_quality_result', UPPER ( COALESCE ( 'cfg_data_quality_result'[status], "" ) ) IN { "PASS", "SUCCESS", "FAILED", "FAIL", "ERROR" } ) )
Saved source: project X/reports/WIP/SM WMPP Mission Control/SM WMPP Mission Control.SemanticModel/definition/tables/_MissionControl_Measures.tmdl:392
Python/Spark SQL producer/reference spans: 03_silver_business_rules.py:208; 03_silver_business_rules.py:366; 99_common_library.py:124</x:v>
      </x:c>
      <x:c r="G476" s="13" t="str">
        <x:v>DQ Evaluated Checks</x:v>
      </x:c>
      <x:c r="H476" s="13" t="str">
        <x:v>Section 12 - Mission Control</x:v>
      </x:c>
      <x:c r="I476" s="30" t="n">
        <x:v>46312</x:v>
      </x:c>
    </x:row>
    <x:row r="477" ht="228" customHeight="1">
      <x:c r="A477" s="13" t="str">
        <x:v>MC-KPI-093</x:v>
      </x:c>
      <x:c r="B477" s="13"/>
      <x:c r="C477" s="13" t="str">
        <x:v>DQ Failed Checks</x:v>
      </x:c>
      <x:c r="D477" s="13" t="str">
        <x:v>Requirement association not established; owner review required.</x:v>
      </x:c>
      <x:c r="E477" s="13" t="str">
        <x:v>monitoring.cfg_data_quality_result</x:v>
      </x:c>
      <x:c r="F47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KPI_LATEST_CALCULATIONS.md#mission-dq-failed-checks
DAX [DQ Failed Checks]:
COUNTROWS ( FILTER ( 'cfg_data_quality_result', UPPER ( COALESCE ( 'cfg_data_quality_result'[status], "" ) ) IN { "FAILED", "FAIL", "ERROR" } ) )
Saved source: project X/reports/WIP/SM WMPP Mission Control/SM WMPP Mission Control.SemanticModel/definition/tables/_MissionControl_Measures.tmdl:401
Python/Spark SQL producer/reference spans: 03_silver_business_rules.py:208; 03_silver_business_rules.py:366; 99_common_library.py:124</x:v>
      </x:c>
      <x:c r="G477" s="13" t="str">
        <x:v>DQ Failed Checks</x:v>
      </x:c>
      <x:c r="H477" s="13" t="str">
        <x:v>Section 12 - Mission Control</x:v>
      </x:c>
      <x:c r="I477" s="30" t="n">
        <x:v>46312</x:v>
      </x:c>
    </x:row>
    <x:row r="478" ht="215" customHeight="1">
      <x:c r="A478" s="13" t="str">
        <x:v>MC-KPI-094</x:v>
      </x:c>
      <x:c r="B478" s="13"/>
      <x:c r="C478" s="13" t="str">
        <x:v>DQ Failed Rows</x:v>
      </x:c>
      <x:c r="D478" s="13" t="str">
        <x:v>Requirement association not established; owner review required.</x:v>
      </x:c>
      <x:c r="E478" s="13" t="str">
        <x:v>monitoring.cfg_data_quality_result</x:v>
      </x:c>
      <x:c r="F47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KPI_LATEST_CALCULATIONS.md#mission-dq-failed-rows
DAX [DQ Failed Rows]:
SUM ( 'cfg_data_quality_result'[failed_row_count] )
Saved source: project X/reports/WIP/SM WMPP Mission Control/SM WMPP Mission Control.SemanticModel/definition/tables/_MissionControl_Measures.tmdl:428
Python/Spark SQL producer/reference spans: 03_silver_business_rules.py:208; 03_silver_business_rules.py:366; 99_common_library.py:124</x:v>
      </x:c>
      <x:c r="G478" s="13" t="str">
        <x:v>DQ Failed Rows</x:v>
      </x:c>
      <x:c r="H478" s="13" t="str">
        <x:v>Section 12 - Mission Control</x:v>
      </x:c>
      <x:c r="I478" s="30" t="n">
        <x:v>46312</x:v>
      </x:c>
    </x:row>
    <x:row r="479" ht="215" customHeight="1">
      <x:c r="A479" s="13" t="str">
        <x:v>MC-KPI-095</x:v>
      </x:c>
      <x:c r="B479" s="13"/>
      <x:c r="C479" s="13" t="str">
        <x:v>DQ Failure Rate</x:v>
      </x:c>
      <x:c r="D479" s="13" t="str">
        <x:v>Requirement association not established; owner review required.</x:v>
      </x:c>
      <x:c r="E479" s="13" t="str">
        <x:v>monitoring.cfg_data_quality_result</x:v>
      </x:c>
      <x:c r="F47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KPI_LATEST_CALCULATIONS.md#mission-dq-failure-rate
DAX [DQ Failure Rate]:
DIVIDE ( [DQ Failed Checks], [DQ Evaluated Checks] )
Saved source: project X/reports/WIP/SM WMPP Mission Control/SM WMPP Mission Control.SemanticModel/definition/tables/_MissionControl_Measures.tmdl:410
Python/Spark SQL producer/reference spans: 03_silver_business_rules.py:208; 03_silver_business_rules.py:366; 99_common_library.py:124</x:v>
      </x:c>
      <x:c r="G479" s="13" t="str">
        <x:v>DQ Failure Rate</x:v>
      </x:c>
      <x:c r="H479" s="13" t="str">
        <x:v>Section 12 - Mission Control</x:v>
      </x:c>
      <x:c r="I479" s="30" t="n">
        <x:v>46312</x:v>
      </x:c>
    </x:row>
    <x:row r="480" ht="254" customHeight="1">
      <x:c r="A480" s="13" t="str">
        <x:v>MC-KPI-096</x:v>
      </x:c>
      <x:c r="B480" s="13"/>
      <x:c r="C480" s="13" t="str">
        <x:v>DQ Failures With Sample Keys</x:v>
      </x:c>
      <x:c r="D480" s="13" t="str">
        <x:v>Requirement association not established; owner review required.</x:v>
      </x:c>
      <x:c r="E480" s="13" t="str">
        <x:v>monitoring.cfg_data_quality_result</x:v>
      </x:c>
      <x:c r="F48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KPI_LATEST_CALCULATIONS.md#mission-dq-failures-with-sample-keys
DAX [DQ Failures With Sample Keys]:
COUNTROWS ( FILTER ( 'cfg_data_quality_result', UPPER ( COALESCE ( 'cfg_data_quality_result'[status], "" ) ) IN { "FAILED", "FAIL", "ERROR" } &amp;&amp; NOT ISBLANK ( 'cfg_data_quality_result'[sample_key_json] ) ) )
Saved source: project X/reports/WIP/SM WMPP Mission Control/SM WMPP Mission Control.SemanticModel/definition/tables/_MissionControl_Measures.tmdl:464
Python/Spark SQL producer/reference spans: 03_silver_business_rules.py:208; 03_silver_business_rules.py:366; 99_common_library.py:124</x:v>
      </x:c>
      <x:c r="G480" s="13" t="str">
        <x:v>DQ Failures With Sample Keys</x:v>
      </x:c>
      <x:c r="H480" s="13" t="str">
        <x:v>Section 12 - Mission Control</x:v>
      </x:c>
      <x:c r="I480" s="30" t="n">
        <x:v>46312</x:v>
      </x:c>
    </x:row>
    <x:row r="481" ht="254" customHeight="1">
      <x:c r="A481" s="13" t="str">
        <x:v>MC-KPI-097</x:v>
      </x:c>
      <x:c r="B481" s="13"/>
      <x:c r="C481" s="13" t="str">
        <x:v>Failed Archive Table Exports</x:v>
      </x:c>
      <x:c r="D481" s="13" t="str">
        <x:v>Requirement association not established; owner review required.</x:v>
      </x:c>
      <x:c r="E481" s="13" t="str">
        <x:v>monitoring.cfg_archive_table_export_load</x:v>
      </x:c>
      <x:c r="F48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KPI_LATEST_CALCULATIONS.md#mission-failed-archive-table-exports
DAX [Failed Archive Table Exports]:
COUNTROWS ( FILTER ( 'cfg_archive_table_export_load', UPPER ( COALESCE ( 'cfg_archive_table_export_load'[status], "" ) ) IN { "FAILED", "FAIL", "ERROR" } ) )
Saved source: project X/reports/WIP/SM WMPP Mission Control/SM WMPP Mission Control.SemanticModel/definition/tables/_MissionControl_Measures.tmdl:311
Python/Spark SQL producer/reference spans: No direct notebook producer asserted; see calculated/model context.</x:v>
      </x:c>
      <x:c r="G481" s="13" t="str">
        <x:v>Failed Archive Table Exports</x:v>
      </x:c>
      <x:c r="H481" s="13" t="str">
        <x:v>Section 12 - Mission Control</x:v>
      </x:c>
      <x:c r="I481" s="30" t="n">
        <x:v>46312</x:v>
      </x:c>
    </x:row>
    <x:row r="482" ht="228" customHeight="1">
      <x:c r="A482" s="13" t="str">
        <x:v>MC-KPI-098</x:v>
      </x:c>
      <x:c r="B482" s="13"/>
      <x:c r="C482" s="13" t="str">
        <x:v>Failed Archive ZIP Batches</x:v>
      </x:c>
      <x:c r="D482" s="13" t="str">
        <x:v>Requirement association not established; owner review required.</x:v>
      </x:c>
      <x:c r="E482" s="13" t="str">
        <x:v>monitoring.cfg_archive_zip_load</x:v>
      </x:c>
      <x:c r="F48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KPI_LATEST_CALCULATIONS.md#mission-failed-archive-zip-batches
DAX [Failed Archive ZIP Batches]:
COUNTROWS ( FILTER ( 'cfg_archive_zip_load', UPPER ( COALESCE ( 'cfg_archive_zip_load'[status], "" ) ) IN { "FAILED", "FAIL", "ERROR" } ) )
Saved source: project X/reports/WIP/SM WMPP Mission Control/SM WMPP Mission Control.SemanticModel/definition/tables/_MissionControl_Measures.tmdl:212
Python/Spark SQL producer/reference spans: 00_archive_load.py:653</x:v>
      </x:c>
      <x:c r="G482" s="13" t="str">
        <x:v>Failed Archive ZIP Batches</x:v>
      </x:c>
      <x:c r="H482" s="13" t="str">
        <x:v>Section 12 - Mission Control</x:v>
      </x:c>
      <x:c r="I482" s="30" t="n">
        <x:v>46312</x:v>
      </x:c>
    </x:row>
    <x:row r="483" ht="215" customHeight="1">
      <x:c r="A483" s="13" t="str">
        <x:v>MC-KPI-099</x:v>
      </x:c>
      <x:c r="B483" s="13"/>
      <x:c r="C483" s="13" t="str">
        <x:v>Failed Gold Snapshots</x:v>
      </x:c>
      <x:c r="D483" s="13" t="str">
        <x:v>Requirement association not established; owner review required.</x:v>
      </x:c>
      <x:c r="E483" s="13" t="str">
        <x:v>monitoring.cfg_month_end_gold_run</x:v>
      </x:c>
      <x:c r="F48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KPI_LATEST_CALCULATIONS.md#mission-failed-gold-snapshots
DAX [Failed Gold Snapshots]:
COUNTROWS ( FILTER ( 'cfg_month_end_gold_run', UPPER ( COALESCE ( 'cfg_month_end_gold_run'[status], "" ) ) IN { "FAILED", "FAIL", "ERROR" } ) )
Saved source: project X/reports/WIP/SM WMPP Mission Control/SM WMPP Mission Control.SemanticModel/definition/tables/_MissionControl_Measures.tmdl:356
Python/Spark SQL producer/reference spans: 02a_archive_silver.py:611</x:v>
      </x:c>
      <x:c r="G483" s="13" t="str">
        <x:v>Failed Gold Snapshots</x:v>
      </x:c>
      <x:c r="H483" s="13" t="str">
        <x:v>Section 12 - Mission Control</x:v>
      </x:c>
      <x:c r="I483" s="30" t="n">
        <x:v>46312</x:v>
      </x:c>
    </x:row>
    <x:row r="484" ht="215" customHeight="1">
      <x:c r="A484" s="13" t="str">
        <x:v>MC-KPI-100</x:v>
      </x:c>
      <x:c r="B484" s="13"/>
      <x:c r="C484" s="13" t="str">
        <x:v>Failed Job Runs</x:v>
      </x:c>
      <x:c r="D484" s="13" t="str">
        <x:v>Requirement association not established; owner review required.</x:v>
      </x:c>
      <x:c r="E484" s="13" t="str">
        <x:v>monitoring.rpt_job_run_summary</x:v>
      </x:c>
      <x:c r="F48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KPI_LATEST_CALCULATIONS.md#mission-failed-job-runs
DAX [Failed Job Runs]:
CALCULATE ( [Job Runs], FILTER ( 'rpt_job_run_summary', UPPER ( COALESCE ( 'rpt_job_run_summary'[status], "" ) ) IN { "FAILED", "FAIL", "ERROR" } ) )
Saved source: project X/reports/WIP/SM WMPP Mission Control/SM WMPP Mission Control.SemanticModel/definition/tables/_MissionControl_Measures.tmdl:625
Python/Spark SQL producer/reference spans: 06_reports.py:141</x:v>
      </x:c>
      <x:c r="G484" s="13" t="str">
        <x:v>Failed Job Runs</x:v>
      </x:c>
      <x:c r="H484" s="13" t="str">
        <x:v>Section 12 - Mission Control</x:v>
      </x:c>
      <x:c r="I484" s="30" t="n">
        <x:v>46312</x:v>
      </x:c>
    </x:row>
    <x:row r="485" ht="215" customHeight="1">
      <x:c r="A485" s="13" t="str">
        <x:v>MC-KPI-101</x:v>
      </x:c>
      <x:c r="B485" s="13"/>
      <x:c r="C485" s="13" t="str">
        <x:v>Failed Job Steps</x:v>
      </x:c>
      <x:c r="D485" s="13" t="str">
        <x:v>Requirement association not established; owner review required.</x:v>
      </x:c>
      <x:c r="E485" s="13" t="str">
        <x:v>monitoring.rpt_job_step_timing</x:v>
      </x:c>
      <x:c r="F48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KPI_LATEST_CALCULATIONS.md#mission-failed-job-steps
DAX [Failed Job Steps]:
CALCULATE ( [Job Steps], FILTER ( 'rpt_job_step_timing', UPPER ( COALESCE ( 'rpt_job_step_timing'[status], "" ) ) IN { "FAILED", "FAIL", "ERROR" } ) )
Saved source: project X/reports/WIP/SM WMPP Mission Control/SM WMPP Mission Control.SemanticModel/definition/tables/_MissionControl_Measures.tmdl:734
Python/Spark SQL producer/reference spans: 06_reports.py:45</x:v>
      </x:c>
      <x:c r="G485" s="13" t="str">
        <x:v>Failed Job Steps</x:v>
      </x:c>
      <x:c r="H485" s="13" t="str">
        <x:v>Section 12 - Mission Control</x:v>
      </x:c>
      <x:c r="I485" s="30" t="n">
        <x:v>46312</x:v>
      </x:c>
    </x:row>
    <x:row r="486" ht="241" customHeight="1">
      <x:c r="A486" s="13" t="str">
        <x:v>MC-KPI-102</x:v>
      </x:c>
      <x:c r="B486" s="13"/>
      <x:c r="C486" s="13" t="str">
        <x:v>Failed Pipeline Runs</x:v>
      </x:c>
      <x:c r="D486" s="13" t="str">
        <x:v>Requirement association not established; owner review required.</x:v>
      </x:c>
      <x:c r="E486" s="13" t="str">
        <x:v>monitoring.cfg_pipeline_run</x:v>
      </x:c>
      <x:c r="F48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KPI_LATEST_CALCULATIONS.md#mission-failed-pipeline-runs
DAX [Failed Pipeline Runs]:
CALCULATE ( [Pipeline Runs], FILTER ( 'cfg_pipeline_run', UPPER ( COALESCE ( 'cfg_pipeline_run'[status], "" ) ) IN { "FAILED", "FAIL", "ERROR" } ) )
Saved source: project X/reports/WIP/SM WMPP Mission Control/SM WMPP Mission Control.SemanticModel/definition/tables/_MissionControl_Measures.tmdl:22
Python/Spark SQL producer/reference spans: 03_silver_business_rules.py:119; 00_archive_load.py:635; 02a_archive_silver.py:195; 02_silver_formatter.py:110; 99_common_library.py:124</x:v>
      </x:c>
      <x:c r="G486" s="13" t="str">
        <x:v>Failed Pipeline Runs</x:v>
      </x:c>
      <x:c r="H486" s="13" t="str">
        <x:v>Section 12 - Mission Control</x:v>
      </x:c>
      <x:c r="I486" s="30" t="n">
        <x:v>46312</x:v>
      </x:c>
    </x:row>
    <x:row r="487" ht="202" customHeight="1">
      <x:c r="A487" s="13" t="str">
        <x:v>MC-KPI-103</x:v>
      </x:c>
      <x:c r="B487" s="13"/>
      <x:c r="C487" s="13" t="str">
        <x:v>Failures</x:v>
      </x:c>
      <x:c r="D487" s="13" t="str">
        <x:v>Requirement association not established; owner review required.</x:v>
      </x:c>
      <x:c r="E487" s="13" t="str">
        <x:v>monitoring.rpt_job_run_summary</x:v>
      </x:c>
      <x:c r="F48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KPI_LATEST_CALCULATIONS.md#mission-failures
DAX [Failures]:
CALCULATE([Runs], KEEPFILTERS(rpt_job_run_summary[Outcome]="Failed"))
Saved source: project X/reports/WIP/SM WMPP Mission Control/SM WMPP Mission Control.SemanticModel/definition/tables/_Load Experience.tmdl:14
Python/Spark SQL producer/reference spans: 06_reports.py:141</x:v>
      </x:c>
      <x:c r="G487" s="13" t="str">
        <x:v>Failures</x:v>
      </x:c>
      <x:c r="H487" s="13" t="str">
        <x:v>Section 12 - Mission Control</x:v>
      </x:c>
      <x:c r="I487" s="30" t="n">
        <x:v>46312</x:v>
      </x:c>
    </x:row>
    <x:row r="488" ht="228" customHeight="1">
      <x:c r="A488" s="13" t="str">
        <x:v>MC-KPI-104</x:v>
      </x:c>
      <x:c r="B488" s="13"/>
      <x:c r="C488" s="13" t="str">
        <x:v>Gold Snapshot DQ Failures</x:v>
      </x:c>
      <x:c r="D488" s="13" t="str">
        <x:v>Requirement association not established; owner review required.</x:v>
      </x:c>
      <x:c r="E488" s="13" t="str">
        <x:v>monitoring.cfg_month_end_gold_run</x:v>
      </x:c>
      <x:c r="F48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KPI_LATEST_CALCULATIONS.md#mission-gold-snapshot-dq-failures
DAX [Gold Snapshot DQ Failures]:
COUNTROWS ( FILTER ( 'cfg_month_end_gold_run', UPPER ( COALESCE ( 'cfg_month_end_gold_run'[dq_result], "" ) ) IN { "FAILED", "FAIL", "ERROR" } ) )
Saved source: project X/reports/WIP/SM WMPP Mission Control/SM WMPP Mission Control.SemanticModel/definition/tables/_MissionControl_Measures.tmdl:374
Python/Spark SQL producer/reference spans: 02a_archive_silver.py:611</x:v>
      </x:c>
      <x:c r="G488" s="13" t="str">
        <x:v>Gold Snapshot DQ Failures</x:v>
      </x:c>
      <x:c r="H488" s="13" t="str">
        <x:v>Section 12 - Mission Control</x:v>
      </x:c>
      <x:c r="I488" s="30" t="n">
        <x:v>46312</x:v>
      </x:c>
    </x:row>
    <x:row r="489" ht="202" customHeight="1">
      <x:c r="A489" s="13" t="str">
        <x:v>MC-KPI-105</x:v>
      </x:c>
      <x:c r="B489" s="13"/>
      <x:c r="C489" s="13" t="str">
        <x:v>Gold Snapshot Runs</x:v>
      </x:c>
      <x:c r="D489" s="13" t="str">
        <x:v>Requirement association not established; owner review required.</x:v>
      </x:c>
      <x:c r="E489" s="13" t="str">
        <x:v>monitoring.cfg_month_end_gold_run</x:v>
      </x:c>
      <x:c r="F48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KPI_LATEST_CALCULATIONS.md#mission-gold-snapshot-runs
DAX [Gold Snapshot Runs]:
COUNTROWS ( 'cfg_month_end_gold_run' )
Saved source: project X/reports/WIP/SM WMPP Mission Control/SM WMPP Mission Control.SemanticModel/definition/tables/_MissionControl_Measures.tmdl:338
Python/Spark SQL producer/reference spans: 02a_archive_silver.py:611</x:v>
      </x:c>
      <x:c r="G489" s="13" t="str">
        <x:v>Gold Snapshot Runs</x:v>
      </x:c>
      <x:c r="H489" s="13" t="str">
        <x:v>Section 12 - Mission Control</x:v>
      </x:c>
      <x:c r="I489" s="30" t="n">
        <x:v>46312</x:v>
      </x:c>
    </x:row>
    <x:row r="490" ht="215" customHeight="1">
      <x:c r="A490" s="13" t="str">
        <x:v>MC-KPI-106</x:v>
      </x:c>
      <x:c r="B490" s="13"/>
      <x:c r="C490" s="13" t="str">
        <x:v>Gold Snapshots Awaiting Replay</x:v>
      </x:c>
      <x:c r="D490" s="13" t="str">
        <x:v>Requirement association not established; owner review required.</x:v>
      </x:c>
      <x:c r="E490" s="13" t="str">
        <x:v>monitoring.cfg_month_end_gold_run</x:v>
      </x:c>
      <x:c r="F49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KPI_LATEST_CALCULATIONS.md#mission-gold-snapshots-awaiting-replay
DAX [Gold Snapshots Awaiting Replay]:
CALCULATE ( [Gold Snapshot Runs], 'cfg_month_end_gold_run'[reload] = TRUE () )
Saved source: project X/reports/WIP/SM WMPP Mission Control/SM WMPP Mission Control.SemanticModel/definition/tables/_MissionControl_Measures.tmdl:365
Python/Spark SQL producer/reference spans: 02a_archive_silver.py:611</x:v>
      </x:c>
      <x:c r="G490" s="13" t="str">
        <x:v>Gold Snapshots Awaiting Replay</x:v>
      </x:c>
      <x:c r="H490" s="13" t="str">
        <x:v>Section 12 - Mission Control</x:v>
      </x:c>
      <x:c r="I490" s="30" t="n">
        <x:v>46312</x:v>
      </x:c>
    </x:row>
    <x:row r="491" ht="267" customHeight="1">
      <x:c r="A491" s="13" t="str">
        <x:v>MC-KPI-107</x:v>
      </x:c>
      <x:c r="B491" s="13"/>
      <x:c r="C491" s="13" t="str">
        <x:v>High or Critical Rules Failing</x:v>
      </x:c>
      <x:c r="D491" s="13" t="str">
        <x:v>Requirement association not established; owner review required.</x:v>
      </x:c>
      <x:c r="E491" s="13" t="str">
        <x:v>monitoring.cfg_data_quality_result</x:v>
      </x:c>
      <x:c r="F49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KPI_LATEST_CALCULATIONS.md#mission-high-or-critical-rules-failing
DAX [High or Critical Rules Failing]:
CALCULATE ( DISTINCTCOUNT ( 'cfg_data_quality_result'[rule_id] ), FILTER ( 'cfg_data_quality_result', UPPER ( COALESCE ( 'cfg_data_quality_result'[severity], "" ) ) IN { "CRITICAL", "HIGH" } &amp;&amp; UPPER ( COALESCE ( 'cfg_data_quality_result'[status], "" ) ) IN { "FAILED", "FAIL", "ERROR" } ) )
Saved source: project X/reports/WIP/SM WMPP Mission Control/SM WMPP Mission Control.SemanticModel/definition/tables/_MissionControl_Measures.tmdl:455
Python/Spark SQL producer/reference spans: 03_silver_business_rules.py:208; 03_silver_business_rules.py:366; 99_common_library.py:124</x:v>
      </x:c>
      <x:c r="G491" s="13" t="str">
        <x:v>High or Critical Rules Failing</x:v>
      </x:c>
      <x:c r="H491" s="13" t="str">
        <x:v>Section 12 - Mission Control</x:v>
      </x:c>
      <x:c r="I491" s="30" t="n">
        <x:v>46312</x:v>
      </x:c>
    </x:row>
    <x:row r="492" ht="215" customHeight="1">
      <x:c r="A492" s="13" t="str">
        <x:v>MC-KPI-108</x:v>
      </x:c>
      <x:c r="B492" s="13"/>
      <x:c r="C492" s="13" t="str">
        <x:v>In progress or other</x:v>
      </x:c>
      <x:c r="D492" s="13" t="str">
        <x:v>Requirement association not established; owner review required.</x:v>
      </x:c>
      <x:c r="E492" s="13" t="str">
        <x:v>monitoring.rpt_job_run_summary</x:v>
      </x:c>
      <x:c r="F49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KPI_LATEST_CALCULATIONS.md#mission-in-progress-or-other
DAX [In progress or other]:
CALCULATE([Runs], KEEPFILTERS(rpt_job_run_summary[Outcome] IN {"Running","Other"}))
Saved source: project X/reports/WIP/SM WMPP Mission Control/SM WMPP Mission Control.SemanticModel/definition/tables/_Load Experience.tmdl:19
Python/Spark SQL producer/reference spans: 06_reports.py:141</x:v>
      </x:c>
      <x:c r="G492" s="13" t="str">
        <x:v>In progress or other</x:v>
      </x:c>
      <x:c r="H492" s="13" t="str">
        <x:v>Section 12 - Mission Control</x:v>
      </x:c>
      <x:c r="I492" s="30" t="n">
        <x:v>46312</x:v>
      </x:c>
    </x:row>
    <x:row r="493" ht="202" customHeight="1">
      <x:c r="A493" s="13" t="str">
        <x:v>MC-KPI-109</x:v>
      </x:c>
      <x:c r="B493" s="13"/>
      <x:c r="C493" s="13" t="str">
        <x:v>Job actual min</x:v>
      </x:c>
      <x:c r="D493" s="13" t="str">
        <x:v>Requirement association not established; owner review required.</x:v>
      </x:c>
      <x:c r="E493" s="13" t="str">
        <x:v>monitoring.rpt_job_run_summary</x:v>
      </x:c>
      <x:c r="F49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KPI_LATEST_CALCULATIONS.md#mission-job-actual-min
DAX [Job actual min]:
DIVIDE(SELECTEDVALUE('rpt_job_run_summary'[job_duration_seconds]),60)
Saved source: project X/reports/WIP/SM WMPP Mission Control/SM WMPP Mission Control.SemanticModel/definition/tables/_Run Benchmarks.tmdl:79
Python/Spark SQL producer/reference spans: 06_reports.py:141</x:v>
      </x:c>
      <x:c r="G493" s="13" t="str">
        <x:v>Job actual min</x:v>
      </x:c>
      <x:c r="H493" s="13" t="str">
        <x:v>Section 12 - Mission Control</x:v>
      </x:c>
      <x:c r="I493" s="30" t="n">
        <x:v>46312</x:v>
      </x:c>
    </x:row>
    <x:row r="494" ht="409" customHeight="1">
      <x:c r="A494" s="13" t="str">
        <x:v>MC-KPI-110</x:v>
      </x:c>
      <x:c r="B494" s="13"/>
      <x:c r="C494" s="13" t="str">
        <x:v>Job baseline n</x:v>
      </x:c>
      <x:c r="D494" s="13" t="str">
        <x:v>Requirement association not established; owner review required.</x:v>
      </x:c>
      <x:c r="E494" s="13" t="str">
        <x:v>monitoring.rpt_job_run_summary</x:v>
      </x:c>
      <x:c r="F49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KPI_LATEST_CALCULATIONS.md#mission-job-baseline-n
DAX [Job baseline n]:
VAR anchor=SELECTEDVALUE('rpt_job_run_summary'[started_at])
VAR pipeline=SELECTEDVALUE('rpt_job_run_summary'[pipeline_name])
VAR currentJob=SELECTEDVALUE('rpt_job_run_summary'[job_run_id])
VAR history=FILTER(CALCULATETABLE('rpt_job_run_summary',REMOVEFILTERS('Load Calendar'),REMOVEFILTERS('rpt_job_run_summary'),REMOVEFILTERS('rpt_job_run_summary')),
'rpt_job_run_summary'[pipeline_name]=pipeline &amp;&amp; 'rpt_job_run_summary'[job_run_id]&lt;&gt;currentJob
&amp;&amp; 'rpt_job_run_summary'[started_at]&gt;=anchor-30 &amp;&amp; 'rpt_job_run_summary'[ended_at]&lt;anchor
&amp;&amp; NOT ISBLANK('rpt_job_run_summary'[ended_at]) &amp;&amp; 'rpt_job_run_summary'[ended_at]&gt;='rpt_job_run_summary'[started
[EXCERPT; exact complete expression and dependencies in linked current calculation document]
Saved source: project X/reports/WIP/SM WMPP Mission Control/SM WMPP Mission Control.SemanticModel/definition/tables/_Run Benchmarks.tmdl:4
Python/Spark SQL producer/reference spans: 06_reports.py:141
Calculated-table dependency: Load Calendar. Complete saved partition logic is included in the calculation document.</x:v>
      </x:c>
      <x:c r="G494" s="13" t="str">
        <x:v>Job baseline n</x:v>
      </x:c>
      <x:c r="H494" s="13" t="str">
        <x:v>Section 12 - Mission Control</x:v>
      </x:c>
      <x:c r="I494" s="30" t="n">
        <x:v>46312</x:v>
      </x:c>
    </x:row>
    <x:row r="495" ht="409" customHeight="1">
      <x:c r="A495" s="13" t="str">
        <x:v>MC-KPI-111</x:v>
      </x:c>
      <x:c r="B495" s="13"/>
      <x:c r="C495" s="13" t="str">
        <x:v>Job prior mean min</x:v>
      </x:c>
      <x:c r="D495" s="13" t="str">
        <x:v>Requirement association not established; owner review required.</x:v>
      </x:c>
      <x:c r="E495" s="13" t="str">
        <x:v>monitoring.rpt_job_run_summary</x:v>
      </x:c>
      <x:c r="F49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KPI_LATEST_CALCULATIONS.md#mission-job-prior-mean-min
DAX [Job prior mean min]:
VAR anchor=SELECTEDVALUE('rpt_job_run_summary'[started_at])
VAR pipeline=SELECTEDVALUE('rpt_job_run_summary'[pipeline_name])
VAR currentJob=SELECTEDVALUE('rpt_job_run_summary'[job_run_id])
VAR history=FILTER(CALCULATETABLE('rpt_job_run_summary',REMOVEFILTERS('Load Calendar'),REMOVEFILTERS('rpt_job_run_summary'),REMOVEFILTERS('rpt_job_run_summary')),
'rpt_job_run_summary'[pipeline_name]=pipeline &amp;&amp; 'rpt_job_run_summary'[job_run_id]&lt;&gt;currentJob
&amp;&amp; 'rpt_job_run_summary'[started_at]&gt;=anchor-30 &amp;&amp; 'rpt_job_run_summary'[ended_at]&lt;anchor
&amp;&amp; NOT ISBLANK('rpt_job_run_summary'[ended_at]) &amp;&amp; 'rpt_job_run_summary'[ended_at]&gt;='rpt_job_run_summary'[started
[EXCERPT; exact complete expression and dependencies in linked current calculation document]
Saved source: project X/reports/WIP/SM WMPP Mission Control/SM WMPP Mission Control.SemanticModel/definition/tables/_Run Benchmarks.tmdl:19
Python/Spark SQL producer/reference spans: 06_reports.py:141
Calculated-table dependency: Load Calendar. Complete saved partition logic is included in the calculation document.</x:v>
      </x:c>
      <x:c r="G495" s="13" t="str">
        <x:v>Job prior mean min</x:v>
      </x:c>
      <x:c r="H495" s="13" t="str">
        <x:v>Section 12 - Mission Control</x:v>
      </x:c>
      <x:c r="I495" s="30" t="n">
        <x:v>46312</x:v>
      </x:c>
    </x:row>
    <x:row r="496" ht="409" customHeight="1">
      <x:c r="A496" s="13" t="str">
        <x:v>MC-KPI-112</x:v>
      </x:c>
      <x:c r="B496" s="13"/>
      <x:c r="C496" s="13" t="str">
        <x:v>Job prior median min</x:v>
      </x:c>
      <x:c r="D496" s="13" t="str">
        <x:v>Requirement association not established; owner review required.</x:v>
      </x:c>
      <x:c r="E496" s="13" t="str">
        <x:v>monitoring.rpt_job_run_summary</x:v>
      </x:c>
      <x:c r="F49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KPI_LATEST_CALCULATIONS.md#mission-job-prior-median-min
DAX [Job prior median min]:
VAR anchor=SELECTEDVALUE('rpt_job_run_summary'[started_at])
VAR pipeline=SELECTEDVALUE('rpt_job_run_summary'[pipeline_name])
VAR currentJob=SELECTEDVALUE('rpt_job_run_summary'[job_run_id])
VAR history=FILTER(CALCULATETABLE('rpt_job_run_summary',REMOVEFILTERS('Load Calendar'),REMOVEFILTERS('rpt_job_run_summary'),REMOVEFILTERS('rpt_job_run_summary')),
'rpt_job_run_summary'[pipeline_name]=pipeline &amp;&amp; 'rpt_job_run_summary'[job_run_id]&lt;&gt;currentJob
&amp;&amp; 'rpt_job_run_summary'[started_at]&gt;=anchor-30 &amp;&amp; 'rpt_job_run_summary'[ended_at]&lt;anchor
&amp;&amp; NOT ISBLANK('rpt_job_run_summary'[ended_at]) &amp;&amp; 'rpt_job_run_summary'[ended_at]&gt;='rpt_job_run_summary'[started
[EXCERPT; exact complete expression and dependencies in linked current calculation document]
Saved source: project X/reports/WIP/SM WMPP Mission Control/SM WMPP Mission Control.SemanticModel/definition/tables/_Run Benchmarks.tmdl:34
Python/Spark SQL producer/reference spans: 06_reports.py:141
Calculated-table dependency: Load Calendar. Complete saved partition logic is included in the calculation document.</x:v>
      </x:c>
      <x:c r="G496" s="13" t="str">
        <x:v>Job prior median min</x:v>
      </x:c>
      <x:c r="H496" s="13" t="str">
        <x:v>Section 12 - Mission Control</x:v>
      </x:c>
      <x:c r="I496" s="30" t="n">
        <x:v>46312</x:v>
      </x:c>
    </x:row>
    <x:row r="497" ht="409" customHeight="1">
      <x:c r="A497" s="13" t="str">
        <x:v>MC-KPI-113</x:v>
      </x:c>
      <x:c r="B497" s="13"/>
      <x:c r="C497" s="13" t="str">
        <x:v>Job prior p25 min</x:v>
      </x:c>
      <x:c r="D497" s="13" t="str">
        <x:v>Requirement association not established; owner review required.</x:v>
      </x:c>
      <x:c r="E497" s="13" t="str">
        <x:v>monitoring.rpt_job_run_summary</x:v>
      </x:c>
      <x:c r="F49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KPI_LATEST_CALCULATIONS.md#mission-job-prior-p25-min
DAX [Job prior p25 min]:
VAR anchor=SELECTEDVALUE('rpt_job_run_summary'[started_at])
VAR pipeline=SELECTEDVALUE('rpt_job_run_summary'[pipeline_name])
VAR currentJob=SELECTEDVALUE('rpt_job_run_summary'[job_run_id])
VAR history=FILTER(CALCULATETABLE('rpt_job_run_summary',REMOVEFILTERS('Load Calendar'),REMOVEFILTERS('rpt_job_run_summary'),REMOVEFILTERS('rpt_job_run_summary')),
'rpt_job_run_summary'[pipeline_name]=pipeline &amp;&amp; 'rpt_job_run_summary'[job_run_id]&lt;&gt;currentJob
&amp;&amp; 'rpt_job_run_summary'[started_at]&gt;=anchor-30 &amp;&amp; 'rpt_job_run_summary'[ended_at]&lt;anchor
&amp;&amp; NOT ISBLANK('rpt_job_run_summary'[ended_at]) &amp;&amp; 'rpt_job_run_summary'[ended_at]&gt;='rpt_job_run_summary'[started
[EXCERPT; exact complete expression and dependencies in linked current calculation document]
Saved source: project X/reports/WIP/SM WMPP Mission Control/SM WMPP Mission Control.SemanticModel/definition/tables/_Run Benchmarks.tmdl:49
Python/Spark SQL producer/reference spans: 06_reports.py:141
Calculated-table dependency: Load Calendar. Complete saved partition logic is included in the calculation document.</x:v>
      </x:c>
      <x:c r="G497" s="13" t="str">
        <x:v>Job prior p25 min</x:v>
      </x:c>
      <x:c r="H497" s="13" t="str">
        <x:v>Section 12 - Mission Control</x:v>
      </x:c>
      <x:c r="I497" s="30" t="n">
        <x:v>46312</x:v>
      </x:c>
    </x:row>
    <x:row r="498" ht="409" customHeight="1">
      <x:c r="A498" s="13" t="str">
        <x:v>MC-KPI-114</x:v>
      </x:c>
      <x:c r="B498" s="13"/>
      <x:c r="C498" s="13" t="str">
        <x:v>Job prior p75 min</x:v>
      </x:c>
      <x:c r="D498" s="13" t="str">
        <x:v>Requirement association not established; owner review required.</x:v>
      </x:c>
      <x:c r="E498" s="13" t="str">
        <x:v>monitoring.rpt_job_run_summary</x:v>
      </x:c>
      <x:c r="F49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KPI_LATEST_CALCULATIONS.md#mission-job-prior-p75-min
DAX [Job prior p75 min]:
VAR anchor=SELECTEDVALUE('rpt_job_run_summary'[started_at])
VAR pipeline=SELECTEDVALUE('rpt_job_run_summary'[pipeline_name])
VAR currentJob=SELECTEDVALUE('rpt_job_run_summary'[job_run_id])
VAR history=FILTER(CALCULATETABLE('rpt_job_run_summary',REMOVEFILTERS('Load Calendar'),REMOVEFILTERS('rpt_job_run_summary'),REMOVEFILTERS('rpt_job_run_summary')),
'rpt_job_run_summary'[pipeline_name]=pipeline &amp;&amp; 'rpt_job_run_summary'[job_run_id]&lt;&gt;currentJob
&amp;&amp; 'rpt_job_run_summary'[started_at]&gt;=anchor-30 &amp;&amp; 'rpt_job_run_summary'[ended_at]&lt;anchor
&amp;&amp; NOT ISBLANK('rpt_job_run_summary'[ended_at]) &amp;&amp; 'rpt_job_run_summary'[ended_at]&gt;='rpt_job_run_summary'[started
[EXCERPT; exact complete expression and dependencies in linked current calculation document]
Saved source: project X/reports/WIP/SM WMPP Mission Control/SM WMPP Mission Control.SemanticModel/definition/tables/_Run Benchmarks.tmdl:64
Python/Spark SQL producer/reference spans: 06_reports.py:141
Calculated-table dependency: Load Calendar. Complete saved partition logic is included in the calculation document.</x:v>
      </x:c>
      <x:c r="G498" s="13" t="str">
        <x:v>Job prior p75 min</x:v>
      </x:c>
      <x:c r="H498" s="13" t="str">
        <x:v>Section 12 - Mission Control</x:v>
      </x:c>
      <x:c r="I498" s="30" t="n">
        <x:v>46312</x:v>
      </x:c>
    </x:row>
    <x:row r="499" ht="202" customHeight="1">
      <x:c r="A499" s="13" t="str">
        <x:v>MC-KPI-115</x:v>
      </x:c>
      <x:c r="B499" s="13"/>
      <x:c r="C499" s="13" t="str">
        <x:v>Job Runs</x:v>
      </x:c>
      <x:c r="D499" s="13" t="str">
        <x:v>Requirement association not established; owner review required.</x:v>
      </x:c>
      <x:c r="E499" s="13" t="str">
        <x:v>monitoring.rpt_job_run_summary</x:v>
      </x:c>
      <x:c r="F49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KPI_LATEST_CALCULATIONS.md#mission-job-runs
DAX [Job Runs]:
DISTINCTCOUNT ( 'rpt_job_run_summary'[job_run_id] )
Saved source: project X/reports/WIP/SM WMPP Mission Control/SM WMPP Mission Control.SemanticModel/definition/tables/_MissionControl_Measures.tmdl:607
Python/Spark SQL producer/reference spans: 06_reports.py:141</x:v>
      </x:c>
      <x:c r="G499" s="13" t="str">
        <x:v>Job Runs</x:v>
      </x:c>
      <x:c r="H499" s="13" t="str">
        <x:v>Section 12 - Mission Control</x:v>
      </x:c>
      <x:c r="I499" s="30" t="n">
        <x:v>46312</x:v>
      </x:c>
    </x:row>
    <x:row r="500" ht="202" customHeight="1">
      <x:c r="A500" s="13" t="str">
        <x:v>MC-KPI-116</x:v>
      </x:c>
      <x:c r="B500" s="13"/>
      <x:c r="C500" s="13" t="str">
        <x:v>Job Steps</x:v>
      </x:c>
      <x:c r="D500" s="13" t="str">
        <x:v>Requirement association not established; owner review required.</x:v>
      </x:c>
      <x:c r="E500" s="13" t="str">
        <x:v>monitoring.rpt_job_step_timing</x:v>
      </x:c>
      <x:c r="F50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KPI_LATEST_CALCULATIONS.md#mission-job-steps
DAX [Job Steps]:
COUNTROWS ( 'rpt_job_step_timing' )
Saved source: project X/reports/WIP/SM WMPP Mission Control/SM WMPP Mission Control.SemanticModel/definition/tables/_MissionControl_Measures.tmdl:716
Python/Spark SQL producer/reference spans: 06_reports.py:45</x:v>
      </x:c>
      <x:c r="G500" s="13" t="str">
        <x:v>Job Steps</x:v>
      </x:c>
      <x:c r="H500" s="13" t="str">
        <x:v>Section 12 - Mission Control</x:v>
      </x:c>
      <x:c r="I500" s="30" t="n">
        <x:v>46312</x:v>
      </x:c>
    </x:row>
    <x:row r="501" ht="215" customHeight="1">
      <x:c r="A501" s="13" t="str">
        <x:v>MC-KPI-117</x:v>
      </x:c>
      <x:c r="B501" s="13"/>
      <x:c r="C501" s="13" t="str">
        <x:v>Job Steps With Error</x:v>
      </x:c>
      <x:c r="D501" s="13" t="str">
        <x:v>Requirement association not established; owner review required.</x:v>
      </x:c>
      <x:c r="E501" s="13" t="str">
        <x:v>monitoring.rpt_job_step_timing</x:v>
      </x:c>
      <x:c r="F50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KPI_LATEST_CALCULATIONS.md#mission-job-steps-with-error
DAX [Job Steps With Error]:
COUNTROWS ( FILTER ( 'rpt_job_step_timing', NOT ISBLANK ( 'rpt_job_step_timing'[error_message] ) &amp;&amp; 'rpt_job_step_timing'[error_message] &lt;&gt; "" ) )
Saved source: project X/reports/WIP/SM WMPP Mission Control/SM WMPP Mission Control.SemanticModel/definition/tables/_MissionControl_Measures.tmdl:743
Python/Spark SQL producer/reference spans: 06_reports.py:45</x:v>
      </x:c>
      <x:c r="G501" s="13" t="str">
        <x:v>Job Steps With Error</x:v>
      </x:c>
      <x:c r="H501" s="13" t="str">
        <x:v>Section 12 - Mission Control</x:v>
      </x:c>
      <x:c r="I501" s="30" t="n">
        <x:v>46312</x:v>
      </x:c>
    </x:row>
    <x:row r="502" ht="202" customHeight="1">
      <x:c r="A502" s="13" t="str">
        <x:v>MC-KPI-118</x:v>
      </x:c>
      <x:c r="B502" s="13"/>
      <x:c r="C502" s="13" t="str">
        <x:v>Job Success Rate</x:v>
      </x:c>
      <x:c r="D502" s="13" t="str">
        <x:v>Requirement association not established; owner review required.</x:v>
      </x:c>
      <x:c r="E502" s="13" t="str">
        <x:v>monitoring.rpt_job_run_summary</x:v>
      </x:c>
      <x:c r="F50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KPI_LATEST_CALCULATIONS.md#mission-job-success-rate
DAX [Job Success Rate]:
DIVIDE ( [Successful Job Runs], [Successful Job Runs] + [Failed Job Runs] )
Saved source: project X/reports/WIP/SM WMPP Mission Control/SM WMPP Mission Control.SemanticModel/definition/tables/_MissionControl_Measures.tmdl:634
Python/Spark SQL producer/reference spans: 06_reports.py:141</x:v>
      </x:c>
      <x:c r="G502" s="13" t="str">
        <x:v>Job Success Rate</x:v>
      </x:c>
      <x:c r="H502" s="13" t="str">
        <x:v>Section 12 - Mission Control</x:v>
      </x:c>
      <x:c r="I502" s="30" t="n">
        <x:v>46312</x:v>
      </x:c>
    </x:row>
    <x:row r="503" ht="228" customHeight="1">
      <x:c r="A503" s="13" t="str">
        <x:v>MC-KPI-119</x:v>
      </x:c>
      <x:c r="B503" s="13"/>
      <x:c r="C503" s="13" t="str">
        <x:v>Latest Archived Schema Capture</x:v>
      </x:c>
      <x:c r="D503" s="13" t="str">
        <x:v>Requirement association not established; owner review required.</x:v>
      </x:c>
      <x:c r="E503" s="13" t="str">
        <x:v>monitoring.cfg_archived_schema_live</x:v>
      </x:c>
      <x:c r="F50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KPI_LATEST_CALCULATIONS.md#mission-latest-archived-schema-capture
DAX [Latest Archived Schema Capture]:
MAX ( 'cfg_archived_schema_live'[contract_loaded_at] )
Saved source: project X/reports/WIP/SM WMPP Mission Control/SM WMPP Mission Control.SemanticModel/definition/tables/_MissionControl_Measures.tmdl:545
Python/Spark SQL producer/reference spans: 01a_cfg_schema_capture_archive.py:107</x:v>
      </x:c>
      <x:c r="G503" s="13" t="str">
        <x:v>Latest Archived Schema Capture</x:v>
      </x:c>
      <x:c r="H503" s="13" t="str">
        <x:v>Section 12 - Mission Control</x:v>
      </x:c>
      <x:c r="I503" s="30" t="n">
        <x:v>46312</x:v>
      </x:c>
    </x:row>
    <x:row r="504" ht="215" customHeight="1">
      <x:c r="A504" s="13" t="str">
        <x:v>MC-KPI-120</x:v>
      </x:c>
      <x:c r="B504" s="13"/>
      <x:c r="C504" s="13" t="str">
        <x:v>Latest Job Run Started</x:v>
      </x:c>
      <x:c r="D504" s="13" t="str">
        <x:v>Requirement association not established; owner review required.</x:v>
      </x:c>
      <x:c r="E504" s="13" t="str">
        <x:v>monitoring.rpt_job_run_summary</x:v>
      </x:c>
      <x:c r="F50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KPI_LATEST_CALCULATIONS.md#mission-latest-job-run-started
DAX [Latest Job Run Started]:
MAXX ( FILTER ( ALLSELECTED ( 'rpt_job_run_summary' ), NOT ISBLANK ( 'rpt_job_run_summary'[started_at] ) ), 'rpt_job_run_summary'[started_at] )
Saved source: project X/reports/WIP/SM WMPP Mission Control/SM WMPP Mission Control.SemanticModel/definition/tables/_MissionControl_Measures.tmdl:643
Python/Spark SQL producer/reference spans: 06_reports.py:141</x:v>
      </x:c>
      <x:c r="G504" s="13" t="str">
        <x:v>Latest Job Run Started</x:v>
      </x:c>
      <x:c r="H504" s="13" t="str">
        <x:v>Section 12 - Mission Control</x:v>
      </x:c>
      <x:c r="I504" s="30" t="n">
        <x:v>46312</x:v>
      </x:c>
    </x:row>
    <x:row r="505" ht="267" customHeight="1">
      <x:c r="A505" s="13" t="str">
        <x:v>MC-KPI-121</x:v>
      </x:c>
      <x:c r="B505" s="13"/>
      <x:c r="C505" s="13" t="str">
        <x:v>Latest Load Critical Rules</x:v>
      </x:c>
      <x:c r="D505" s="13" t="str">
        <x:v>Requirement association not established; owner review required.</x:v>
      </x:c>
      <x:c r="E505" s="13" t="str">
        <x:v>monitoring.cfg_data_quality_result; monitoring.rpt_job_run_summary</x:v>
      </x:c>
      <x:c r="F50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KPI_LATEST_CALCULATIONS.md#mission-latest-load-critical-rules
DAX [Latest Load Critical Rules]:
VAR _id = [Latest Load Run ID]
RETURN IF([Latest Load Quality Records] &gt; 0,
COALESCE(CALCULATE([Critical Rules Failing], KEEPFILTERS(TREATAS({_id}, cfg_data_quality_result[job_run_id]))), 0))
Saved source: project X/reports/WIP/SM WMPP Mission Control/SM WMPP Mission Control.SemanticModel/definition/tables/_MissionControl_Measures.tmdl:882
Python/Spark SQL producer/reference spans: 03_silver_business_rules.py:208; 03_silver_business_rules.py:366; 99_common_library.py:124; 06_reports.py:141</x:v>
      </x:c>
      <x:c r="G505" s="13" t="str">
        <x:v>Latest Load Critical Rules</x:v>
      </x:c>
      <x:c r="H505" s="13" t="str">
        <x:v>Section 12 - Mission Control</x:v>
      </x:c>
      <x:c r="I505" s="30" t="n">
        <x:v>46312</x:v>
      </x:c>
    </x:row>
    <x:row r="506" ht="267" customHeight="1">
      <x:c r="A506" s="13" t="str">
        <x:v>MC-KPI-122</x:v>
      </x:c>
      <x:c r="B506" s="13"/>
      <x:c r="C506" s="13" t="str">
        <x:v>Latest Load Evaluated Checks</x:v>
      </x:c>
      <x:c r="D506" s="13" t="str">
        <x:v>Requirement association not established; owner review required.</x:v>
      </x:c>
      <x:c r="E506" s="13" t="str">
        <x:v>monitoring.cfg_data_quality_result; monitoring.rpt_job_run_summary</x:v>
      </x:c>
      <x:c r="F50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KPI_LATEST_CALCULATIONS.md#mission-latest-load-evaluated-checks
DAX [Latest Load Evaluated Checks]:
VAR _id = [Latest Load Run ID]
RETURN IF([Latest Load Quality Records] &gt; 0,
COALESCE(CALCULATE([DQ Evaluated Checks], KEEPFILTERS(TREATAS({_id}, cfg_data_quality_result[job_run_id]))), 0))
Saved source: project X/reports/WIP/SM WMPP Mission Control/SM WMPP Mission Control.SemanticModel/definition/tables/_MissionControl_Measures.tmdl:858
Python/Spark SQL producer/reference spans: 03_silver_business_rules.py:208; 03_silver_business_rules.py:366; 99_common_library.py:124; 06_reports.py:141</x:v>
      </x:c>
      <x:c r="G506" s="13" t="str">
        <x:v>Latest Load Evaluated Checks</x:v>
      </x:c>
      <x:c r="H506" s="13" t="str">
        <x:v>Section 12 - Mission Control</x:v>
      </x:c>
      <x:c r="I506" s="30" t="n">
        <x:v>46312</x:v>
      </x:c>
    </x:row>
    <x:row r="507" ht="267" customHeight="1">
      <x:c r="A507" s="13" t="str">
        <x:v>MC-KPI-123</x:v>
      </x:c>
      <x:c r="B507" s="13"/>
      <x:c r="C507" s="13" t="str">
        <x:v>Latest Load Failed Checks</x:v>
      </x:c>
      <x:c r="D507" s="13" t="str">
        <x:v>Requirement association not established; owner review required.</x:v>
      </x:c>
      <x:c r="E507" s="13" t="str">
        <x:v>monitoring.cfg_data_quality_result; monitoring.rpt_job_run_summary</x:v>
      </x:c>
      <x:c r="F50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KPI_LATEST_CALCULATIONS.md#mission-latest-load-failed-checks
DAX [Latest Load Failed Checks]:
VAR _id = [Latest Load Run ID]
RETURN IF([Latest Load Quality Records] &gt; 0,
COALESCE(CALCULATE([DQ Failed Checks], KEEPFILTERS(TREATAS({_id}, cfg_data_quality_result[job_run_id]))), 0))
Saved source: project X/reports/WIP/SM WMPP Mission Control/SM WMPP Mission Control.SemanticModel/definition/tables/_MissionControl_Measures.tmdl:866
Python/Spark SQL producer/reference spans: 03_silver_business_rules.py:208; 03_silver_business_rules.py:366; 99_common_library.py:124; 06_reports.py:141</x:v>
      </x:c>
      <x:c r="G507" s="13" t="str">
        <x:v>Latest Load Failed Checks</x:v>
      </x:c>
      <x:c r="H507" s="13" t="str">
        <x:v>Section 12 - Mission Control</x:v>
      </x:c>
      <x:c r="I507" s="30" t="n">
        <x:v>46312</x:v>
      </x:c>
    </x:row>
    <x:row r="508" ht="254" customHeight="1">
      <x:c r="A508" s="13" t="str">
        <x:v>MC-KPI-124</x:v>
      </x:c>
      <x:c r="B508" s="13"/>
      <x:c r="C508" s="13" t="str">
        <x:v>Latest Load Failed Rows</x:v>
      </x:c>
      <x:c r="D508" s="13" t="str">
        <x:v>Requirement association not established; owner review required.</x:v>
      </x:c>
      <x:c r="E508" s="13" t="str">
        <x:v>monitoring.cfg_data_quality_result; monitoring.rpt_job_run_summary</x:v>
      </x:c>
      <x:c r="F50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KPI_LATEST_CALCULATIONS.md#mission-latest-load-failed-rows
DAX [Latest Load Failed Rows]:
VAR _id = [Latest Load Run ID]
RETURN IF([Latest Load Quality Records] &gt; 0,
COALESCE(CALCULATE([DQ Failed Rows], KEEPFILTERS(TREATAS({_id}, cfg_data_quality_result[job_run_id]))), 0))
Saved source: project X/reports/WIP/SM WMPP Mission Control/SM WMPP Mission Control.SemanticModel/definition/tables/_MissionControl_Measures.tmdl:874
Python/Spark SQL producer/reference spans: 03_silver_business_rules.py:208; 03_silver_business_rules.py:366; 99_common_library.py:124; 06_reports.py:141</x:v>
      </x:c>
      <x:c r="G508" s="13" t="str">
        <x:v>Latest Load Failed Rows</x:v>
      </x:c>
      <x:c r="H508" s="13" t="str">
        <x:v>Section 12 - Mission Control</x:v>
      </x:c>
      <x:c r="I508" s="30" t="n">
        <x:v>46312</x:v>
      </x:c>
    </x:row>
    <x:row r="509" ht="254" customHeight="1">
      <x:c r="A509" s="13" t="str">
        <x:v>MC-KPI-125</x:v>
      </x:c>
      <x:c r="B509" s="13"/>
      <x:c r="C509" s="13" t="str">
        <x:v>Latest Load Quality Records</x:v>
      </x:c>
      <x:c r="D509" s="13" t="str">
        <x:v>Requirement association not established; owner review required.</x:v>
      </x:c>
      <x:c r="E509" s="13" t="str">
        <x:v>monitoring.cfg_data_quality_result; monitoring.rpt_job_run_summary</x:v>
      </x:c>
      <x:c r="F50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KPI_LATEST_CALCULATIONS.md#mission-latest-load-quality-records
DAX [Latest Load Quality Records]:
VAR _id = [Latest Load Run ID]
RETURN IF(NOT ISBLANK(_id), COALESCE(CALCULATE(COUNTROWS(cfg_data_quality_result), REMOVEFILTERS(), cfg_data_quality_result[job_run_id] = _id), 0))
Saved source: project X/reports/WIP/SM WMPP Mission Control/SM WMPP Mission Control.SemanticModel/definition/tables/_MissionControl_Measures.tmdl:851
Python/Spark SQL producer/reference spans: 03_silver_business_rules.py:208; 03_silver_business_rules.py:366; 99_common_library.py:124; 06_reports.py:141</x:v>
      </x:c>
      <x:c r="G509" s="13" t="str">
        <x:v>Latest Load Quality Records</x:v>
      </x:c>
      <x:c r="H509" s="13" t="str">
        <x:v>Section 12 - Mission Control</x:v>
      </x:c>
      <x:c r="I509" s="30" t="n">
        <x:v>46312</x:v>
      </x:c>
    </x:row>
    <x:row r="510" ht="228" customHeight="1">
      <x:c r="A510" s="13" t="str">
        <x:v>MC-KPI-126</x:v>
      </x:c>
      <x:c r="B510" s="13"/>
      <x:c r="C510" s="13" t="str">
        <x:v>Latest Load Started</x:v>
      </x:c>
      <x:c r="D510" s="13" t="str">
        <x:v>Requirement association not established; owner review required.</x:v>
      </x:c>
      <x:c r="E510" s="13" t="str">
        <x:v>monitoring.rpt_job_run_summary</x:v>
      </x:c>
      <x:c r="F51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KPI_LATEST_CALCULATIONS.md#mission-latest-load-started
DAX [Latest Load Started]:
VAR _id = [Latest Load Run ID]
RETURN IF(NOT ISBLANK(_id), CALCULATE(MAX(rpt_job_run_summary[started_at]), REMOVEFILTERS(), rpt_job_run_summary[job_run_id] = _id))
Saved source: project X/reports/WIP/SM WMPP Mission Control/SM WMPP Mission Control.SemanticModel/definition/tables/_MissionControl_Measures.tmdl:838
Python/Spark SQL producer/reference spans: 06_reports.py:141</x:v>
      </x:c>
      <x:c r="G510" s="13" t="str">
        <x:v>Latest Load Started</x:v>
      </x:c>
      <x:c r="H510" s="13" t="str">
        <x:v>Section 12 - Mission Control</x:v>
      </x:c>
      <x:c r="I510" s="30" t="n">
        <x:v>46312</x:v>
      </x:c>
    </x:row>
    <x:row r="511" ht="228" customHeight="1">
      <x:c r="A511" s="13" t="str">
        <x:v>MC-KPI-127</x:v>
      </x:c>
      <x:c r="B511" s="13"/>
      <x:c r="C511" s="13" t="str">
        <x:v>Latest matching Archive ZIP Batches</x:v>
      </x:c>
      <x:c r="D511" s="13" t="str">
        <x:v>Requirement association not established; owner review required.</x:v>
      </x:c>
      <x:c r="E511" s="13" t="str">
        <x:v>monitoring.cfg_archive_zip_load</x:v>
      </x:c>
      <x:c r="F51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KPI_LATEST_CALCULATIONS.md#mission-latest-matching-archive-zip-batches
DAX [Latest matching Archive ZIP Batches]:
CALCULATE([Archive ZIP Batches], KEEPFILTERS(TREATAS({[Discovery cfg_archive_zip_load Latest key]}, cfg_archive_zip_load[run_id])))
Saved source: project X/reports/WIP/SM WMPP Mission Control/SM WMPP Mission Control.SemanticModel/definition/tables/_MissionControl_Measures.tmdl:2073
Python/Spark SQL producer/reference spans: 00_archive_load.py:653</x:v>
      </x:c>
      <x:c r="G511" s="13" t="str">
        <x:v>Latest matching Archive ZIP Batches</x:v>
      </x:c>
      <x:c r="H511" s="13" t="str">
        <x:v>Section 12 - Mission Control</x:v>
      </x:c>
      <x:c r="I511" s="30" t="n">
        <x:v>46312</x:v>
      </x:c>
    </x:row>
    <x:row r="512" ht="228" customHeight="1">
      <x:c r="A512" s="13" t="str">
        <x:v>MC-KPI-128</x:v>
      </x:c>
      <x:c r="B512" s="13"/>
      <x:c r="C512" s="13" t="str">
        <x:v>Latest matching Archive ZIP Batches Awaiting Reload</x:v>
      </x:c>
      <x:c r="D512" s="13" t="str">
        <x:v>Requirement association not established; owner review required.</x:v>
      </x:c>
      <x:c r="E512" s="13" t="str">
        <x:v>monitoring.cfg_archive_zip_load</x:v>
      </x:c>
      <x:c r="F51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KPI_LATEST_CALCULATIONS.md#mission-latest-matching-archive-zip-batches-awaiting-reload
DAX [Latest matching Archive ZIP Batches Awaiting Reload]:
CALCULATE([Archive ZIP Batches Awaiting Reload], KEEPFILTERS(TREATAS({[Discovery cfg_archive_zip_load Latest key]}, cfg_archive_zip_load[run_id])))
Saved source: project X/reports/WIP/SM WMPP Mission Control/SM WMPP Mission Control.SemanticModel/definition/tables/_MissionControl_Measures.tmdl:2078
Python/Spark SQL producer/reference spans: 00_archive_load.py:653</x:v>
      </x:c>
      <x:c r="G512" s="13" t="str">
        <x:v>Latest matching Archive ZIP Batches Awaiting Reload</x:v>
      </x:c>
      <x:c r="H512" s="13" t="str">
        <x:v>Section 12 - Mission Control</x:v>
      </x:c>
      <x:c r="I512" s="30" t="n">
        <x:v>46312</x:v>
      </x:c>
    </x:row>
    <x:row r="513" ht="228" customHeight="1">
      <x:c r="A513" s="13" t="str">
        <x:v>MC-KPI-129</x:v>
      </x:c>
      <x:c r="B513" s="13"/>
      <x:c r="C513" s="13" t="str">
        <x:v>Latest matching Failed Archive ZIP Batches</x:v>
      </x:c>
      <x:c r="D513" s="13" t="str">
        <x:v>Requirement association not established; owner review required.</x:v>
      </x:c>
      <x:c r="E513" s="13" t="str">
        <x:v>monitoring.cfg_archive_zip_load</x:v>
      </x:c>
      <x:c r="F51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KPI_LATEST_CALCULATIONS.md#mission-latest-matching-failed-archive-zip-batches
DAX [Latest matching Failed Archive ZIP Batches]:
CALCULATE([Failed Archive ZIP Batches], KEEPFILTERS(TREATAS({[Discovery cfg_archive_zip_load Latest key]}, cfg_archive_zip_load[run_id])))
Saved source: project X/reports/WIP/SM WMPP Mission Control/SM WMPP Mission Control.SemanticModel/definition/tables/_MissionControl_Measures.tmdl:2083
Python/Spark SQL producer/reference spans: 00_archive_load.py:653</x:v>
      </x:c>
      <x:c r="G513" s="13" t="str">
        <x:v>Latest matching Failed Archive ZIP Batches</x:v>
      </x:c>
      <x:c r="H513" s="13" t="str">
        <x:v>Section 12 - Mission Control</x:v>
      </x:c>
      <x:c r="I513" s="30" t="n">
        <x:v>46312</x:v>
      </x:c>
    </x:row>
    <x:row r="514" ht="228" customHeight="1">
      <x:c r="A514" s="13" t="str">
        <x:v>MC-KPI-130</x:v>
      </x:c>
      <x:c r="B514" s="13"/>
      <x:c r="C514" s="13" t="str">
        <x:v>Latest matching Failed Gold Snapshots</x:v>
      </x:c>
      <x:c r="D514" s="13" t="str">
        <x:v>Requirement association not established; owner review required.</x:v>
      </x:c>
      <x:c r="E514" s="13" t="str">
        <x:v>monitoring.cfg_month_end_gold_run</x:v>
      </x:c>
      <x:c r="F51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KPI_LATEST_CALCULATIONS.md#mission-latest-matching-failed-gold-snapshots
DAX [Latest matching Failed Gold Snapshots]:
CALCULATE([Failed Gold Snapshots], KEEPFILTERS(TREATAS({[Discovery cfg_month_end_gold_run Latest key]}, cfg_month_end_gold_run[run_id])))
Saved source: project X/reports/WIP/SM WMPP Mission Control/SM WMPP Mission Control.SemanticModel/definition/tables/_MissionControl_Measures.tmdl:2088
Python/Spark SQL producer/reference spans: 02a_archive_silver.py:611</x:v>
      </x:c>
      <x:c r="G514" s="13" t="str">
        <x:v>Latest matching Failed Gold Snapshots</x:v>
      </x:c>
      <x:c r="H514" s="13" t="str">
        <x:v>Section 12 - Mission Control</x:v>
      </x:c>
      <x:c r="I514" s="30" t="n">
        <x:v>46312</x:v>
      </x:c>
    </x:row>
    <x:row r="515" ht="228" customHeight="1">
      <x:c r="A515" s="13" t="str">
        <x:v>MC-KPI-131</x:v>
      </x:c>
      <x:c r="B515" s="13"/>
      <x:c r="C515" s="13" t="str">
        <x:v>Latest Pipeline End</x:v>
      </x:c>
      <x:c r="D515" s="13" t="str">
        <x:v>Requirement association not established; owner review required.</x:v>
      </x:c>
      <x:c r="E515" s="13" t="str">
        <x:v>monitoring.cfg_pipeline_run</x:v>
      </x:c>
      <x:c r="F51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KPI_LATEST_CALCULATIONS.md#mission-latest-pipeline-end
DAX [Latest Pipeline End]:
MAX ( 'cfg_pipeline_run'[ended_at] )
Saved source: project X/reports/WIP/SM WMPP Mission Control/SM WMPP Mission Control.SemanticModel/definition/tables/_MissionControl_Measures.tmdl:175
Python/Spark SQL producer/reference spans: 03_silver_business_rules.py:119; 00_archive_load.py:635; 02a_archive_silver.py:195; 02_silver_formatter.py:110; 99_common_library.py:124</x:v>
      </x:c>
      <x:c r="G515" s="13" t="str">
        <x:v>Latest Pipeline End</x:v>
      </x:c>
      <x:c r="H515" s="13" t="str">
        <x:v>Section 12 - Mission Control</x:v>
      </x:c>
      <x:c r="I515" s="30" t="n">
        <x:v>46312</x:v>
      </x:c>
    </x:row>
    <x:row r="516" ht="241" customHeight="1">
      <x:c r="A516" s="13" t="str">
        <x:v>MC-KPI-132</x:v>
      </x:c>
      <x:c r="B516" s="13"/>
      <x:c r="C516" s="13" t="str">
        <x:v>Live Pipeline Failures</x:v>
      </x:c>
      <x:c r="D516" s="13" t="str">
        <x:v>Requirement association not established; owner review required.</x:v>
      </x:c>
      <x:c r="E516" s="13" t="str">
        <x:v>monitoring.cfg_pipeline_run</x:v>
      </x:c>
      <x:c r="F51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KPI_LATEST_CALCULATIONS.md#mission-live-pipeline-failures
DAX [Live Pipeline Failures]:
CALCULATE ( [Failed Pipeline Runs], 'cfg_pipeline_run'[pipeline_name] = "90_run_live_pipeline" )
Saved source: project X/reports/WIP/SM WMPP Mission Control/SM WMPP Mission Control.SemanticModel/definition/tables/_MissionControl_Measures.tmdl:76
Python/Spark SQL producer/reference spans: 03_silver_business_rules.py:119; 00_archive_load.py:635; 02a_archive_silver.py:195; 02_silver_formatter.py:110; 99_common_library.py:124</x:v>
      </x:c>
      <x:c r="G516" s="13" t="str">
        <x:v>Live Pipeline Failures</x:v>
      </x:c>
      <x:c r="H516" s="13" t="str">
        <x:v>Section 12 - Mission Control</x:v>
      </x:c>
      <x:c r="I516" s="30" t="n">
        <x:v>46312</x:v>
      </x:c>
    </x:row>
    <x:row r="517" ht="241" customHeight="1">
      <x:c r="A517" s="13" t="str">
        <x:v>MC-KPI-133</x:v>
      </x:c>
      <x:c r="B517" s="13"/>
      <x:c r="C517" s="13" t="str">
        <x:v>Live Pipeline Runs</x:v>
      </x:c>
      <x:c r="D517" s="13" t="str">
        <x:v>Requirement association not established; owner review required.</x:v>
      </x:c>
      <x:c r="E517" s="13" t="str">
        <x:v>monitoring.cfg_pipeline_run</x:v>
      </x:c>
      <x:c r="F51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KPI_LATEST_CALCULATIONS.md#mission-live-pipeline-runs
DAX [Live Pipeline Runs]:
CALCULATE ( [Pipeline Runs], 'cfg_pipeline_run'[pipeline_name] = "90_run_live_pipeline" )
Saved source: project X/reports/WIP/SM WMPP Mission Control/SM WMPP Mission Control.SemanticModel/definition/tables/_MissionControl_Measures.tmdl:58
Python/Spark SQL producer/reference spans: 03_silver_business_rules.py:119; 00_archive_load.py:635; 02a_archive_silver.py:195; 02_silver_formatter.py:110; 99_common_library.py:124</x:v>
      </x:c>
      <x:c r="G517" s="13" t="str">
        <x:v>Live Pipeline Runs</x:v>
      </x:c>
      <x:c r="H517" s="13" t="str">
        <x:v>Section 12 - Mission Control</x:v>
      </x:c>
      <x:c r="I517" s="30" t="n">
        <x:v>46312</x:v>
      </x:c>
    </x:row>
    <x:row r="518" ht="280" customHeight="1">
      <x:c r="A518" s="13" t="str">
        <x:v>MC-KPI-134</x:v>
      </x:c>
      <x:c r="B518" s="13"/>
      <x:c r="C518" s="13" t="str">
        <x:v>Load Rows Read Delta</x:v>
      </x:c>
      <x:c r="D518" s="13" t="str">
        <x:v>Requirement association not established; owner review required.</x:v>
      </x:c>
      <x:c r="E518" s="13" t="str">
        <x:v>monitoring.cfg_table_load_metric</x:v>
      </x:c>
      <x:c r="F518" s="13" t="str">
        <x:v>Operational metric.
Latest saved source reviewed 17 October 2026. Static definition verified; refresh, role/context reconciliation and UAT remain pending.
Current rows read minus the previous load for the same saved comparison context; missing previous observations follow the exact DAX blank rules.
Full current logic: KPI_LATEST_CALCULATIONS.md#mission-load-rows-read-delta
DAX [Load Rows Read Delta]:
VAR CurrentCount=SELECTEDVALUE(cfg_table_load_metric[rows_read])
VAR PreviousCount=[Load Rows Read Previous]
RETURN IF(NOT ISBLANK(CurrentCount) &amp;&amp; NOT ISBLANK(PreviousCount),CurrentCount-PreviousCount)
Saved source: project X/reports/WIP/SM WMPP Mission Control/SM WMPP Mission Control.SemanticModel/definition/tables/_MissionControl_Measures.tmdl:2706
Python/Spark SQL producer/reference spans: 00_archive_load.py:798; 02a_archive_silver.py:611; 02_silver_formatter.py:153; 99_common_library.py:124</x:v>
      </x:c>
      <x:c r="G518" s="13" t="str">
        <x:v>Load Rows Read Delta</x:v>
      </x:c>
      <x:c r="H518" s="13" t="str">
        <x:v>Section 12 - Mission Control</x:v>
      </x:c>
      <x:c r="I518" s="30" t="n">
        <x:v>46312</x:v>
      </x:c>
    </x:row>
    <x:row r="519" ht="254" customHeight="1">
      <x:c r="A519" s="13" t="str">
        <x:v>MC-KPI-135</x:v>
      </x:c>
      <x:c r="B519" s="13"/>
      <x:c r="C519" s="13" t="str">
        <x:v>Load Rows Read Delta %</x:v>
      </x:c>
      <x:c r="D519" s="13" t="str">
        <x:v>Requirement association not established; owner review required.</x:v>
      </x:c>
      <x:c r="E519" s="13" t="str">
        <x:v>monitoring.cfg_table_load_metric</x:v>
      </x:c>
      <x:c r="F519" s="13" t="str">
        <x:v>Operational metric.
Latest saved source reviewed 17 October 2026. Static definition verified; refresh, role/context reconciliation and UAT remain pending.
Read-count delta divided by previous read count; DIVIDE preserves the defined blank/zero behaviour.
Full current logic: KPI_LATEST_CALCULATIONS.md#mission-load-rows-read-delta-percent
DAX [Load Rows Read Delta %]:
DIVIDE([Load Rows Read Delta],[Load Rows Read Previous])
Saved source: project X/reports/WIP/SM WMPP Mission Control/SM WMPP Mission Control.SemanticModel/definition/tables/_MissionControl_Measures.tmdl:2714
Python/Spark SQL producer/reference spans: 00_archive_load.py:798; 02a_archive_silver.py:611; 02_silver_formatter.py:153; 99_common_library.py:124</x:v>
      </x:c>
      <x:c r="G519" s="13" t="str">
        <x:v>Load Rows Read Delta %</x:v>
      </x:c>
      <x:c r="H519" s="13" t="str">
        <x:v>Section 12 - Mission Control</x:v>
      </x:c>
      <x:c r="I519" s="30" t="n">
        <x:v>46312</x:v>
      </x:c>
    </x:row>
    <x:row r="520" ht="319" customHeight="1">
      <x:c r="A520" s="13" t="str">
        <x:v>MC-KPI-136</x:v>
      </x:c>
      <x:c r="B520" s="13"/>
      <x:c r="C520" s="13" t="str">
        <x:v>Load Rows Read Previous</x:v>
      </x:c>
      <x:c r="D520" s="13" t="str">
        <x:v>Requirement association not established; owner review required.</x:v>
      </x:c>
      <x:c r="E520" s="13" t="str">
        <x:v>monitoring.cfg_table_load_metric</x:v>
      </x:c>
      <x:c r="F52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KPI_LATEST_CALCULATIONS.md#mission-load-rows-read-previous
DAX [Load Rows Read Previous]:
VAR ThisTime=SELECTEDVALUE(cfg_table_load_metric[recorded_at])
VAR ThisRun=SELECTEDVALUE(cfg_table_load_metric[run_id])
VAR ThisLayer=SELECTEDVALUE(cfg_table_load_metric[layer])
VAR ThisKind=SELECTEDVALUE(cfg_table_load_metric[source_kind])
VAR ThisSource=SELECTEDVALUE(cfg_table_load_metric[source_object])
VAR ThisTarget=SELECTEDVALUE(cfg_table_load_metric[target_object])
VAR History=FILTER(ALL(cfg_table_load_metric),
[EXCERPT; exact complete expression and dependencies in linked current calculation document]
Saved source: project X/reports/WIP/SM WMPP Mission Control/SM WMPP Mission Control.SemanticModel/definition/tables/_MissionControl_Measures.tmdl:2688
Python/Spark SQL producer/reference spans: 00_archive_load.py:798; 02a_archive_silver.py:611; 02_silver_formatter.py:153; 99_common_library.py:124</x:v>
      </x:c>
      <x:c r="G520" s="13" t="str">
        <x:v>Load Rows Read Previous</x:v>
      </x:c>
      <x:c r="H520" s="13" t="str">
        <x:v>Section 12 - Mission Control</x:v>
      </x:c>
      <x:c r="I520" s="30" t="n">
        <x:v>46312</x:v>
      </x:c>
    </x:row>
    <x:row r="521" ht="280" customHeight="1">
      <x:c r="A521" s="13" t="str">
        <x:v>MC-KPI-137</x:v>
      </x:c>
      <x:c r="B521" s="13"/>
      <x:c r="C521" s="13" t="str">
        <x:v>Load Rows Written Delta</x:v>
      </x:c>
      <x:c r="D521" s="13" t="str">
        <x:v>Requirement association not established; owner review required.</x:v>
      </x:c>
      <x:c r="E521" s="13" t="str">
        <x:v>monitoring.cfg_table_load_metric</x:v>
      </x:c>
      <x:c r="F521" s="13" t="str">
        <x:v>Operational metric.
Latest saved source reviewed 17 October 2026. Static definition verified; refresh, role/context reconciliation and UAT remain pending.
Current rows written minus the previous load in the same saved comparison context.
Full current logic: KPI_LATEST_CALCULATIONS.md#mission-load-rows-written-delta
DAX [Load Rows Written Delta]:
VAR CurrentCount=SELECTEDVALUE(cfg_table_load_metric[rows_written])
VAR PreviousCount=[Load Rows Written Previous]
RETURN IF(NOT ISBLANK(CurrentCount) &amp;&amp; NOT ISBLANK(PreviousCount),CurrentCount-PreviousCount)
Saved source: project X/reports/WIP/SM WMPP Mission Control/SM WMPP Mission Control.SemanticModel/definition/tables/_MissionControl_Measures.tmdl:2772
Python/Spark SQL producer/reference spans: 00_archive_load.py:798; 02a_archive_silver.py:611; 02_silver_formatter.py:153; 99_common_library.py:124</x:v>
      </x:c>
      <x:c r="G521" s="13" t="str">
        <x:v>Load Rows Written Delta</x:v>
      </x:c>
      <x:c r="H521" s="13" t="str">
        <x:v>Section 12 - Mission Control</x:v>
      </x:c>
      <x:c r="I521" s="30" t="n">
        <x:v>46312</x:v>
      </x:c>
    </x:row>
    <x:row r="522" ht="254" customHeight="1">
      <x:c r="A522" s="13" t="str">
        <x:v>MC-KPI-138</x:v>
      </x:c>
      <x:c r="B522" s="13"/>
      <x:c r="C522" s="13" t="str">
        <x:v>Load Rows Written Delta %</x:v>
      </x:c>
      <x:c r="D522" s="13" t="str">
        <x:v>Requirement association not established; owner review required.</x:v>
      </x:c>
      <x:c r="E522" s="13" t="str">
        <x:v>monitoring.cfg_table_load_metric</x:v>
      </x:c>
      <x:c r="F522" s="13" t="str">
        <x:v>Operational metric.
Latest saved source reviewed 17 October 2026. Static definition verified; refresh, role/context reconciliation and UAT remain pending.
Written-count delta divided by previous written count; unavailable baselines are not assumed to be zero.
Full current logic: KPI_LATEST_CALCULATIONS.md#mission-load-rows-written-delta-percent
DAX [Load Rows Written Delta %]:
DIVIDE([Load Rows Written Delta],[Load Rows Written Previous])
Saved source: project X/reports/WIP/SM WMPP Mission Control/SM WMPP Mission Control.SemanticModel/definition/tables/_MissionControl_Measures.tmdl:2780
Python/Spark SQL producer/reference spans: 00_archive_load.py:798; 02a_archive_silver.py:611; 02_silver_formatter.py:153; 99_common_library.py:124</x:v>
      </x:c>
      <x:c r="G522" s="13" t="str">
        <x:v>Load Rows Written Delta %</x:v>
      </x:c>
      <x:c r="H522" s="13" t="str">
        <x:v>Section 12 - Mission Control</x:v>
      </x:c>
      <x:c r="I522" s="30" t="n">
        <x:v>46312</x:v>
      </x:c>
    </x:row>
    <x:row r="523" ht="332" customHeight="1">
      <x:c r="A523" s="13" t="str">
        <x:v>MC-KPI-139</x:v>
      </x:c>
      <x:c r="B523" s="13"/>
      <x:c r="C523" s="13" t="str">
        <x:v>Load Rows Written Previous</x:v>
      </x:c>
      <x:c r="D523" s="13" t="str">
        <x:v>Requirement association not established; owner review required.</x:v>
      </x:c>
      <x:c r="E523" s="13" t="str">
        <x:v>monitoring.cfg_table_load_metric</x:v>
      </x:c>
      <x:c r="F52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KPI_LATEST_CALCULATIONS.md#mission-load-rows-written-previous
DAX [Load Rows Written Previous]:
VAR ThisTime=SELECTEDVALUE(cfg_table_load_metric[recorded_at])
VAR ThisRun=SELECTEDVALUE(cfg_table_load_metric[run_id])
VAR ThisLayer=SELECTEDVALUE(cfg_table_load_metric[layer])
VAR ThisKind=SELECTEDVALUE(cfg_table_load_metric[source_kind])
VAR ThisSource=SELECTEDVALUE(cfg_table_load_metric[source_object])
VAR ThisTarget=SELECTEDVALUE(cfg_table_load_metric[target_object])
VAR History=FILTER(ALL(cfg_table_load_metric),
[EXCERPT; exact complete expression and dependencies in linked current calculation document]
Saved source: project X/reports/WIP/SM WMPP Mission Control/SM WMPP Mission Control.SemanticModel/definition/tables/_MissionControl_Measures.tmdl:2754
Python/Spark SQL producer/reference spans: 00_archive_load.py:798; 02a_archive_silver.py:611; 02_silver_formatter.py:153; 99_common_library.py:124</x:v>
      </x:c>
      <x:c r="G523" s="13" t="str">
        <x:v>Load Rows Written Previous</x:v>
      </x:c>
      <x:c r="H523" s="13" t="str">
        <x:v>Section 12 - Mission Control</x:v>
      </x:c>
      <x:c r="I523" s="30" t="n">
        <x:v>46312</x:v>
      </x:c>
    </x:row>
    <x:row r="524" ht="215" customHeight="1">
      <x:c r="A524" s="13" t="str">
        <x:v>MC-KPI-140</x:v>
      </x:c>
      <x:c r="B524" s="13"/>
      <x:c r="C524" s="13" t="str">
        <x:v>Longest Job Step Duration (min)</x:v>
      </x:c>
      <x:c r="D524" s="13" t="str">
        <x:v>Requirement association not established; owner review required.</x:v>
      </x:c>
      <x:c r="E524" s="13" t="str">
        <x:v>monitoring.rpt_job_step_timing</x:v>
      </x:c>
      <x:c r="F52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KPI_LATEST_CALCULATIONS.md#mission-longest-job-step-duration-min
DAX [Longest Job Step Duration (min)]:
DIVIDE ( MAX ( 'rpt_job_step_timing'[step_duration_seconds] ), 60.0 )
Saved source: project X/reports/WIP/SM WMPP Mission Control/SM WMPP Mission Control.SemanticModel/definition/tables/_MissionControl_Measures.tmdl:789
Python/Spark SQL producer/reference spans: 06_reports.py:45</x:v>
      </x:c>
      <x:c r="G524" s="13" t="str">
        <x:v>Longest Job Step Duration (min)</x:v>
      </x:c>
      <x:c r="H524" s="13" t="str">
        <x:v>Section 12 - Mission Control</x:v>
      </x:c>
      <x:c r="I524" s="30" t="n">
        <x:v>46312</x:v>
      </x:c>
    </x:row>
    <x:row r="525" ht="267" customHeight="1">
      <x:c r="A525" s="13" t="str">
        <x:v>MC-KPI-141</x:v>
      </x:c>
      <x:c r="B525" s="13"/>
      <x:c r="C525" s="13" t="str">
        <x:v>Operational Exception Count</x:v>
      </x:c>
      <x:c r="D525" s="13" t="str">
        <x:v>Requirement association not established; owner review required.</x:v>
      </x:c>
      <x:c r="E525" s="13" t="str">
        <x:v>monitoring.cfg_archive_file_load; monitoring.cfg_archive_table_export_load; monitoring.cfg_archive_zip_load; monitoring.cfg_data_quality_result; monitoring.cfg_month_end_gold_run; monitoring.cfg_pipeline_run</x:v>
      </x:c>
      <x:c r="F52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KPI_LATEST_CALCULATIONS.md#mission-operational-exception-count
DAX [Operational Exception Count]:
[Control Failures] + [DQ Failed Checks]
Saved source: project X/reports/WIP/SM WMPP Mission Control/SM WMPP Mission Control.SemanticModel/definition/tables/_MissionControl_Measures.tmdl:590
Python/Spark SQL producer/reference spans: 00_archive_load.py:653; 03_silver_business_rules.py:119; 00_archive_load.py:635; 02a_archive_silver.py:195; 02_silver_formatter.py:110; 99_common_library.py:124; 02a_archive_silver.py:611; 03_silver_business_rules.py:208; 03_silver_business_rules.py:366; 00_archive_load.py:798</x:v>
      </x:c>
      <x:c r="G525" s="13" t="str">
        <x:v>Operational Exception Count</x:v>
      </x:c>
      <x:c r="H525" s="13" t="str">
        <x:v>Section 12 - Mission Control</x:v>
      </x:c>
      <x:c r="I525" s="30" t="n">
        <x:v>46312</x:v>
      </x:c>
    </x:row>
    <x:row r="526" ht="228" customHeight="1">
      <x:c r="A526" s="13" t="str">
        <x:v>MC-KPI-142</x:v>
      </x:c>
      <x:c r="B526" s="13"/>
      <x:c r="C526" s="13" t="str">
        <x:v>P95 duration min</x:v>
      </x:c>
      <x:c r="D526" s="13" t="str">
        <x:v>Requirement association not established; owner review required.</x:v>
      </x:c>
      <x:c r="E526" s="13" t="str">
        <x:v>monitoring.rpt_job_run_summary</x:v>
      </x:c>
      <x:c r="F52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KPI_LATEST_CALCULATIONS.md#mission-p95-duration-min
DAX [P95 duration min]:
PERCENTILEX.INC(FILTER(rpt_job_run_summary, NOT ISBLANK(rpt_job_run_summary[ended_at]) &amp;&amp; rpt_job_run_summary[job_duration_seconds]&gt;=0), DIVIDE(rpt_job_run_summary[job_duration_seconds],60),0.95)
Saved source: project X/reports/WIP/SM WMPP Mission Control/SM WMPP Mission Control.SemanticModel/definition/tables/_Load Experience.tmdl:29
Python/Spark SQL producer/reference spans: 06_reports.py:141</x:v>
      </x:c>
      <x:c r="G526" s="13" t="str">
        <x:v>P95 duration min</x:v>
      </x:c>
      <x:c r="H526" s="13" t="str">
        <x:v>Section 12 - Mission Control</x:v>
      </x:c>
      <x:c r="I526" s="30" t="n">
        <x:v>46312</x:v>
      </x:c>
    </x:row>
    <x:row r="527" ht="280" customHeight="1">
      <x:c r="A527" s="13" t="str">
        <x:v>MC-KPI-143</x:v>
      </x:c>
      <x:c r="B527" s="13"/>
      <x:c r="C527" s="13" t="str">
        <x:v>P95 Pipeline Duration (min)</x:v>
      </x:c>
      <x:c r="D527" s="13" t="str">
        <x:v>Requirement association not established; owner review required.</x:v>
      </x:c>
      <x:c r="E527" s="13" t="str">
        <x:v>monitoring.cfg_pipeline_run</x:v>
      </x:c>
      <x:c r="F52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KPI_LATEST_CALCULATIONS.md#mission-p95-pipeline-duration-min
DAX [P95 Pipeline Duration (min)]:
PERCENTILEX.INC ( FILTER ( 'cfg_pipeline_run', NOT ISBLANK ( 'cfg_pipeline_run'[started_at] ) &amp;&amp; NOT ISBLANK ( 'cfg_pipeline_run'[ended_at] ) ), DIVIDE ( DATEDIFF ( 'cfg_pipeline_run'[started_at], 'cfg_pipeline_run'[ended_at], SECOND ), 60.0 ), 0.95 )
Saved source: project X/reports/WIP/SM WMPP Mission Control/SM WMPP Mission Control.SemanticModel/definition/tables/_MissionControl_Measures.tmdl:148
Python/Spark SQL producer/reference spans: 03_silver_business_rules.py:119; 00_archive_load.py:635; 02a_archive_silver.py:195; 02_silver_formatter.py:110; 99_common_library.py:124</x:v>
      </x:c>
      <x:c r="G527" s="13" t="str">
        <x:v>P95 Pipeline Duration (min)</x:v>
      </x:c>
      <x:c r="H527" s="13" t="str">
        <x:v>Section 12 - Mission Control</x:v>
      </x:c>
      <x:c r="I527" s="30" t="n">
        <x:v>46312</x:v>
      </x:c>
    </x:row>
    <x:row r="528" ht="241" customHeight="1">
      <x:c r="A528" s="13" t="str">
        <x:v>MC-KPI-144</x:v>
      </x:c>
      <x:c r="B528" s="13"/>
      <x:c r="C528" s="13" t="str">
        <x:v>Pipeline Rows per Minute</x:v>
      </x:c>
      <x:c r="D528" s="13" t="str">
        <x:v>Requirement association not established; owner review required.</x:v>
      </x:c>
      <x:c r="E528" s="13" t="str">
        <x:v>monitoring.cfg_pipeline_run</x:v>
      </x:c>
      <x:c r="F52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KPI_LATEST_CALCULATIONS.md#mission-pipeline-rows-per-minute
DAX [Pipeline Rows per Minute]:
DIVIDE ( [Pipeline Rows Written], [Total Pipeline Duration (min)] )
Saved source: project X/reports/WIP/SM WMPP Mission Control/SM WMPP Mission Control.SemanticModel/definition/tables/_MissionControl_Measures.tmdl:166
Python/Spark SQL producer/reference spans: 03_silver_business_rules.py:119; 00_archive_load.py:635; 02a_archive_silver.py:195; 02_silver_formatter.py:110; 99_common_library.py:124</x:v>
      </x:c>
      <x:c r="G528" s="13" t="str">
        <x:v>Pipeline Rows per Minute</x:v>
      </x:c>
      <x:c r="H528" s="13" t="str">
        <x:v>Section 12 - Mission Control</x:v>
      </x:c>
      <x:c r="I528" s="30" t="n">
        <x:v>46312</x:v>
      </x:c>
    </x:row>
    <x:row r="529" ht="228" customHeight="1">
      <x:c r="A529" s="13" t="str">
        <x:v>MC-KPI-145</x:v>
      </x:c>
      <x:c r="B529" s="13"/>
      <x:c r="C529" s="13" t="str">
        <x:v>Pipeline Rows Read</x:v>
      </x:c>
      <x:c r="D529" s="13" t="str">
        <x:v>Requirement association not established; owner review required.</x:v>
      </x:c>
      <x:c r="E529" s="13" t="str">
        <x:v>monitoring.cfg_pipeline_run</x:v>
      </x:c>
      <x:c r="F52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KPI_LATEST_CALCULATIONS.md#mission-pipeline-rows-read
DAX [Pipeline Rows Read]:
SUM ( 'cfg_pipeline_run'[rows_read] )
Saved source: project X/reports/WIP/SM WMPP Mission Control/SM WMPP Mission Control.SemanticModel/definition/tables/_MissionControl_Measures.tmdl:112
Python/Spark SQL producer/reference spans: 03_silver_business_rules.py:119; 00_archive_load.py:635; 02a_archive_silver.py:195; 02_silver_formatter.py:110; 99_common_library.py:124</x:v>
      </x:c>
      <x:c r="G529" s="13" t="str">
        <x:v>Pipeline Rows Read</x:v>
      </x:c>
      <x:c r="H529" s="13" t="str">
        <x:v>Section 12 - Mission Control</x:v>
      </x:c>
      <x:c r="I529" s="30" t="n">
        <x:v>46312</x:v>
      </x:c>
    </x:row>
    <x:row r="530" ht="228" customHeight="1">
      <x:c r="A530" s="13" t="str">
        <x:v>MC-KPI-146</x:v>
      </x:c>
      <x:c r="B530" s="13"/>
      <x:c r="C530" s="13" t="str">
        <x:v>Pipeline Rows Written</x:v>
      </x:c>
      <x:c r="D530" s="13" t="str">
        <x:v>Requirement association not established; owner review required.</x:v>
      </x:c>
      <x:c r="E530" s="13" t="str">
        <x:v>monitoring.cfg_pipeline_run</x:v>
      </x:c>
      <x:c r="F53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KPI_LATEST_CALCULATIONS.md#mission-pipeline-rows-written
DAX [Pipeline Rows Written]:
SUM ( 'cfg_pipeline_run'[rows_written] )
Saved source: project X/reports/WIP/SM WMPP Mission Control/SM WMPP Mission Control.SemanticModel/definition/tables/_MissionControl_Measures.tmdl:121
Python/Spark SQL producer/reference spans: 03_silver_business_rules.py:119; 00_archive_load.py:635; 02a_archive_silver.py:195; 02_silver_formatter.py:110; 99_common_library.py:124</x:v>
      </x:c>
      <x:c r="G530" s="13" t="str">
        <x:v>Pipeline Rows Written</x:v>
      </x:c>
      <x:c r="H530" s="13" t="str">
        <x:v>Section 12 - Mission Control</x:v>
      </x:c>
      <x:c r="I530" s="30" t="n">
        <x:v>46312</x:v>
      </x:c>
    </x:row>
    <x:row r="531" ht="228" customHeight="1">
      <x:c r="A531" s="13" t="str">
        <x:v>MC-KPI-147</x:v>
      </x:c>
      <x:c r="B531" s="13"/>
      <x:c r="C531" s="13" t="str">
        <x:v>Pipeline Runs</x:v>
      </x:c>
      <x:c r="D531" s="13" t="str">
        <x:v>Requirement association not established; owner review required.</x:v>
      </x:c>
      <x:c r="E531" s="13" t="str">
        <x:v>monitoring.cfg_pipeline_run</x:v>
      </x:c>
      <x:c r="F53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KPI_LATEST_CALCULATIONS.md#mission-pipeline-runs
DAX [Pipeline Runs]:
DISTINCTCOUNT ( 'cfg_pipeline_run'[run_id] )
Saved source: project X/reports/WIP/SM WMPP Mission Control/SM WMPP Mission Control.SemanticModel/definition/tables/_MissionControl_Measures.tmdl:4
Python/Spark SQL producer/reference spans: 03_silver_business_rules.py:119; 00_archive_load.py:635; 02a_archive_silver.py:195; 02_silver_formatter.py:110; 99_common_library.py:124</x:v>
      </x:c>
      <x:c r="G531" s="13" t="str">
        <x:v>Pipeline Runs</x:v>
      </x:c>
      <x:c r="H531" s="13" t="str">
        <x:v>Section 12 - Mission Control</x:v>
      </x:c>
      <x:c r="I531" s="30" t="n">
        <x:v>46312</x:v>
      </x:c>
    </x:row>
    <x:row r="532" ht="254" customHeight="1">
      <x:c r="A532" s="13" t="str">
        <x:v>MC-KPI-148</x:v>
      </x:c>
      <x:c r="B532" s="13"/>
      <x:c r="C532" s="13" t="str">
        <x:v>Pipeline Runs With Error</x:v>
      </x:c>
      <x:c r="D532" s="13" t="str">
        <x:v>Requirement association not established; owner review required.</x:v>
      </x:c>
      <x:c r="E532" s="13" t="str">
        <x:v>monitoring.cfg_pipeline_run</x:v>
      </x:c>
      <x:c r="F53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KPI_LATEST_CALCULATIONS.md#mission-pipeline-runs-with-error
DAX [Pipeline Runs With Error]:
COUNTROWS ( FILTER ( 'cfg_pipeline_run', NOT ISBLANK ( 'cfg_pipeline_run'[error_message] ) ) )
Saved source: project X/reports/WIP/SM WMPP Mission Control/SM WMPP Mission Control.SemanticModel/definition/tables/_MissionControl_Measures.tmdl:130
Python/Spark SQL producer/reference spans: 03_silver_business_rules.py:119; 00_archive_load.py:635; 02a_archive_silver.py:195; 02_silver_formatter.py:110; 99_common_library.py:124</x:v>
      </x:c>
      <x:c r="G532" s="13" t="str">
        <x:v>Pipeline Runs With Error</x:v>
      </x:c>
      <x:c r="H532" s="13" t="str">
        <x:v>Section 12 - Mission Control</x:v>
      </x:c>
      <x:c r="I532" s="30" t="n">
        <x:v>46312</x:v>
      </x:c>
    </x:row>
    <x:row r="533" ht="228" customHeight="1">
      <x:c r="A533" s="13" t="str">
        <x:v>MC-KPI-149</x:v>
      </x:c>
      <x:c r="B533" s="13"/>
      <x:c r="C533" s="13" t="str">
        <x:v>Pipeline Success Rate</x:v>
      </x:c>
      <x:c r="D533" s="13" t="str">
        <x:v>Requirement association not established; owner review required.</x:v>
      </x:c>
      <x:c r="E533" s="13" t="str">
        <x:v>monitoring.cfg_pipeline_run</x:v>
      </x:c>
      <x:c r="F53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KPI_LATEST_CALCULATIONS.md#mission-pipeline-success-rate
DAX [Pipeline Success Rate]:
DIVIDE ( [Successful Pipeline Runs], [Completed Pipeline Runs] )
Saved source: project X/reports/WIP/SM WMPP Mission Control/SM WMPP Mission Control.SemanticModel/definition/tables/_MissionControl_Measures.tmdl:49
Python/Spark SQL producer/reference spans: 03_silver_business_rules.py:119; 00_archive_load.py:635; 02a_archive_silver.py:195; 02_silver_formatter.py:110; 99_common_library.py:124</x:v>
      </x:c>
      <x:c r="G533" s="13" t="str">
        <x:v>Pipeline Success Rate</x:v>
      </x:c>
      <x:c r="H533" s="13" t="str">
        <x:v>Section 12 - Mission Control</x:v>
      </x:c>
      <x:c r="I533" s="30" t="n">
        <x:v>46312</x:v>
      </x:c>
    </x:row>
    <x:row r="534" ht="228" customHeight="1">
      <x:c r="A534" s="13" t="str">
        <x:v>MC-KPI-150</x:v>
      </x:c>
      <x:c r="B534" s="13"/>
      <x:c r="C534" s="13" t="str">
        <x:v>Pipeline Tables Failed</x:v>
      </x:c>
      <x:c r="D534" s="13" t="str">
        <x:v>Requirement association not established; owner review required.</x:v>
      </x:c>
      <x:c r="E534" s="13" t="str">
        <x:v>monitoring.cfg_pipeline_run</x:v>
      </x:c>
      <x:c r="F53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KPI_LATEST_CALCULATIONS.md#mission-pipeline-tables-failed
DAX [Pipeline Tables Failed]:
SUM ( 'cfg_pipeline_run'[tables_failed] )
Saved source: project X/reports/WIP/SM WMPP Mission Control/SM WMPP Mission Control.SemanticModel/definition/tables/_MissionControl_Measures.tmdl:103
Python/Spark SQL producer/reference spans: 03_silver_business_rules.py:119; 00_archive_load.py:635; 02a_archive_silver.py:195; 02_silver_formatter.py:110; 99_common_library.py:124</x:v>
      </x:c>
      <x:c r="G534" s="13" t="str">
        <x:v>Pipeline Tables Failed</x:v>
      </x:c>
      <x:c r="H534" s="13" t="str">
        <x:v>Section 12 - Mission Control</x:v>
      </x:c>
      <x:c r="I534" s="30" t="n">
        <x:v>46312</x:v>
      </x:c>
    </x:row>
    <x:row r="535" ht="241" customHeight="1">
      <x:c r="A535" s="13" t="str">
        <x:v>MC-KPI-151</x:v>
      </x:c>
      <x:c r="B535" s="13"/>
      <x:c r="C535" s="13" t="str">
        <x:v>Pipeline Tables Succeeded</x:v>
      </x:c>
      <x:c r="D535" s="13" t="str">
        <x:v>Requirement association not established; owner review required.</x:v>
      </x:c>
      <x:c r="E535" s="13" t="str">
        <x:v>monitoring.cfg_pipeline_run</x:v>
      </x:c>
      <x:c r="F53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KPI_LATEST_CALCULATIONS.md#mission-pipeline-tables-succeeded
DAX [Pipeline Tables Succeeded]:
SUM ( 'cfg_pipeline_run'[tables_succeeded] )
Saved source: project X/reports/WIP/SM WMPP Mission Control/SM WMPP Mission Control.SemanticModel/definition/tables/_MissionControl_Measures.tmdl:94
Python/Spark SQL producer/reference spans: 03_silver_business_rules.py:119; 00_archive_load.py:635; 02a_archive_silver.py:195; 02_silver_formatter.py:110; 99_common_library.py:124</x:v>
      </x:c>
      <x:c r="G535" s="13" t="str">
        <x:v>Pipeline Tables Succeeded</x:v>
      </x:c>
      <x:c r="H535" s="13" t="str">
        <x:v>Section 12 - Mission Control</x:v>
      </x:c>
      <x:c r="I535" s="30" t="n">
        <x:v>46312</x:v>
      </x:c>
    </x:row>
    <x:row r="536" ht="228" customHeight="1">
      <x:c r="A536" s="13" t="str">
        <x:v>MC-KPI-152</x:v>
      </x:c>
      <x:c r="B536" s="13"/>
      <x:c r="C536" s="13" t="str">
        <x:v>Reload Requests</x:v>
      </x:c>
      <x:c r="D536" s="13" t="str">
        <x:v>Requirement association not established; owner review required.</x:v>
      </x:c>
      <x:c r="E536" s="13" t="str">
        <x:v>monitoring.cfg_archive_file_load; monitoring.cfg_archive_table_export_load; monitoring.cfg_archive_zip_load; monitoring.cfg_month_end_gold_run</x:v>
      </x:c>
      <x:c r="F53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KPI_LATEST_CALCULATIONS.md#mission-reload-requests
DAX [Reload Requests]:
[Archive ZIP Batches Awaiting Reload] + [Archive Files Awaiting Reload] + [Archive Table Exports Awaiting Reload] + [Gold Snapshots Awaiting Replay]
Saved source: project X/reports/WIP/SM WMPP Mission Control/SM WMPP Mission Control.SemanticModel/definition/tables/_MissionControl_Measures.tmdl:572
Python/Spark SQL producer/reference spans: 00_archive_load.py:798; 02a_archive_silver.py:611; 00_archive_load.py:653</x:v>
      </x:c>
      <x:c r="G536" s="13" t="str">
        <x:v>Reload Requests</x:v>
      </x:c>
      <x:c r="H536" s="13" t="str">
        <x:v>Section 12 - Mission Control</x:v>
      </x:c>
      <x:c r="I536" s="30" t="n">
        <x:v>46312</x:v>
      </x:c>
    </x:row>
    <x:row r="537" ht="241" customHeight="1">
      <x:c r="A537" s="13" t="str">
        <x:v>MC-KPI-153</x:v>
      </x:c>
      <x:c r="B537" s="13"/>
      <x:c r="C537" s="13" t="str">
        <x:v>RI Checked Rows</x:v>
      </x:c>
      <x:c r="D537" s="13" t="str">
        <x:v>Requirement association not established; owner review required.</x:v>
      </x:c>
      <x:c r="E537" s="13" t="str">
        <x:v>monitoring.cfg_data_quality_result</x:v>
      </x:c>
      <x:c r="F53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KPI_LATEST_CALCULATIONS.md#mission-ri-checked-rows
DAX [RI Checked Rows]:
CALCULATE ( [DQ Checked Rows], FILTER ( 'cfg_data_quality_result', UPPER ( COALESCE ( 'cfg_data_quality_result'[rule_type], "" ) ) = "REFERENTIAL_INTEGRITY" ) )
Saved source: project X/reports/WIP/SM WMPP Mission Control/SM WMPP Mission Control.SemanticModel/definition/tables/_MissionControl_Measures.tmdl:500
Python/Spark SQL producer/reference spans: 03_silver_business_rules.py:208; 03_silver_business_rules.py:366; 99_common_library.py:124</x:v>
      </x:c>
      <x:c r="G537" s="13" t="str">
        <x:v>RI Checked Rows</x:v>
      </x:c>
      <x:c r="H537" s="13" t="str">
        <x:v>Section 12 - Mission Control</x:v>
      </x:c>
      <x:c r="I537" s="30" t="n">
        <x:v>46312</x:v>
      </x:c>
    </x:row>
    <x:row r="538" ht="241" customHeight="1">
      <x:c r="A538" s="13" t="str">
        <x:v>MC-KPI-154</x:v>
      </x:c>
      <x:c r="B538" s="13"/>
      <x:c r="C538" s="13" t="str">
        <x:v>RI Failed Rows</x:v>
      </x:c>
      <x:c r="D538" s="13" t="str">
        <x:v>Requirement association not established; owner review required.</x:v>
      </x:c>
      <x:c r="E538" s="13" t="str">
        <x:v>monitoring.cfg_data_quality_result</x:v>
      </x:c>
      <x:c r="F53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KPI_LATEST_CALCULATIONS.md#mission-ri-failed-rows
DAX [RI Failed Rows]:
CALCULATE ( [DQ Failed Rows], FILTER ( 'cfg_data_quality_result', UPPER ( COALESCE ( 'cfg_data_quality_result'[rule_type], "" ) ) = "REFERENTIAL_INTEGRITY" ) )
Saved source: project X/reports/WIP/SM WMPP Mission Control/SM WMPP Mission Control.SemanticModel/definition/tables/_MissionControl_Measures.tmdl:509
Python/Spark SQL producer/reference spans: 03_silver_business_rules.py:208; 03_silver_business_rules.py:366; 99_common_library.py:124</x:v>
      </x:c>
      <x:c r="G538" s="13" t="str">
        <x:v>RI Failed Rows</x:v>
      </x:c>
      <x:c r="H538" s="13" t="str">
        <x:v>Section 12 - Mission Control</x:v>
      </x:c>
      <x:c r="I538" s="30" t="n">
        <x:v>46312</x:v>
      </x:c>
    </x:row>
    <x:row r="539" ht="215" customHeight="1">
      <x:c r="A539" s="13" t="str">
        <x:v>MC-KPI-155</x:v>
      </x:c>
      <x:c r="B539" s="13"/>
      <x:c r="C539" s="13" t="str">
        <x:v>RI Failure Rate</x:v>
      </x:c>
      <x:c r="D539" s="13" t="str">
        <x:v>Requirement association not established; owner review required.</x:v>
      </x:c>
      <x:c r="E539" s="13" t="str">
        <x:v>monitoring.cfg_data_quality_result</x:v>
      </x:c>
      <x:c r="F53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KPI_LATEST_CALCULATIONS.md#mission-ri-failure-rate
DAX [RI Failure Rate]:
DIVIDE ( [RI Failed Rows], [RI Checked Rows] )
Saved source: project X/reports/WIP/SM WMPP Mission Control/SM WMPP Mission Control.SemanticModel/definition/tables/_MissionControl_Measures.tmdl:518
Python/Spark SQL producer/reference spans: 03_silver_business_rules.py:208; 03_silver_business_rules.py:366; 99_common_library.py:124</x:v>
      </x:c>
      <x:c r="G539" s="13" t="str">
        <x:v>RI Failure Rate</x:v>
      </x:c>
      <x:c r="H539" s="13" t="str">
        <x:v>Section 12 - Mission Control</x:v>
      </x:c>
      <x:c r="I539" s="30" t="n">
        <x:v>46312</x:v>
      </x:c>
    </x:row>
    <x:row r="540" ht="254" customHeight="1">
      <x:c r="A540" s="13" t="str">
        <x:v>MC-KPI-156</x:v>
      </x:c>
      <x:c r="B540" s="13"/>
      <x:c r="C540" s="13" t="str">
        <x:v>RI Rules Failing</x:v>
      </x:c>
      <x:c r="D540" s="13" t="str">
        <x:v>Requirement association not established; owner review required.</x:v>
      </x:c>
      <x:c r="E540" s="13" t="str">
        <x:v>monitoring.cfg_data_quality_result</x:v>
      </x:c>
      <x:c r="F54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KPI_LATEST_CALCULATIONS.md#mission-ri-rules-failing
DAX [RI Rules Failing]:
CALCULATE ( DISTINCTCOUNT ( 'cfg_data_quality_result'[rule_id] ), FILTER ( 'cfg_data_quality_result', UPPER ( COALESCE ( 'cfg_data_quality_result'[rule_type], "" ) ) = "REFERENTIAL_INTEGRITY" &amp;&amp; UPPER ( COALESCE ( 'cfg_data_quality_result'[status], "" ) ) IN { "FAILED", "FAIL", "ERROR" } ) )
Saved source: project X/reports/WIP/SM WMPP Mission Control/SM WMPP Mission Control.SemanticModel/definition/tables/_MissionControl_Measures.tmdl:491
Python/Spark SQL producer/reference spans: 03_silver_business_rules.py:208; 03_silver_business_rules.py:366; 99_common_library.py:124</x:v>
      </x:c>
      <x:c r="G540" s="13" t="str">
        <x:v>RI Rules Failing</x:v>
      </x:c>
      <x:c r="H540" s="13" t="str">
        <x:v>Section 12 - Mission Control</x:v>
      </x:c>
      <x:c r="I540" s="30" t="n">
        <x:v>46312</x:v>
      </x:c>
    </x:row>
    <x:row r="541" ht="202" customHeight="1">
      <x:c r="A541" s="13" t="str">
        <x:v>MC-KPI-157</x:v>
      </x:c>
      <x:c r="B541" s="13"/>
      <x:c r="C541" s="13" t="str">
        <x:v>Rows written</x:v>
      </x:c>
      <x:c r="D541" s="13" t="str">
        <x:v>Requirement association not established; owner review required.</x:v>
      </x:c>
      <x:c r="E541" s="13" t="str">
        <x:v>monitoring.rpt_job_run_summary</x:v>
      </x:c>
      <x:c r="F54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KPI_LATEST_CALCULATIONS.md#mission-rows-written
DAX [Rows written]:
SUM(rpt_job_run_summary[rows_written])
Saved source: project X/reports/WIP/SM WMPP Mission Control/SM WMPP Mission Control.SemanticModel/definition/tables/_Load Experience.tmdl:34
Python/Spark SQL producer/reference spans: 06_reports.py:141</x:v>
      </x:c>
      <x:c r="G541" s="13" t="str">
        <x:v>Rows written</x:v>
      </x:c>
      <x:c r="H541" s="13" t="str">
        <x:v>Section 12 - Mission Control</x:v>
      </x:c>
      <x:c r="I541" s="30" t="n">
        <x:v>46312</x:v>
      </x:c>
    </x:row>
    <x:row r="542" ht="254" customHeight="1">
      <x:c r="A542" s="13" t="str">
        <x:v>MC-KPI-158</x:v>
      </x:c>
      <x:c r="B542" s="13"/>
      <x:c r="C542" s="13" t="str">
        <x:v>Running Pipeline Runs</x:v>
      </x:c>
      <x:c r="D542" s="13" t="str">
        <x:v>Requirement association not established; owner review required.</x:v>
      </x:c>
      <x:c r="E542" s="13" t="str">
        <x:v>monitoring.cfg_pipeline_run</x:v>
      </x:c>
      <x:c r="F54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KPI_LATEST_CALCULATIONS.md#mission-running-pipeline-runs
DAX [Running Pipeline Runs]:
CALCULATE ( [Pipeline Runs], FILTER ( 'cfg_pipeline_run', UPPER ( COALESCE ( 'cfg_pipeline_run'[status], "" ) ) IN { "RUNNING", "IN_PROGRESS", "STARTED" } ) )
Saved source: project X/reports/WIP/SM WMPP Mission Control/SM WMPP Mission Control.SemanticModel/definition/tables/_MissionControl_Measures.tmdl:31
Python/Spark SQL producer/reference spans: 03_silver_business_rules.py:119; 00_archive_load.py:635; 02a_archive_silver.py:195; 02_silver_formatter.py:110; 99_common_library.py:124</x:v>
      </x:c>
      <x:c r="G542" s="13" t="str">
        <x:v>Running Pipeline Runs</x:v>
      </x:c>
      <x:c r="H542" s="13" t="str">
        <x:v>Section 12 - Mission Control</x:v>
      </x:c>
      <x:c r="I542" s="30" t="n">
        <x:v>46312</x:v>
      </x:c>
    </x:row>
    <x:row r="543" ht="202" customHeight="1">
      <x:c r="A543" s="13" t="str">
        <x:v>MC-KPI-159</x:v>
      </x:c>
      <x:c r="B543" s="13"/>
      <x:c r="C543" s="13" t="str">
        <x:v>Runs</x:v>
      </x:c>
      <x:c r="D543" s="13" t="str">
        <x:v>Requirement association not established; owner review required.</x:v>
      </x:c>
      <x:c r="E543" s="13" t="str">
        <x:v>monitoring.rpt_job_run_summary</x:v>
      </x:c>
      <x:c r="F54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KPI_LATEST_CALCULATIONS.md#mission-runs
DAX [Runs]:
DISTINCTCOUNT(rpt_job_run_summary[job_run_id])
Saved source: project X/reports/WIP/SM WMPP Mission Control/SM WMPP Mission Control.SemanticModel/definition/tables/_Load Experience.tmdl:4
Python/Spark SQL producer/reference spans: 06_reports.py:141</x:v>
      </x:c>
      <x:c r="G543" s="13" t="str">
        <x:v>Runs</x:v>
      </x:c>
      <x:c r="H543" s="13" t="str">
        <x:v>Section 12 - Mission Control</x:v>
      </x:c>
      <x:c r="I543" s="30" t="n">
        <x:v>46312</x:v>
      </x:c>
    </x:row>
    <x:row r="544" ht="254" customHeight="1">
      <x:c r="A544" s="13" t="str">
        <x:v>MC-KPI-160</x:v>
      </x:c>
      <x:c r="B544" s="13"/>
      <x:c r="C544" s="13" t="str">
        <x:v>Show Latest Load Quality</x:v>
      </x:c>
      <x:c r="D544" s="13" t="str">
        <x:v>Requirement association not established; owner review required.</x:v>
      </x:c>
      <x:c r="E544" s="13" t="str">
        <x:v>monitoring.cfg_data_quality_result; monitoring.rpt_job_run_summary</x:v>
      </x:c>
      <x:c r="F54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KPI_LATEST_CALCULATIONS.md#mission-show-latest-load-quality
DAX [Show Latest Load Quality]:
VAR _id = [Latest Load Run ID]
RETURN IF(NOT ISBLANK(_id) &amp;&amp; CALCULATE(COUNTROWS(cfg_data_quality_result),
KEEPFILTERS(TREATAS({_id}, cfg_data_quality_result[job_run_id]))) &gt; 0, 1, 0)
Saved source: project X/reports/WIP/SM WMPP Mission Control/SM WMPP Mission Control.SemanticModel/definition/tables/_MissionControl_Measures.tmdl:890
Python/Spark SQL producer/reference spans: 03_silver_business_rules.py:208; 03_silver_business_rules.py:366; 99_common_library.py:124; 06_reports.py:141</x:v>
      </x:c>
      <x:c r="G544" s="13" t="str">
        <x:v>Show Latest Load Quality</x:v>
      </x:c>
      <x:c r="H544" s="13" t="str">
        <x:v>Section 12 - Mission Control</x:v>
      </x:c>
      <x:c r="I544" s="30" t="n">
        <x:v>46312</x:v>
      </x:c>
    </x:row>
    <x:row r="545" ht="241" customHeight="1">
      <x:c r="A545" s="13" t="str">
        <x:v>MC-KPI-161</x:v>
      </x:c>
      <x:c r="B545" s="13"/>
      <x:c r="C545" s="13" t="str">
        <x:v>Single calendar day</x:v>
      </x:c>
      <x:c r="D545" s="13" t="str">
        <x:v>Requirement association not established; owner review required.</x:v>
      </x:c>
      <x:c r="E545" s="13" t="str">
        <x:v>monitoring.rpt_job_run_summary</x:v>
      </x:c>
      <x:c r="F54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KPI_LATEST_CALCULATIONS.md#mission-single-calendar-day
DAX [Single calendar day]:
IF(HASONEVALUE('Load Calendar'[Date]),1,0)
Saved source: project X/reports/WIP/SM WMPP Mission Control/SM WMPP Mission Control.SemanticModel/definition/tables/_Run Benchmarks.tmdl:188
Python/Spark SQL producer/reference spans: 06_reports.py:141
Calculated-table dependency: Load Calendar. Complete saved partition logic is included in the calculation document.</x:v>
      </x:c>
      <x:c r="G545" s="13" t="str">
        <x:v>Single calendar day</x:v>
      </x:c>
      <x:c r="H545" s="13" t="str">
        <x:v>Section 12 - Mission Control</x:v>
      </x:c>
      <x:c r="I545" s="30" t="n">
        <x:v>46312</x:v>
      </x:c>
    </x:row>
    <x:row r="546" ht="202" customHeight="1">
      <x:c r="A546" s="13" t="str">
        <x:v>MC-KPI-162</x:v>
      </x:c>
      <x:c r="B546" s="13"/>
      <x:c r="C546" s="13" t="str">
        <x:v>Step actual min</x:v>
      </x:c>
      <x:c r="D546" s="13" t="str">
        <x:v>Requirement association not established; owner review required.</x:v>
      </x:c>
      <x:c r="E546" s="13" t="str">
        <x:v>monitoring.rpt_job_step_timing</x:v>
      </x:c>
      <x:c r="F54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KPI_LATEST_CALCULATIONS.md#mission-step-actual-min
DAX [Step actual min]:
DIVIDE(SELECTEDVALUE('rpt_job_step_timing'[step_duration_seconds]),60)
Saved source: project X/reports/WIP/SM WMPP Mission Control/SM WMPP Mission Control.SemanticModel/definition/tables/_Run Benchmarks.tmdl:176
Python/Spark SQL producer/reference spans: 06_reports.py:45</x:v>
      </x:c>
      <x:c r="G546" s="13" t="str">
        <x:v>Step actual min</x:v>
      </x:c>
      <x:c r="H546" s="13" t="str">
        <x:v>Section 12 - Mission Control</x:v>
      </x:c>
      <x:c r="I546" s="30" t="n">
        <x:v>46312</x:v>
      </x:c>
    </x:row>
    <x:row r="547" ht="384" customHeight="1">
      <x:c r="A547" s="13" t="str">
        <x:v>MC-KPI-163</x:v>
      </x:c>
      <x:c r="B547" s="13"/>
      <x:c r="C547" s="13" t="str">
        <x:v>Step baseline n</x:v>
      </x:c>
      <x:c r="D547" s="13" t="str">
        <x:v>Requirement association not established; owner review required.</x:v>
      </x:c>
      <x:c r="E547" s="13" t="str">
        <x:v>monitoring.rpt_job_run_summary; monitoring.rpt_job_step_timing</x:v>
      </x:c>
      <x:c r="F54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KPI_LATEST_CALCULATIONS.md#mission-step-baseline-n
DAX [Step baseline n]:
VAR anchor=SELECTEDVALUE('rpt_job_step_timing'[started_at])
VAR pipeline=SELECTEDVALUE('rpt_job_step_timing'[Pipeline])
VAR currentJob=SELECTEDVALUE('rpt_job_step_timing'[job_run_id])
VAR notebook=SELECTEDVALUE('rpt_job_step_timing'[notebook_name])
VAR _sequence=SELECTEDVALUE('rpt_job_step_timing'[step_sequence])
VAR history=FILTER(CALCULATETABLE('rpt_job_step_timing',REMOVEFILTERS('Load Calendar'),REMOVEFILTERS('rpt_job_run_summary'),REMOVEFILTERS('rpt_job_step_timing')),
'rpt_job_step_timing'[Pipeline]=pipeline &amp;&amp; 'rpt_job_step_timing'[job_run_id]&lt;&gt;currentJob
[EXCERPT; exact complete expression and dependencies in linked current calculation document]
Saved source: project X/reports/WIP/SM WMPP Mission Control/SM WMPP Mission Control.SemanticModel/definition/tables/_Run Benchmarks.tmdl:91
Python/Spark SQL producer/reference spans: 06_reports.py:45; 06_reports.py:141
Calculated-table dependency: Load Calendar. Complete saved partition logic is included in the calculation document.</x:v>
      </x:c>
      <x:c r="G547" s="13" t="str">
        <x:v>Step baseline n</x:v>
      </x:c>
      <x:c r="H547" s="13" t="str">
        <x:v>Section 12 - Mission Control</x:v>
      </x:c>
      <x:c r="I547" s="30" t="n">
        <x:v>46312</x:v>
      </x:c>
    </x:row>
    <x:row r="548" ht="384" customHeight="1">
      <x:c r="A548" s="13" t="str">
        <x:v>MC-KPI-164</x:v>
      </x:c>
      <x:c r="B548" s="13"/>
      <x:c r="C548" s="13" t="str">
        <x:v>Step prior mean min</x:v>
      </x:c>
      <x:c r="D548" s="13" t="str">
        <x:v>Requirement association not established; owner review required.</x:v>
      </x:c>
      <x:c r="E548" s="13" t="str">
        <x:v>monitoring.rpt_job_run_summary; monitoring.rpt_job_step_timing</x:v>
      </x:c>
      <x:c r="F54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KPI_LATEST_CALCULATIONS.md#mission-step-prior-mean-min
DAX [Step prior mean min]:
VAR anchor=SELECTEDVALUE('rpt_job_step_timing'[started_at])
VAR pipeline=SELECTEDVALUE('rpt_job_step_timing'[Pipeline])
VAR currentJob=SELECTEDVALUE('rpt_job_step_timing'[job_run_id])
VAR notebook=SELECTEDVALUE('rpt_job_step_timing'[notebook_name])
VAR _sequence=SELECTEDVALUE('rpt_job_step_timing'[step_sequence])
VAR history=FILTER(CALCULATETABLE('rpt_job_step_timing',REMOVEFILTERS('Load Calendar'),REMOVEFILTERS('rpt_job_run_summary'),REMOVEFILTERS('rpt_job_step_timing')),
'rpt_job_step_timing'[Pipeline]=pipeline &amp;&amp; 'rpt_job_step_timing'[job_run_id]&lt;&gt;currentJob
[EXCERPT; exact complete expression and dependencies in linked current calculation document]
Saved source: project X/reports/WIP/SM WMPP Mission Control/SM WMPP Mission Control.SemanticModel/definition/tables/_Run Benchmarks.tmdl:108
Python/Spark SQL producer/reference spans: 06_reports.py:45; 06_reports.py:141
Calculated-table dependency: Load Calendar. Complete saved partition logic is included in the calculation document.</x:v>
      </x:c>
      <x:c r="G548" s="13" t="str">
        <x:v>Step prior mean min</x:v>
      </x:c>
      <x:c r="H548" s="13" t="str">
        <x:v>Section 12 - Mission Control</x:v>
      </x:c>
      <x:c r="I548" s="30" t="n">
        <x:v>46312</x:v>
      </x:c>
    </x:row>
    <x:row r="549" ht="384" customHeight="1">
      <x:c r="A549" s="13" t="str">
        <x:v>MC-KPI-165</x:v>
      </x:c>
      <x:c r="B549" s="13"/>
      <x:c r="C549" s="13" t="str">
        <x:v>Step prior median min</x:v>
      </x:c>
      <x:c r="D549" s="13" t="str">
        <x:v>Requirement association not established; owner review required.</x:v>
      </x:c>
      <x:c r="E549" s="13" t="str">
        <x:v>monitoring.rpt_job_run_summary; monitoring.rpt_job_step_timing</x:v>
      </x:c>
      <x:c r="F54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KPI_LATEST_CALCULATIONS.md#mission-step-prior-median-min
DAX [Step prior median min]:
VAR anchor=SELECTEDVALUE('rpt_job_step_timing'[started_at])
VAR pipeline=SELECTEDVALUE('rpt_job_step_timing'[Pipeline])
VAR currentJob=SELECTEDVALUE('rpt_job_step_timing'[job_run_id])
VAR notebook=SELECTEDVALUE('rpt_job_step_timing'[notebook_name])
VAR _sequence=SELECTEDVALUE('rpt_job_step_timing'[step_sequence])
VAR history=FILTER(CALCULATETABLE('rpt_job_step_timing',REMOVEFILTERS('Load Calendar'),REMOVEFILTERS('rpt_job_run_summary'),REMOVEFILTERS('rpt_job_step_timing')),
'rpt_job_step_timing'[Pipeline]=pipeline &amp;&amp; 'rpt_job_step_timing'[job_run_id]&lt;&gt;currentJob
[EXCERPT; exact complete expression and dependencies in linked current calculation document]
Saved source: project X/reports/WIP/SM WMPP Mission Control/SM WMPP Mission Control.SemanticModel/definition/tables/_Run Benchmarks.tmdl:125
Python/Spark SQL producer/reference spans: 06_reports.py:45; 06_reports.py:141
Calculated-table dependency: Load Calendar. Complete saved partition logic is included in the calculation document.</x:v>
      </x:c>
      <x:c r="G549" s="13" t="str">
        <x:v>Step prior median min</x:v>
      </x:c>
      <x:c r="H549" s="13" t="str">
        <x:v>Section 12 - Mission Control</x:v>
      </x:c>
      <x:c r="I549" s="30" t="n">
        <x:v>46312</x:v>
      </x:c>
    </x:row>
    <x:row r="550" ht="384" customHeight="1">
      <x:c r="A550" s="13" t="str">
        <x:v>MC-KPI-166</x:v>
      </x:c>
      <x:c r="B550" s="13"/>
      <x:c r="C550" s="13" t="str">
        <x:v>Step prior p25 min</x:v>
      </x:c>
      <x:c r="D550" s="13" t="str">
        <x:v>Requirement association not established; owner review required.</x:v>
      </x:c>
      <x:c r="E550" s="13" t="str">
        <x:v>monitoring.rpt_job_run_summary; monitoring.rpt_job_step_timing</x:v>
      </x:c>
      <x:c r="F55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KPI_LATEST_CALCULATIONS.md#mission-step-prior-p25-min
DAX [Step prior p25 min]:
VAR anchor=SELECTEDVALUE('rpt_job_step_timing'[started_at])
VAR pipeline=SELECTEDVALUE('rpt_job_step_timing'[Pipeline])
VAR currentJob=SELECTEDVALUE('rpt_job_step_timing'[job_run_id])
VAR notebook=SELECTEDVALUE('rpt_job_step_timing'[notebook_name])
VAR _sequence=SELECTEDVALUE('rpt_job_step_timing'[step_sequence])
VAR history=FILTER(CALCULATETABLE('rpt_job_step_timing',REMOVEFILTERS('Load Calendar'),REMOVEFILTERS('rpt_job_run_summary'),REMOVEFILTERS('rpt_job_step_timing')),
'rpt_job_step_timing'[Pipeline]=pipeline &amp;&amp; 'rpt_job_step_timing'[job_run_id]&lt;&gt;currentJob
[EXCERPT; exact complete expression and dependencies in linked current calculation document]
Saved source: project X/reports/WIP/SM WMPP Mission Control/SM WMPP Mission Control.SemanticModel/definition/tables/_Run Benchmarks.tmdl:142
Python/Spark SQL producer/reference spans: 06_reports.py:45; 06_reports.py:141
Calculated-table dependency: Load Calendar. Complete saved partition logic is included in the calculation document.</x:v>
      </x:c>
      <x:c r="G550" s="13" t="str">
        <x:v>Step prior p25 min</x:v>
      </x:c>
      <x:c r="H550" s="13" t="str">
        <x:v>Section 12 - Mission Control</x:v>
      </x:c>
      <x:c r="I550" s="30" t="n">
        <x:v>46312</x:v>
      </x:c>
    </x:row>
    <x:row r="551" ht="384" customHeight="1">
      <x:c r="A551" s="13" t="str">
        <x:v>MC-KPI-167</x:v>
      </x:c>
      <x:c r="B551" s="13"/>
      <x:c r="C551" s="13" t="str">
        <x:v>Step prior p75 min</x:v>
      </x:c>
      <x:c r="D551" s="13" t="str">
        <x:v>Requirement association not established; owner review required.</x:v>
      </x:c>
      <x:c r="E551" s="13" t="str">
        <x:v>monitoring.rpt_job_run_summary; monitoring.rpt_job_step_timing</x:v>
      </x:c>
      <x:c r="F55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KPI_LATEST_CALCULATIONS.md#mission-step-prior-p75-min
DAX [Step prior p75 min]:
VAR anchor=SELECTEDVALUE('rpt_job_step_timing'[started_at])
VAR pipeline=SELECTEDVALUE('rpt_job_step_timing'[Pipeline])
VAR currentJob=SELECTEDVALUE('rpt_job_step_timing'[job_run_id])
VAR notebook=SELECTEDVALUE('rpt_job_step_timing'[notebook_name])
VAR _sequence=SELECTEDVALUE('rpt_job_step_timing'[step_sequence])
VAR history=FILTER(CALCULATETABLE('rpt_job_step_timing',REMOVEFILTERS('Load Calendar'),REMOVEFILTERS('rpt_job_run_summary'),REMOVEFILTERS('rpt_job_step_timing')),
'rpt_job_step_timing'[Pipeline]=pipeline &amp;&amp; 'rpt_job_step_timing'[job_run_id]&lt;&gt;currentJob
[EXCERPT; exact complete expression and dependencies in linked current calculation document]
Saved source: project X/reports/WIP/SM WMPP Mission Control/SM WMPP Mission Control.SemanticModel/definition/tables/_Run Benchmarks.tmdl:159
Python/Spark SQL producer/reference spans: 06_reports.py:45; 06_reports.py:141
Calculated-table dependency: Load Calendar. Complete saved partition logic is included in the calculation document.</x:v>
      </x:c>
      <x:c r="G551" s="13" t="str">
        <x:v>Step prior p75 min</x:v>
      </x:c>
      <x:c r="H551" s="13" t="str">
        <x:v>Section 12 - Mission Control</x:v>
      </x:c>
      <x:c r="I551" s="30" t="n">
        <x:v>46312</x:v>
      </x:c>
    </x:row>
    <x:row r="552" ht="202" customHeight="1">
      <x:c r="A552" s="13" t="str">
        <x:v>MC-KPI-168</x:v>
      </x:c>
      <x:c r="B552" s="13"/>
      <x:c r="C552" s="13" t="str">
        <x:v>Success rate</x:v>
      </x:c>
      <x:c r="D552" s="13" t="str">
        <x:v>Requirement association not established; owner review required.</x:v>
      </x:c>
      <x:c r="E552" s="13" t="str">
        <x:v>monitoring.rpt_job_run_summary</x:v>
      </x:c>
      <x:c r="F55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KPI_LATEST_CALCULATIONS.md#mission-success-rate
DAX [Success rate]:
DIVIDE([Successful],[Successful]+[Failures])
Saved source: project X/reports/WIP/SM WMPP Mission Control/SM WMPP Mission Control.SemanticModel/definition/tables/_Load Experience.tmdl:24
Python/Spark SQL producer/reference spans: 06_reports.py:141</x:v>
      </x:c>
      <x:c r="G552" s="13" t="str">
        <x:v>Success rate</x:v>
      </x:c>
      <x:c r="H552" s="13" t="str">
        <x:v>Section 12 - Mission Control</x:v>
      </x:c>
      <x:c r="I552" s="30" t="n">
        <x:v>46312</x:v>
      </x:c>
    </x:row>
    <x:row r="553" ht="202" customHeight="1">
      <x:c r="A553" s="13" t="str">
        <x:v>MC-KPI-169</x:v>
      </x:c>
      <x:c r="B553" s="13"/>
      <x:c r="C553" s="13" t="str">
        <x:v>Successful</x:v>
      </x:c>
      <x:c r="D553" s="13" t="str">
        <x:v>Requirement association not established; owner review required.</x:v>
      </x:c>
      <x:c r="E553" s="13" t="str">
        <x:v>monitoring.rpt_job_run_summary</x:v>
      </x:c>
      <x:c r="F55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
DAX [Successful]:
CALCULATE([Runs], KEEPFILTERS(rpt_job_run_summary[Outcome]="Successful"))
Saved source: project X/reports/WIP/SM WMPP Mission Control/SM WMPP Mission Control.SemanticModel/definition/tables/_Load Experience.tmdl:9
Python/Spark SQL producer/reference spans: 06_reports.py:141</x:v>
      </x:c>
      <x:c r="G553" s="13" t="str">
        <x:v>Successful</x:v>
      </x:c>
      <x:c r="H553" s="13" t="str">
        <x:v>Section 12 - Mission Control</x:v>
      </x:c>
      <x:c r="I553" s="30" t="n">
        <x:v>46312</x:v>
      </x:c>
    </x:row>
    <x:row r="554" ht="228" customHeight="1">
      <x:c r="A554" s="13" t="str">
        <x:v>MC-KPI-170</x:v>
      </x:c>
      <x:c r="B554" s="13"/>
      <x:c r="C554" s="13" t="str">
        <x:v>Successful Archive Files</x:v>
      </x:c>
      <x:c r="D554" s="13" t="str">
        <x:v>Requirement association not established; owner review required.</x:v>
      </x:c>
      <x:c r="E554" s="13" t="str">
        <x:v>monitoring.cfg_archive_file_load</x:v>
      </x:c>
      <x:c r="F55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KPI_LATEST_CALCULATIONS.md#mission-successful-archive-files
DAX [Successful Archive Files]:
COUNTROWS ( FILTER ( 'cfg_archive_file_load', UPPER ( COALESCE ( 'cfg_archive_file_load'[status], "" ) ) IN { "SUCCESS", "SUCCEEDED" } ) )
Saved source: project X/reports/WIP/SM WMPP Mission Control/SM WMPP Mission Control.SemanticModel/definition/tables/_MissionControl_Measures.tmdl:257
Python/Spark SQL producer/reference spans: 00_archive_load.py:798</x:v>
      </x:c>
      <x:c r="G554" s="13" t="str">
        <x:v>Successful Archive Files</x:v>
      </x:c>
      <x:c r="H554" s="13" t="str">
        <x:v>Section 12 - Mission Control</x:v>
      </x:c>
      <x:c r="I554" s="30" t="n">
        <x:v>46312</x:v>
      </x:c>
    </x:row>
    <x:row r="555" ht="228" customHeight="1">
      <x:c r="A555" s="13" t="str">
        <x:v>MC-KPI-171</x:v>
      </x:c>
      <x:c r="B555" s="13"/>
      <x:c r="C555" s="13" t="str">
        <x:v>Successful Archive ZIP Batches</x:v>
      </x:c>
      <x:c r="D555" s="13" t="str">
        <x:v>Requirement association not established; owner review required.</x:v>
      </x:c>
      <x:c r="E555" s="13" t="str">
        <x:v>monitoring.cfg_archive_zip_load</x:v>
      </x:c>
      <x:c r="F55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KPI_LATEST_CALCULATIONS.md#mission-successful-archive-zip-batches
DAX [Successful Archive ZIP Batches]:
COUNTROWS ( FILTER ( 'cfg_archive_zip_load', UPPER ( COALESCE ( 'cfg_archive_zip_load'[status], "" ) ) IN { "SUCCESS", "SUCCEEDED" } ) )
Saved source: project X/reports/WIP/SM WMPP Mission Control/SM WMPP Mission Control.SemanticModel/definition/tables/_MissionControl_Measures.tmdl:203
Python/Spark SQL producer/reference spans: 00_archive_load.py:653</x:v>
      </x:c>
      <x:c r="G555" s="13" t="str">
        <x:v>Successful Archive ZIP Batches</x:v>
      </x:c>
      <x:c r="H555" s="13" t="str">
        <x:v>Section 12 - Mission Control</x:v>
      </x:c>
      <x:c r="I555" s="30" t="n">
        <x:v>46312</x:v>
      </x:c>
    </x:row>
    <x:row r="556" ht="228" customHeight="1">
      <x:c r="A556" s="13" t="str">
        <x:v>MC-KPI-172</x:v>
      </x:c>
      <x:c r="B556" s="13"/>
      <x:c r="C556" s="13" t="str">
        <x:v>Successful Gold Snapshots</x:v>
      </x:c>
      <x:c r="D556" s="13" t="str">
        <x:v>Requirement association not established; owner review required.</x:v>
      </x:c>
      <x:c r="E556" s="13" t="str">
        <x:v>monitoring.cfg_month_end_gold_run</x:v>
      </x:c>
      <x:c r="F55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KPI_LATEST_CALCULATIONS.md#mission-successful-gold-snapshots
DAX [Successful Gold Snapshots]:
COUNTROWS ( FILTER ( 'cfg_month_end_gold_run', UPPER ( COALESCE ( 'cfg_month_end_gold_run'[status], "" ) ) IN { "SUCCESS", "SUCCEEDED" } ) )
Saved source: project X/reports/WIP/SM WMPP Mission Control/SM WMPP Mission Control.SemanticModel/definition/tables/_MissionControl_Measures.tmdl:347
Python/Spark SQL producer/reference spans: 02a_archive_silver.py:611</x:v>
      </x:c>
      <x:c r="G556" s="13" t="str">
        <x:v>Successful Gold Snapshots</x:v>
      </x:c>
      <x:c r="H556" s="13" t="str">
        <x:v>Section 12 - Mission Control</x:v>
      </x:c>
      <x:c r="I556" s="30" t="n">
        <x:v>46312</x:v>
      </x:c>
    </x:row>
    <x:row r="557" ht="215" customHeight="1">
      <x:c r="A557" s="13" t="str">
        <x:v>MC-KPI-173</x:v>
      </x:c>
      <x:c r="B557" s="13"/>
      <x:c r="C557" s="13" t="str">
        <x:v>Successful Job Runs</x:v>
      </x:c>
      <x:c r="D557" s="13" t="str">
        <x:v>Requirement association not established; owner review required.</x:v>
      </x:c>
      <x:c r="E557" s="13" t="str">
        <x:v>monitoring.rpt_job_run_summary</x:v>
      </x:c>
      <x:c r="F55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KPI_LATEST_CALCULATIONS.md#mission-successful-job-runs
DAX [Successful Job Runs]:
CALCULATE ( [Job Runs], FILTER ( 'rpt_job_run_summary', UPPER ( COALESCE ( 'rpt_job_run_summary'[status], "" ) ) IN { "SUCCESS", "SUCCEEDED" } ) )
Saved source: project X/reports/WIP/SM WMPP Mission Control/SM WMPP Mission Control.SemanticModel/definition/tables/_MissionControl_Measures.tmdl:616
Python/Spark SQL producer/reference spans: 06_reports.py:141</x:v>
      </x:c>
      <x:c r="G557" s="13" t="str">
        <x:v>Successful Job Runs</x:v>
      </x:c>
      <x:c r="H557" s="13" t="str">
        <x:v>Section 12 - Mission Control</x:v>
      </x:c>
      <x:c r="I557" s="30" t="n">
        <x:v>46312</x:v>
      </x:c>
    </x:row>
    <x:row r="558" ht="215" customHeight="1">
      <x:c r="A558" s="13" t="str">
        <x:v>MC-KPI-174</x:v>
      </x:c>
      <x:c r="B558" s="13"/>
      <x:c r="C558" s="13" t="str">
        <x:v>Successful Job Steps</x:v>
      </x:c>
      <x:c r="D558" s="13" t="str">
        <x:v>Requirement association not established; owner review required.</x:v>
      </x:c>
      <x:c r="E558" s="13" t="str">
        <x:v>monitoring.rpt_job_step_timing</x:v>
      </x:c>
      <x:c r="F55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KPI_LATEST_CALCULATIONS.md#mission-successful-job-steps
DAX [Successful Job Steps]:
CALCULATE ( [Job Steps], FILTER ( 'rpt_job_step_timing', UPPER ( COALESCE ( 'rpt_job_step_timing'[status], "" ) ) IN { "SUCCESS", "SUCCEEDED" } ) )
Saved source: project X/reports/WIP/SM WMPP Mission Control/SM WMPP Mission Control.SemanticModel/definition/tables/_MissionControl_Measures.tmdl:725
Python/Spark SQL producer/reference spans: 06_reports.py:45</x:v>
      </x:c>
      <x:c r="G558" s="13" t="str">
        <x:v>Successful Job Steps</x:v>
      </x:c>
      <x:c r="H558" s="13" t="str">
        <x:v>Section 12 - Mission Control</x:v>
      </x:c>
      <x:c r="I558" s="30" t="n">
        <x:v>46312</x:v>
      </x:c>
    </x:row>
    <x:row r="559" ht="254" customHeight="1">
      <x:c r="A559" s="13" t="str">
        <x:v>MC-KPI-175</x:v>
      </x:c>
      <x:c r="B559" s="13"/>
      <x:c r="C559" s="13" t="str">
        <x:v>Successful Pipeline Runs</x:v>
      </x:c>
      <x:c r="D559" s="13" t="str">
        <x:v>Requirement association not established; owner review required.</x:v>
      </x:c>
      <x:c r="E559" s="13" t="str">
        <x:v>monitoring.cfg_pipeline_run</x:v>
      </x:c>
      <x:c r="F559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KPI_LATEST_CALCULATIONS.md#mission-successful-pipeline-runs
DAX [Successful Pipeline Runs]:
CALCULATE ( [Pipeline Runs], FILTER ( 'cfg_pipeline_run', UPPER ( COALESCE ( 'cfg_pipeline_run'[status], "" ) ) IN { "SUCCESS", "SUCCEEDED" } ) )
Saved source: project X/reports/WIP/SM WMPP Mission Control/SM WMPP Mission Control.SemanticModel/definition/tables/_MissionControl_Measures.tmdl:13
Python/Spark SQL producer/reference spans: 03_silver_business_rules.py:119; 00_archive_load.py:635; 02a_archive_silver.py:195; 02_silver_formatter.py:110; 99_common_library.py:124</x:v>
      </x:c>
      <x:c r="G559" s="13" t="str">
        <x:v>Successful Pipeline Runs</x:v>
      </x:c>
      <x:c r="H559" s="13" t="str">
        <x:v>Section 12 - Mission Control</x:v>
      </x:c>
      <x:c r="I559" s="30" t="n">
        <x:v>46312</x:v>
      </x:c>
    </x:row>
    <x:row r="560" ht="215" customHeight="1">
      <x:c r="A560" s="13" t="str">
        <x:v>MC-KPI-176</x:v>
      </x:c>
      <x:c r="B560" s="13"/>
      <x:c r="C560" s="13" t="str">
        <x:v>Total Job Step Duration (min)</x:v>
      </x:c>
      <x:c r="D560" s="13" t="str">
        <x:v>Requirement association not established; owner review required.</x:v>
      </x:c>
      <x:c r="E560" s="13" t="str">
        <x:v>monitoring.rpt_job_step_timing</x:v>
      </x:c>
      <x:c r="F560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KPI_LATEST_CALCULATIONS.md#mission-total-job-step-duration-min
DAX [Total Job Step Duration (min)]:
DIVIDE ( SUM ( 'rpt_job_step_timing'[step_duration_seconds] ), 60.0 )
Saved source: project X/reports/WIP/SM WMPP Mission Control/SM WMPP Mission Control.SemanticModel/definition/tables/_MissionControl_Measures.tmdl:780
Python/Spark SQL producer/reference spans: 06_reports.py:45</x:v>
      </x:c>
      <x:c r="G560" s="13" t="str">
        <x:v>Total Job Step Duration (min)</x:v>
      </x:c>
      <x:c r="H560" s="13" t="str">
        <x:v>Section 12 - Mission Control</x:v>
      </x:c>
      <x:c r="I560" s="30" t="n">
        <x:v>46312</x:v>
      </x:c>
    </x:row>
    <x:row r="561" ht="267" customHeight="1">
      <x:c r="A561" s="13" t="str">
        <x:v>MC-KPI-177</x:v>
      </x:c>
      <x:c r="B561" s="13"/>
      <x:c r="C561" s="13" t="str">
        <x:v>Total Pipeline Duration (min)</x:v>
      </x:c>
      <x:c r="D561" s="13" t="str">
        <x:v>Requirement association not established; owner review required.</x:v>
      </x:c>
      <x:c r="E561" s="13" t="str">
        <x:v>monitoring.cfg_pipeline_run</x:v>
      </x:c>
      <x:c r="F561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KPI_LATEST_CALCULATIONS.md#mission-total-pipeline-duration-min
DAX [Total Pipeline Duration (min)]:
SUMX ( FILTER ( 'cfg_pipeline_run', NOT ISBLANK ( 'cfg_pipeline_run'[started_at] ) &amp;&amp; NOT ISBLANK ( 'cfg_pipeline_run'[ended_at] ) ), DIVIDE ( DATEDIFF ( 'cfg_pipeline_run'[started_at], 'cfg_pipeline_run'[ended_at], SECOND ), 60.0 ) )
Saved source: project X/reports/WIP/SM WMPP Mission Control/SM WMPP Mission Control.SemanticModel/definition/tables/_MissionControl_Measures.tmdl:157
Python/Spark SQL producer/reference spans: 03_silver_business_rules.py:119; 00_archive_load.py:635; 02a_archive_silver.py:195; 02_silver_formatter.py:110; 99_common_library.py:124</x:v>
      </x:c>
      <x:c r="G561" s="13" t="str">
        <x:v>Total Pipeline Duration (min)</x:v>
      </x:c>
      <x:c r="H561" s="13" t="str">
        <x:v>Section 12 - Mission Control</x:v>
      </x:c>
      <x:c r="I561" s="30" t="n">
        <x:v>46312</x:v>
      </x:c>
    </x:row>
    <x:row r="562" ht="280" customHeight="1">
      <x:c r="A562" s="13" t="str">
        <x:v>MC-KPI-178</x:v>
      </x:c>
      <x:c r="B562" s="13"/>
      <x:c r="C562" s="13" t="str">
        <x:v>Watch Tower Contracts Count</x:v>
      </x:c>
      <x:c r="D562" s="13" t="str">
        <x:v>Requirement association not established; owner review required.</x:v>
      </x:c>
      <x:c r="E562" s="13" t="str">
        <x:v>monitoring.cfg_bronze_schema_live; monitoring.cfg_job_run; monitoring.rpt_job_run_summary</x:v>
      </x:c>
      <x:c r="F562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KPI_LATEST_CALCULATIONS.md#mission-watch-tower-contracts-count
DAX [Watch Tower Contracts Count]:
CALCULATE([Discovery cfg_bronze_schema_live Scope count], REMOVEFILTERS())
Saved source: project X/reports/WIP/SM WMPP Mission Control/SM WMPP Mission Control.SemanticModel/definition/tables/_MissionControl_Measures.tmdl:2429
Python/Spark SQL producer/reference spans: 00_setup_cfg.py:96; 90_run_archive_pipeline.py:144; 90_run_live_pipeline.py:78; 99_data_domain.py:110; 99_common_library.py:124; 01a_cfg_schema_capture_live.py:308; 06_reports.py:141
Calculated-table dependency: Load Calendar. Complete saved partition logic is included in the calculation document.</x:v>
      </x:c>
      <x:c r="G562" s="13" t="str">
        <x:v>Watch Tower Contracts Count</x:v>
      </x:c>
      <x:c r="H562" s="13" t="str">
        <x:v>Section 12 - Mission Control</x:v>
      </x:c>
      <x:c r="I562" s="30" t="n">
        <x:v>46312</x:v>
      </x:c>
    </x:row>
    <x:row r="563" ht="280" customHeight="1">
      <x:c r="A563" s="13" t="str">
        <x:v>MC-KPI-179</x:v>
      </x:c>
      <x:c r="B563" s="13"/>
      <x:c r="C563" s="13" t="str">
        <x:v>Watch Tower Domains Count</x:v>
      </x:c>
      <x:c r="D563" s="13" t="str">
        <x:v>Requirement association not established; owner review required.</x:v>
      </x:c>
      <x:c r="E563" s="13" t="str">
        <x:v>monitoring.cfg_data_domain; monitoring.cfg_job_run; monitoring.rpt_job_run_summary</x:v>
      </x:c>
      <x:c r="F563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KPI_LATEST_CALCULATIONS.md#mission-watch-tower-domains-count
DAX [Watch Tower Domains Count]:
CALCULATE([Discovery cfg_data_domain Scope count], REMOVEFILTERS())
Saved source: project X/reports/WIP/SM WMPP Mission Control/SM WMPP Mission Control.SemanticModel/definition/tables/_MissionControl_Measures.tmdl:2391
Python/Spark SQL producer/reference spans: 00_setup_cfg.py:96; 90_run_archive_pipeline.py:144; 90_run_live_pipeline.py:78; 99_data_domain.py:110; 99_common_library.py:124; 99_common_library.py:462; 06_reports.py:141
Calculated-table dependency: Domain History View; Load Calendar. Complete saved partition logic is included in the calculation document.</x:v>
      </x:c>
      <x:c r="G563" s="13" t="str">
        <x:v>Watch Tower Domains Count</x:v>
      </x:c>
      <x:c r="H563" s="13" t="str">
        <x:v>Section 12 - Mission Control</x:v>
      </x:c>
      <x:c r="I563" s="30" t="n">
        <x:v>46312</x:v>
      </x:c>
    </x:row>
    <x:row r="564" ht="358" customHeight="1">
      <x:c r="A564" s="13" t="str">
        <x:v>MC-KPI-180</x:v>
      </x:c>
      <x:c r="B564" s="13"/>
      <x:c r="C564" s="13" t="str">
        <x:v>Watch Tower Drift Active</x:v>
      </x:c>
      <x:c r="D564" s="13" t="str">
        <x:v>Requirement association not established; owner review required.</x:v>
      </x:c>
      <x:c r="E564" s="13" t="str">
        <x:v>monitoring.cfg_schema_drift_event</x:v>
      </x:c>
      <x:c r="F564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KPI_LATEST_CALCULATIONS.md#mission-watch-tower-drift-active
DAX [Watch Tower Drift Active]:
VAR BatchKey = CALCULATE([Discovery cfg_schema_drift_event Latest key], REMOVEFILTERS())
VAR BatchTime = CALCULATE([Discovery cfg_schema_drift_event Latest time], REMOVEFILTERS())
VAR BatchRows = FILTER(CALCULATETABLE('cfg_schema_drift_event', REMOVEFILTERS()),
IF(ISBLANK(BatchKey), 'cfg_schema_drift_event'[detected_at] = BatchTime,
'cfg_schema_drift_event'[run_id] = BatchKey))
RETURN COALESCE(COUNTROWS(FILTER(BatchRows, UPPER(cfg_schema_drift_event[status]) IN {"ACTIVE", "OPEN", "NEW", "DETECTED", "PENDING"})), 0)
Saved source: project X/reports/WIP/SM WMPP Mission Control/SM WMPP Mission Control.SemanticModel/definition/tables/_MissionControl_Measures.tmdl:2369
Python/Spark SQL producer/reference spans: 01a_cfg_schema_capture_live.py:308; 02a_archive_silver.py:295; 02_silver_formatter.py:153; 99_common_library.py:124</x:v>
      </x:c>
      <x:c r="G564" s="13" t="str">
        <x:v>Watch Tower Drift Active</x:v>
      </x:c>
      <x:c r="H564" s="13" t="str">
        <x:v>Section 12 - Mission Control</x:v>
      </x:c>
      <x:c r="I564" s="30" t="n">
        <x:v>46312</x:v>
      </x:c>
    </x:row>
    <x:row r="565" ht="280" customHeight="1">
      <x:c r="A565" s="13" t="str">
        <x:v>MC-KPI-181</x:v>
      </x:c>
      <x:c r="B565" s="13"/>
      <x:c r="C565" s="13" t="str">
        <x:v>Watch Tower Drift Count</x:v>
      </x:c>
      <x:c r="D565" s="13" t="str">
        <x:v>Requirement association not established; owner review required.</x:v>
      </x:c>
      <x:c r="E565" s="13" t="str">
        <x:v>monitoring.cfg_job_run; monitoring.cfg_schema_drift_event; monitoring.rpt_job_run_summary</x:v>
      </x:c>
      <x:c r="F565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KPI_LATEST_CALCULATIONS.md#mission-watch-tower-drift-count
DAX [Watch Tower Drift Count]:
CALCULATE([Discovery cfg_schema_drift_event Scope count], REMOVEFILTERS())
Saved source: project X/reports/WIP/SM WMPP Mission Control/SM WMPP Mission Control.SemanticModel/definition/tables/_MissionControl_Measures.tmdl:2410
Python/Spark SQL producer/reference spans: 00_setup_cfg.py:96; 90_run_archive_pipeline.py:144; 90_run_live_pipeline.py:78; 99_data_domain.py:110; 99_common_library.py:124; 01a_cfg_schema_capture_live.py:308; 02a_archive_silver.py:295; 02_silver_formatter.py:153; 06_reports.py:141
Calculated-table dependency: Load Calendar. Complete saved partition logic is included in the calculation document.</x:v>
      </x:c>
      <x:c r="G565" s="13" t="str">
        <x:v>Watch Tower Drift Count</x:v>
      </x:c>
      <x:c r="H565" s="13" t="str">
        <x:v>Section 12 - Mission Control</x:v>
      </x:c>
      <x:c r="I565" s="30" t="n">
        <x:v>46312</x:v>
      </x:c>
    </x:row>
    <x:row r="566" ht="280" customHeight="1">
      <x:c r="A566" s="13" t="str">
        <x:v>MC-KPI-182</x:v>
      </x:c>
      <x:c r="B566" s="13"/>
      <x:c r="C566" s="13" t="str">
        <x:v>Watch Tower Quality Count</x:v>
      </x:c>
      <x:c r="D566" s="13" t="str">
        <x:v>Requirement association not established; owner review required.</x:v>
      </x:c>
      <x:c r="E566" s="13" t="str">
        <x:v>monitoring.cfg_job_run; monitoring.rpt_job_data_quality; monitoring.rpt_job_run_summary</x:v>
      </x:c>
      <x:c r="F566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KPI_LATEST_CALCULATIONS.md#mission-watch-tower-quality-count
DAX [Watch Tower Quality Count]:
CALCULATE([Discovery rpt_job_data_quality Scope count], REMOVEFILTERS())
Saved source: project X/reports/WIP/SM WMPP Mission Control/SM WMPP Mission Control.SemanticModel/definition/tables/_MissionControl_Measures.tmdl:2450
Python/Spark SQL producer/reference spans: 00_setup_cfg.py:96; 90_run_archive_pipeline.py:144; 90_run_live_pipeline.py:78; 99_data_domain.py:110; 99_common_library.py:124; 06_reports.py:202; 06_reports.py:141
Calculated-table dependency: Load Calendar. Complete saved partition logic is included in the calculation document.</x:v>
      </x:c>
      <x:c r="G566" s="13" t="str">
        <x:v>Watch Tower Quality Count</x:v>
      </x:c>
      <x:c r="H566" s="13" t="str">
        <x:v>Section 12 - Mission Control</x:v>
      </x:c>
      <x:c r="I566" s="30" t="n">
        <x:v>46312</x:v>
      </x:c>
    </x:row>
    <x:row r="567" ht="345" customHeight="1">
      <x:c r="A567" s="13" t="str">
        <x:v>MC-KPI-183</x:v>
      </x:c>
      <x:c r="B567" s="13"/>
      <x:c r="C567" s="13" t="str">
        <x:v>Watch Tower Quality Failed Checks</x:v>
      </x:c>
      <x:c r="D567" s="13" t="str">
        <x:v>Requirement association not established; owner review required.</x:v>
      </x:c>
      <x:c r="E567" s="13" t="str">
        <x:v>monitoring.rpt_job_data_quality</x:v>
      </x:c>
      <x:c r="F567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KPI_LATEST_CALCULATIONS.md#mission-watch-tower-quality-failed-checks
DAX [Watch Tower Quality Failed Checks]:
VAR BatchKey = CALCULATE([Discovery rpt_job_data_quality Latest key], REMOVEFILTERS())
VAR BatchTime = CALCULATE([Discovery rpt_job_data_quality Latest time], REMOVEFILTERS())
VAR BatchRows = FILTER(CALCULATETABLE('rpt_job_data_quality', REMOVEFILTERS()),
IF(ISBLANK(BatchKey), 'rpt_job_data_quality'[checked_at] = BatchTime,
'rpt_job_data_quality'[run_id] = BatchKey))
RETURN COALESCE(COUNTROWS(FILTER(BatchRows, rpt_job_data_quality[failed_row_count] &gt; 0 || UPPER(rpt_job_data_quality[status]) IN {"FAIL", "FAILED", "ERROR"})), 0)
Saved source: project X/reports/WIP/SM WMPP Mission Control/SM WMPP Mission Control.SemanticModel/definition/tables/_MissionControl_Measures.tmdl:2380
Python/Spark SQL producer/reference spans: 06_reports.py:202</x:v>
      </x:c>
      <x:c r="G567" s="13" t="str">
        <x:v>Watch Tower Quality Failed Checks</x:v>
      </x:c>
      <x:c r="H567" s="13" t="str">
        <x:v>Section 12 - Mission Control</x:v>
      </x:c>
      <x:c r="I567" s="30" t="n">
        <x:v>46312</x:v>
      </x:c>
    </x:row>
    <x:row r="568" ht="228" customHeight="1">
      <x:c r="A568" s="13" t="str">
        <x:v>MC-KPI-184</x:v>
      </x:c>
      <x:c r="B568" s="13"/>
      <x:c r="C568" s="13" t="str">
        <x:v>Weighted DQ Failure Percentage</x:v>
      </x:c>
      <x:c r="D568" s="13" t="str">
        <x:v>Requirement association not established; owner review required.</x:v>
      </x:c>
      <x:c r="E568" s="13" t="str">
        <x:v>monitoring.cfg_data_quality_result</x:v>
      </x:c>
      <x:c r="F568" s="13" t="str">
        <x:v>Operational metric. Numeric/date operational definition in the latest saved model
Latest saved source reviewed 17 October 2026. Static definition verified; refresh, role/context reconciliation and UAT remain pending.
Full current logic: KPI_LATEST_CALCULATIONS.md#mission-weighted-dq-failure-percentage
DAX [Weighted DQ Failure Percentage]:
DIVIDE ( [DQ Failed Rows], [DQ Checked Rows] )
Saved source: project X/reports/WIP/SM WMPP Mission Control/SM WMPP Mission Control.SemanticModel/definition/tables/_MissionControl_Measures.tmdl:437
Python/Spark SQL producer/reference spans: 03_silver_business_rules.py:208; 03_silver_business_rules.py:366; 99_common_library.py:124</x:v>
      </x:c>
      <x:c r="G568" s="13" t="str">
        <x:v>Weighted DQ Failure Percentage</x:v>
      </x:c>
      <x:c r="H568" s="13" t="str">
        <x:v>Section 12 - Mission Control</x:v>
      </x:c>
      <x:c r="I568" s="30" t="n">
        <x:v>46312</x:v>
      </x:c>
    </x:row>
    <x:row r="569" ht="300" customHeight="1">
      <x:c r="A569" s="13" t="str">
        <x:v>GOLD-KPI-327</x:v>
      </x:c>
      <x:c r="B569" s="13" t="str">
        <x:v>[R47,R93]</x:v>
      </x:c>
      <x:c r="C569" s="13" t="str">
        <x:v>Explorer provider documents</x:v>
      </x:c>
      <x:c r="D569" s="13" t="str">
        <x:v>Document monitoring and provider/home directory; home attribution requires data-owner validation.</x:v>
      </x:c>
      <x:c r="E569" s="13" t="str">
        <x:v>gold.dim_provider_submission_document; gold.dim_provider_home; gold.dim_provider</x:v>
      </x:c>
      <x:c r="F569" s="13" t="str">
        <x:v>Provider-selected aggregation of existing expiry measures. Existing expiry aggregation restricted to the current eligible provider selection; existing home join requires owner validation.
DAX:
VAR eligible = FILTER(VALUES('dim_provider'[provider_id]),
    NOT ISBLANK('dim_provider'[provider_id]) &amp;&amp; CALCULATE([Explorer provider row visible]) = 1)
RETURN CALCULATE([Provider Submission Documents], KEEPFILTERS(eligible))
Python source: 05_gold_dimensions.py:239-248 (latest_dimension, latest document_id). See KPI_LATEST_CALCULATIONS.md#business-explorer-provider-documents</x:v>
      </x:c>
      <x:c r="G569" s="13" t="str">
        <x:v>Explorer provider documents</x:v>
      </x:c>
      <x:c r="H569" s="13" t="str">
        <x:v>Section 11 - Current Business Reporting</x:v>
      </x:c>
      <x:c r="I569" s="30" t="n">
        <x:v>46313</x:v>
      </x:c>
    </x:row>
    <x:row r="570" ht="300" customHeight="1">
      <x:c r="A570" s="13" t="str">
        <x:v>GOLD-KPI-328</x:v>
      </x:c>
      <x:c r="B570" s="13" t="str">
        <x:v>[R47,R93]</x:v>
      </x:c>
      <x:c r="C570" s="13" t="str">
        <x:v>Explorer provider documents expired</x:v>
      </x:c>
      <x:c r="D570" s="13" t="str">
        <x:v>Document monitoring and provider/home directory; home attribution requires data-owner validation.</x:v>
      </x:c>
      <x:c r="E570" s="13" t="str">
        <x:v>gold.dim_provider_submission_document; gold.dim_provider_home; gold.dim_provider</x:v>
      </x:c>
      <x:c r="F570" s="13" t="str">
        <x:v>Provider-selected aggregation of existing expiry measures. Existing expiry aggregation restricted to the current eligible provider selection; existing home join requires owner validation.
DAX:
VAR eligible = FILTER(VALUES('dim_provider'[provider_id]),
    NOT ISBLANK('dim_provider'[provider_id]) &amp;&amp; CALCULATE([Explorer provider row visible]) = 1)
RETURN CALCULATE([Documents Expired], KEEPFILTERS(eligible))
Python source: 05_gold_dimensions.py:239-248 (latest_dimension, latest document_id). See KPI_LATEST_CALCULATIONS.md#business-explorer-provider-documents-expired</x:v>
      </x:c>
      <x:c r="G570" s="13" t="str">
        <x:v>Explorer provider documents expired</x:v>
      </x:c>
      <x:c r="H570" s="13" t="str">
        <x:v>Section 11 - Current Business Reporting</x:v>
      </x:c>
      <x:c r="I570" s="30" t="n">
        <x:v>46313</x:v>
      </x:c>
    </x:row>
    <x:row r="571" ht="300" customHeight="1">
      <x:c r="A571" s="13" t="str">
        <x:v>GOLD-KPI-329</x:v>
      </x:c>
      <x:c r="B571" s="13" t="str">
        <x:v>[R47,R93]</x:v>
      </x:c>
      <x:c r="C571" s="13" t="str">
        <x:v>Explorer provider documents expiring 30 days</x:v>
      </x:c>
      <x:c r="D571" s="13" t="str">
        <x:v>Document monitoring and provider/home directory; home attribution requires data-owner validation.</x:v>
      </x:c>
      <x:c r="E571" s="13" t="str">
        <x:v>gold.dim_provider_submission_document; gold.dim_provider_home; gold.dim_provider</x:v>
      </x:c>
      <x:c r="F571" s="13" t="str">
        <x:v>Provider-selected aggregation of existing expiry measures. Existing expiry aggregation restricted to the current eligible provider selection; existing home join requires owner validation.
DAX:
VAR eligible = FILTER(VALUES('dim_provider'[provider_id]),
    NOT ISBLANK('dim_provider'[provider_id]) &amp;&amp; CALCULATE([Explorer provider row visible]) = 1)
RETURN CALCULATE([Documents Expiring Next 30 Days], KEEPFILTERS(eligible))
Python source: 05_gold_dimensions.py:239-248 (latest_dimension, latest document_id). See KPI_LATEST_CALCULATIONS.md#business-explorer-provider-documents-expiring-30-days</x:v>
      </x:c>
      <x:c r="G571" s="13" t="str">
        <x:v>Explorer provider documents expiring 30 days</x:v>
      </x:c>
      <x:c r="H571" s="13" t="str">
        <x:v>Section 11 - Current Business Reporting</x:v>
      </x:c>
      <x:c r="I571" s="30" t="n">
        <x:v>46313</x:v>
      </x:c>
    </x:row>
    <x:row r="572" ht="300" customHeight="1">
      <x:c r="A572" s="13" t="str">
        <x:v>GOLD-KPI-330</x:v>
      </x:c>
      <x:c r="B572" s="13" t="str">
        <x:v>[R47,R93]</x:v>
      </x:c>
      <x:c r="C572" s="13" t="str">
        <x:v>Explorer provider homes with expired documents</x:v>
      </x:c>
      <x:c r="D572" s="13" t="str">
        <x:v>Document monitoring and provider/home directory; home attribution requires data-owner validation.</x:v>
      </x:c>
      <x:c r="E572" s="13" t="str">
        <x:v>gold.dim_provider_submission_document; gold.dim_provider_home; gold.dim_provider</x:v>
      </x:c>
      <x:c r="F572" s="13" t="str">
        <x:v>Provider-selected aggregation of existing expiry measures. Existing expiry aggregation restricted to the current eligible provider selection; existing home join requires owner validation.
DAX:
VAR eligible = FILTER(VALUES('dim_provider'[provider_id]),
    NOT ISBLANK('dim_provider'[provider_id]) &amp;&amp; CALCULATE([Explorer provider row visible]) = 1)
RETURN CALCULATE([Provider Homes With Expired Documents], KEEPFILTERS(eligible))
Python source: 05_gold_dimensions.py:239-248 (latest_dimension, latest document_id). See KPI_LATEST_CALCULATIONS.md#business-explorer-provider-homes-with-expired-documents</x:v>
      </x:c>
      <x:c r="G572" s="13" t="str">
        <x:v>Explorer provider homes with expired documents</x:v>
      </x:c>
      <x:c r="H572" s="13" t="str">
        <x:v>Section 11 - Current Business Reporting</x:v>
      </x:c>
      <x:c r="I572" s="30" t="n">
        <x:v>46313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40" hidden="0" customWidth="1"/>
    <x:col min="4" max="4" width="40" hidden="0" customWidth="1"/>
    <x:col min="5" max="5" width="46" hidden="0" customWidth="1"/>
    <x:col min="6" max="6" width="50" hidden="0" customWidth="1"/>
    <x:col min="7" max="7" width="85" hidden="0" customWidth="1"/>
    <x:col min="8" max="8" width="75" hidden="0" customWidth="1"/>
    <x:col min="9" max="9" width="48" hidden="0" customWidth="1"/>
  </x:cols>
  <x:sheetData>
    <x:row r="1" ht="27" customHeight="1">
      <x:c r="A1" s="21" t="str">
        <x:v>Latest Gold source and KPI coverage</x:v>
      </x:c>
      <x:c r="B1" s="21"/>
      <x:c r="C1" s="21"/>
      <x:c r="D1" s="21"/>
      <x:c r="E1" s="21"/>
      <x:c r="F1" s="21"/>
      <x:c r="G1" s="21"/>
      <x:c r="H1" s="21"/>
      <x:c r="I1" s="21"/>
    </x:row>
    <x:row r="2" ht="30" customHeight="1">
      <x:c r="A2" s="7" t="str">
        <x:v>18 October 2026 — provider document register and requirement KPI monitor. Saved definitions; refresh, home attribution, roles and client acceptance pending.</x:v>
      </x:c>
      <x:c r="B2" s="7"/>
      <x:c r="C2" s="7"/>
      <x:c r="D2" s="7"/>
      <x:c r="E2" s="7"/>
      <x:c r="F2" s="7"/>
      <x:c r="G2" s="7"/>
      <x:c r="H2" s="7"/>
      <x:c r="I2" s="7"/>
    </x:row>
    <x:row r="4" ht="25" customHeight="1">
      <x:c r="A4" s="22" t="str">
        <x:v>Latest saved source provenance — 18 October 2026</x:v>
      </x:c>
      <x:c r="B4" s="22"/>
      <x:c r="C4" s="22"/>
      <x:c r="D4" s="22"/>
      <x:c r="E4" s="22"/>
      <x:c r="F4" s="22"/>
      <x:c r="G4" s="22"/>
      <x:c r="H4" s="22"/>
      <x:c r="I4" s="22"/>
    </x:row>
    <x:row r="5" ht="35" customHeight="1">
      <x:c r="A5" s="35" t="str">
        <x:v>Source</x:v>
      </x:c>
      <x:c r="B5" s="35" t="str">
        <x:v>Baseline</x:v>
      </x:c>
      <x:c r="C5" s="35" t="str">
        <x:v>Tables</x:v>
      </x:c>
      <x:c r="D5" s="35" t="str">
        <x:v>Measures</x:v>
      </x:c>
      <x:c r="E5" s="35" t="str">
        <x:v>Pages</x:v>
      </x:c>
      <x:c r="F5" s="35" t="str">
        <x:v>Snapshot hash</x:v>
      </x:c>
      <x:c r="G5" s="35" t="str">
        <x:v>Source location</x:v>
      </x:c>
      <x:c r="H5" s="35" t="str">
        <x:v>Status</x:v>
      </x:c>
      <x:c r="I5" s="35" t="str">
        <x:v>Meaning</x:v>
      </x:c>
    </x:row>
    <x:row r="6" ht="33" customHeight="1">
      <x:c r="A6" s="25" t="str">
        <x:v>business</x:v>
      </x:c>
      <x:c r="B6" s="25" t="str">
        <x:v>Saved WIP; source changes prepared 18 Oct</x:v>
      </x:c>
      <x:c r="C6" s="25" t="n">
        <x:v>73</x:v>
      </x:c>
      <x:c r="D6" s="25" t="n">
        <x:v>501</x:v>
      </x:c>
      <x:c r="E6" s="25" t="n">
        <x:v>35</x:v>
      </x:c>
      <x:c r="F6" s="25" t="str">
        <x:v>63e38cb559a0f27eb807e01c72e0edcedae84226df23b7b64f9309c3277f229a</x:v>
      </x:c>
      <x:c r="G6" s="25" t="str">
        <x:v>C:\repos\BCT\fabric-csv-bronze-ingestion\project X\reports\WIP\SM WMPP v16 updated WIP</x:v>
      </x:c>
      <x:c r="H6" s="25" t="str">
        <x:v>Native TMDL parsed; runtime pending</x:v>
      </x:c>
      <x:c r="I6" s="25" t="str">
        <x:v>No deployment or acceptance asserted</x:v>
      </x:c>
    </x:row>
    <x:row r="7" ht="33" customHeight="1">
      <x:c r="A7" s="25" t="str">
        <x:v>mission</x:v>
      </x:c>
      <x:c r="B7" s="25" t="str">
        <x:v>Saved WIP; source changes prepared 18 Oct</x:v>
      </x:c>
      <x:c r="C7" s="25" t="n">
        <x:v>34</x:v>
      </x:c>
      <x:c r="D7" s="25" t="n">
        <x:v>351</x:v>
      </x:c>
      <x:c r="E7" s="25" t="n">
        <x:v>17</x:v>
      </x:c>
      <x:c r="F7" s="25" t="str">
        <x:v>cfd3e90f38c574177142682a886afc403aeed1a4d2efccd7a524acd696e20494</x:v>
      </x:c>
      <x:c r="G7" s="25" t="str">
        <x:v>C:\repos\BCT\fabric-csv-bronze-ingestion\project X\reports\WIP\SM WMPP Mission Control</x:v>
      </x:c>
      <x:c r="H7" s="25" t="str">
        <x:v>Native TMDL parsed; runtime pending</x:v>
      </x:c>
      <x:c r="I7" s="25" t="str">
        <x:v>No deployment or acceptance asserted</x:v>
      </x:c>
    </x:row>
    <x:row r="8" ht="33" customHeight="1">
      <x:c r="A8" s="25" t="str">
        <x:v>repository</x:v>
      </x:c>
      <x:c r="B8" s="25" t="str">
        <x:v>0563ff09a052b540e7b33b258de7d3a150b47e0b</x:v>
      </x:c>
      <x:c r="C8" s="25"/>
      <x:c r="D8" s="25"/>
      <x:c r="E8" s="25"/>
      <x:c r="F8" s="25"/>
      <x:c r="G8" s="25" t="str">
        <x:v>master</x:v>
      </x:c>
      <x:c r="H8" s="25" t="str">
        <x:v>Default branch verified 18 Oct 2026</x:v>
      </x:c>
      <x:c r="I8" s="25" t="str">
        <x:v>WIP source hashes recorded in release manifest</x:v>
      </x:c>
    </x:row>
    <x:row r="9" ht="33" customHeight="1">
      <x:c r="A9"/>
      <x:c r="B9"/>
      <x:c r="C9"/>
      <x:c r="D9"/>
      <x:c r="E9"/>
      <x:c r="F9"/>
      <x:c r="G9"/>
      <x:c r="H9"/>
      <x:c r="I9"/>
    </x:row>
    <x:row r="10" ht="46" customHeight="1">
      <x:c r="A10"/>
      <x:c r="B10"/>
      <x:c r="C10"/>
      <x:c r="D10"/>
      <x:c r="E10"/>
      <x:c r="F10"/>
      <x:c r="G10"/>
      <x:c r="H10"/>
      <x:c r="I10"/>
    </x:row>
    <x:row r="11" ht="25" customHeight="1">
      <x:c r="A11" s="22" t="str">
        <x:v>Current requirement assessment — original requirements retained</x:v>
      </x:c>
      <x:c r="B11" s="22"/>
      <x:c r="C11" s="22"/>
      <x:c r="D11" s="22"/>
      <x:c r="E11" s="22"/>
      <x:c r="F11" s="22"/>
      <x:c r="G11" s="22"/>
      <x:c r="H11" s="22"/>
      <x:c r="I11" s="22"/>
    </x:row>
    <x:row r="12" ht="35" customHeight="1">
      <x:c r="A12" s="35" t="str">
        <x:v>Req ID</x:v>
      </x:c>
      <x:c r="B12" s="35" t="str">
        <x:v>Requirement</x:v>
      </x:c>
      <x:c r="C12" s="35" t="str">
        <x:v>Current assessment</x:v>
      </x:c>
      <x:c r="D12" s="35" t="str">
        <x:v>Business evidence</x:v>
      </x:c>
      <x:c r="E12" s="35" t="str">
        <x:v>Mission Control contribution</x:v>
      </x:c>
      <x:c r="F12" s="35" t="str">
        <x:v>Remaining gap</x:v>
      </x:c>
      <x:c r="G12" s="35" t="str">
        <x:v>Action</x:v>
      </x:c>
      <x:c r="H12" s="35" t="str">
        <x:v>Scope</x:v>
      </x:c>
      <x:c r="I12" s="35" t="str">
        <x:v>Acceptance</x:v>
      </x:c>
    </x:row>
    <x:row r="13" ht="59" customHeight="1">
      <x:c r="A13" s="25" t="str">
        <x:v>R1</x:v>
      </x:c>
      <x:c r="B13" s="25" t="str">
        <x:v>Place children with complex care needs</x:v>
      </x:c>
      <x:c r="C13" s="25" t="str">
        <x:v>Partial reporting</x:v>
      </x:c>
      <x:c r="D13" s="25" t="str">
        <x:v>Referral Explorer; Referral Detail; Matching referrals</x:v>
      </x:c>
      <x:c r="E13" s="25" t="str">
        <x:v>No requirement-specific Mission Control delivery asserted.</x:v>
      </x:c>
      <x:c r="F13" s="25" t="str">
        <x:v>The report exposes demand and assignments; it does not publish referrals or place children. Support-needs analysis is not in the WIP model. Historical v1 status: ✅ Implemented.</x:v>
      </x:c>
      <x:c r="G13" s="25" t="str">
        <x:v>Validate explorer results and obtain portal-workflow evidence.</x:v>
      </x:c>
      <x:c r="H13" s="25" t="str">
        <x:v>Original wording/association preserved</x:v>
      </x:c>
      <x:c r="I13" s="25" t="str">
        <x:v>Owner/runtime acceptance pending</x:v>
      </x:c>
    </x:row>
    <x:row r="14" ht="46" customHeight="1">
      <x:c r="A14" s="25" t="str">
        <x:v>R2</x:v>
      </x:c>
      <x:c r="B14" s="25" t="str">
        <x:v>Consider current incumbent solution</x:v>
      </x:c>
      <x:c r="C14" s="25" t="str">
        <x:v>Outside report assessment</x:v>
      </x:c>
      <x:c r="D14" s="25" t="str">
        <x:v>Functional Specification; HLD; Statement of Work</x:v>
      </x:c>
      <x:c r="E14" s="25" t="str">
        <x:v>No requirement-specific Mission Control delivery asserted.</x:v>
      </x:c>
      <x:c r="F14" s="25" t="str">
        <x:v>Architecture, procurement, API or data-entry requirement; a KPI cannot establish compliance. Historical v1 status: ℹ️ Non-functional.</x:v>
      </x:c>
      <x:c r="G14" s="25" t="str">
        <x:v>Retain source-system or project acceptance evidence.</x:v>
      </x:c>
      <x:c r="H14" s="25" t="str">
        <x:v>Original wording/association preserved</x:v>
      </x:c>
      <x:c r="I14" s="25" t="str">
        <x:v>Owner/runtime acceptance pending</x:v>
      </x:c>
    </x:row>
    <x:row r="15" ht="46" customHeight="1">
      <x:c r="A15" s="25" t="str">
        <x:v>R3</x:v>
      </x:c>
      <x:c r="B15" s="25" t="str">
        <x:v>Single regional platform (cross-boundary)</x:v>
      </x:c>
      <x:c r="C15" s="25" t="str">
        <x:v>Outside report assessment</x:v>
      </x:c>
      <x:c r="D15" s="25" t="str">
        <x:v>Functional Specification; HLD; Statement of Work</x:v>
      </x:c>
      <x:c r="E15" s="25" t="str">
        <x:v>No requirement-specific Mission Control delivery asserted.</x:v>
      </x:c>
      <x:c r="F15" s="25" t="str">
        <x:v>Architecture, procurement, API or data-entry requirement; a KPI cannot establish compliance. Historical v1 status: ℹ️ Non-functional.</x:v>
      </x:c>
      <x:c r="G15" s="25" t="str">
        <x:v>Retain source-system or project acceptance evidence.</x:v>
      </x:c>
      <x:c r="H15" s="25" t="str">
        <x:v>Original wording/association preserved</x:v>
      </x:c>
      <x:c r="I15" s="25" t="str">
        <x:v>Owner/runtime acceptance pending</x:v>
      </x:c>
    </x:row>
    <x:row r="16" ht="46" customHeight="1">
      <x:c r="A16" s="25" t="str">
        <x:v>R4</x:v>
      </x:c>
      <x:c r="B16" s="25" t="str">
        <x:v>Open source suitability</x:v>
      </x:c>
      <x:c r="C16" s="25" t="str">
        <x:v>Outside report assessment</x:v>
      </x:c>
      <x:c r="D16" s="25" t="str">
        <x:v>Functional Specification; HLD; Statement of Work</x:v>
      </x:c>
      <x:c r="E16" s="25" t="str">
        <x:v>No requirement-specific Mission Control delivery asserted.</x:v>
      </x:c>
      <x:c r="F16" s="25" t="str">
        <x:v>Architecture, procurement, API or data-entry requirement; a KPI cannot establish compliance. Historical v1 status: ℹ️ Non-functional.</x:v>
      </x:c>
      <x:c r="G16" s="25" t="str">
        <x:v>Retain source-system or project acceptance evidence.</x:v>
      </x:c>
      <x:c r="H16" s="25" t="str">
        <x:v>Original wording/association preserved</x:v>
      </x:c>
      <x:c r="I16" s="25" t="str">
        <x:v>Owner/runtime acceptance pending</x:v>
      </x:c>
    </x:row>
    <x:row r="17" ht="46" customHeight="1">
      <x:c r="A17" s="25" t="str">
        <x:v>R5</x:v>
      </x:c>
      <x:c r="B17" s="25" t="str">
        <x:v>Agile / MVP / backlog</x:v>
      </x:c>
      <x:c r="C17" s="25" t="str">
        <x:v>Outside report assessment</x:v>
      </x:c>
      <x:c r="D17" s="25" t="str">
        <x:v>Functional Specification; HLD; Statement of Work</x:v>
      </x:c>
      <x:c r="E17" s="25" t="str">
        <x:v>No requirement-specific Mission Control delivery asserted.</x:v>
      </x:c>
      <x:c r="F17" s="25" t="str">
        <x:v>Architecture, procurement, API or data-entry requirement; a KPI cannot establish compliance. Historical v1 status: ℹ️ Non-functional.</x:v>
      </x:c>
      <x:c r="G17" s="25" t="str">
        <x:v>Retain source-system or project acceptance evidence.</x:v>
      </x:c>
      <x:c r="H17" s="25" t="str">
        <x:v>Original wording/association preserved</x:v>
      </x:c>
      <x:c r="I17" s="25" t="str">
        <x:v>Owner/runtime acceptance pending</x:v>
      </x:c>
    </x:row>
    <x:row r="18" ht="46" customHeight="1">
      <x:c r="A18" s="25" t="str">
        <x:v>R6</x:v>
      </x:c>
      <x:c r="B18" s="25" t="str">
        <x:v>COTS preferred over bespoke</x:v>
      </x:c>
      <x:c r="C18" s="25" t="str">
        <x:v>Outside report assessment</x:v>
      </x:c>
      <x:c r="D18" s="25" t="str">
        <x:v>Functional Specification; HLD; Statement of Work</x:v>
      </x:c>
      <x:c r="E18" s="25" t="str">
        <x:v>No requirement-specific Mission Control delivery asserted.</x:v>
      </x:c>
      <x:c r="F18" s="25" t="str">
        <x:v>Architecture, procurement, API or data-entry requirement; a KPI cannot establish compliance. Historical v1 status: ℹ️ Non-functional.</x:v>
      </x:c>
      <x:c r="G18" s="25" t="str">
        <x:v>Retain source-system or project acceptance evidence.</x:v>
      </x:c>
      <x:c r="H18" s="25" t="str">
        <x:v>Original wording/association preserved</x:v>
      </x:c>
      <x:c r="I18" s="25" t="str">
        <x:v>Owner/runtime acceptance pending</x:v>
      </x:c>
    </x:row>
    <x:row r="19" ht="46" customHeight="1">
      <x:c r="A19" s="25" t="str">
        <x:v>R7</x:v>
      </x:c>
      <x:c r="B19" s="25" t="str">
        <x:v>APIs across WM IT ecosystem</x:v>
      </x:c>
      <x:c r="C19" s="25" t="str">
        <x:v>Outside report assessment</x:v>
      </x:c>
      <x:c r="D19" s="25" t="str">
        <x:v>Functional Specification; HLD; Statement of Work</x:v>
      </x:c>
      <x:c r="E19" s="25" t="str">
        <x:v>No requirement-specific Mission Control delivery asserted.</x:v>
      </x:c>
      <x:c r="F19" s="25" t="str">
        <x:v>Architecture, procurement, API or data-entry requirement; a KPI cannot establish compliance. Historical v1 status: ℹ️ Non-functional.</x:v>
      </x:c>
      <x:c r="G19" s="25" t="str">
        <x:v>Retain source-system or project acceptance evidence.</x:v>
      </x:c>
      <x:c r="H19" s="25" t="str">
        <x:v>Original wording/association preserved</x:v>
      </x:c>
      <x:c r="I19" s="25" t="str">
        <x:v>Owner/runtime acceptance pending</x:v>
      </x:c>
    </x:row>
    <x:row r="20" ht="46" customHeight="1">
      <x:c r="A20" s="25" t="str">
        <x:v>R8</x:v>
      </x:c>
      <x:c r="B20" s="25" t="str">
        <x:v>Open-source API compliance</x:v>
      </x:c>
      <x:c r="C20" s="25" t="str">
        <x:v>Outside report assessment</x:v>
      </x:c>
      <x:c r="D20" s="25" t="str">
        <x:v>Functional Specification; HLD; Statement of Work</x:v>
      </x:c>
      <x:c r="E20" s="25" t="str">
        <x:v>No requirement-specific Mission Control delivery asserted.</x:v>
      </x:c>
      <x:c r="F20" s="25" t="str">
        <x:v>Architecture, procurement, API or data-entry requirement; a KPI cannot establish compliance. Historical v1 status: ℹ️ Non-functional.</x:v>
      </x:c>
      <x:c r="G20" s="25" t="str">
        <x:v>Retain source-system or project acceptance evidence.</x:v>
      </x:c>
      <x:c r="H20" s="25" t="str">
        <x:v>Original wording/association preserved</x:v>
      </x:c>
      <x:c r="I20" s="25" t="str">
        <x:v>Owner/runtime acceptance pending</x:v>
      </x:c>
    </x:row>
    <x:row r="21" ht="46" customHeight="1">
      <x:c r="A21" s="25" t="str">
        <x:v>R9</x:v>
      </x:c>
      <x:c r="B21" s="25" t="str">
        <x:v>Form pre-population (referral, OFSTED, auth)</x:v>
      </x:c>
      <x:c r="C21" s="25" t="str">
        <x:v>Outside report assessment</x:v>
      </x:c>
      <x:c r="D21" s="25" t="str">
        <x:v>Functional Specification; HLD; Statement of Work</x:v>
      </x:c>
      <x:c r="E21" s="25" t="str">
        <x:v>No requirement-specific Mission Control delivery asserted.</x:v>
      </x:c>
      <x:c r="F21" s="25" t="str">
        <x:v>Architecture, procurement, API or data-entry requirement; a KPI cannot establish compliance. Historical v1 status: ℹ️ Feature.</x:v>
      </x:c>
      <x:c r="G21" s="25" t="str">
        <x:v>Retain source-system or project acceptance evidence.</x:v>
      </x:c>
      <x:c r="H21" s="25" t="str">
        <x:v>Original wording/association preserved</x:v>
      </x:c>
      <x:c r="I21" s="25" t="str">
        <x:v>Owner/runtime acceptance pending</x:v>
      </x:c>
    </x:row>
    <x:row r="22" ht="59" customHeight="1">
      <x:c r="A22" s="25" t="str">
        <x:v>R11</x:v>
      </x:c>
      <x:c r="B22" s="25" t="str">
        <x:v>Publish placement requirements to providers</x:v>
      </x:c>
      <x:c r="C22" s="25" t="str">
        <x:v>Partial reporting</x:v>
      </x:c>
      <x:c r="D22" s="25" t="str">
        <x:v>Referral Explorer; Referral Detail; Matching referrals</x:v>
      </x:c>
      <x:c r="E22" s="25" t="str">
        <x:v>No requirement-specific Mission Control delivery asserted.</x:v>
      </x:c>
      <x:c r="F22" s="25" t="str">
        <x:v>The report exposes demand and assignments; it does not publish referrals or place children. Support-needs analysis is not in the WIP model. Historical v1 status: ✅ Implemented.</x:v>
      </x:c>
      <x:c r="G22" s="25" t="str">
        <x:v>Validate explorer results and obtain portal-workflow evidence.</x:v>
      </x:c>
      <x:c r="H22" s="25" t="str">
        <x:v>Original wording/association preserved</x:v>
      </x:c>
      <x:c r="I22" s="25" t="str">
        <x:v>Owner/runtime acceptance pending</x:v>
      </x:c>
    </x:row>
    <x:row r="23" ht="59" customHeight="1">
      <x:c r="A23" s="25" t="str">
        <x:v>R12</x:v>
      </x:c>
      <x:c r="B23" s="25" t="str">
        <x:v>GDPR / DPA 2018 compliance for vulnerable-child data</x:v>
      </x:c>
      <x:c r="C23" s="25" t="str">
        <x:v>Security acceptance pending</x:v>
      </x:c>
      <x:c r="D23" s="25" t="str">
        <x:v>WMPP Dynamic Detail RLS; security mappings; global summary</x:v>
      </x:c>
      <x:c r="E23" s="25" t="str">
        <x:v>No requirement-specific Mission Control delivery asserted.</x:v>
      </x:c>
      <x:c r="F23" s="25" t="str">
        <x:v>Role definitions exist, but authorised identity tests, access provisioning, small-cell disclosure and break-glass controls are not signed off. Historical v1 status: ℹ️ Security.</x:v>
      </x:c>
      <x:c r="G23" s="25" t="str">
        <x:v>Approve mappings and disclosure policy; execute role and Service-access tests.</x:v>
      </x:c>
      <x:c r="H23" s="25" t="str">
        <x:v>Original wording/association preserved</x:v>
      </x:c>
      <x:c r="I23" s="25" t="str">
        <x:v>Owner/runtime acceptance pending</x:v>
      </x:c>
    </x:row>
    <x:row r="24" ht="46" customHeight="1">
      <x:c r="A24" s="25" t="str">
        <x:v>R13</x:v>
      </x:c>
      <x:c r="B24" s="25" t="str">
        <x:v>Filter by specialisms, placement type, placement status</x:v>
      </x:c>
      <x:c r="C24" s="25" t="str">
        <x:v>Built; UAT pending</x:v>
      </x:c>
      <x:c r="D24" s="25" t="str">
        <x:v>Referral Explorer; priority; placement urgency; category and status slicers</x:v>
      </x:c>
      <x:c r="E24" s="25" t="str">
        <x:v>No requirement-specific Mission Control delivery asserted.</x:v>
      </x:c>
      <x:c r="F24" s="25" t="str">
        <x:v>Priority and placement urgency band both remain. Category counts are not additive. Historical v1 status: ✅ Implemented.</x:v>
      </x:c>
      <x:c r="G24" s="25" t="str">
        <x:v>Confirm retained priority field and test combined slicers.</x:v>
      </x:c>
      <x:c r="H24" s="25" t="str">
        <x:v>Original wording/association preserved</x:v>
      </x:c>
      <x:c r="I24" s="25" t="str">
        <x:v>Owner/runtime acceptance pending</x:v>
      </x:c>
    </x:row>
    <x:row r="25" ht="59" customHeight="1">
      <x:c r="A25" s="25" t="str">
        <x:v>R14</x:v>
      </x:c>
      <x:c r="B25" s="25" t="str">
        <x:v>In-system messaging (auditable, prioritised, urgent)</x:v>
      </x:c>
      <x:c r="C25" s="25" t="str">
        <x:v>Partial reporting</x:v>
      </x:c>
      <x:c r="D25" s="25" t="str">
        <x:v>dim_referral_provider_message; lifecycle activity; detail message tables</x:v>
      </x:c>
      <x:c r="E25" s="25" t="str">
        <x:v>No requirement-specific Mission Control delivery asserted.</x:v>
      </x:c>
      <x:c r="F25" s="25" t="str">
        <x:v>Message text and read timestamps are available. Provider authorship, paired response time and unread-priority semantics remain unapproved. Historical v1 status: ❌ Missing.</x:v>
      </x:c>
      <x:c r="G25" s="25" t="str">
        <x:v>Approve author and unread rules before message SLA KPIs.</x:v>
      </x:c>
      <x:c r="H25" s="25" t="str">
        <x:v>Original wording/association preserved</x:v>
      </x:c>
      <x:c r="I25" s="25" t="str">
        <x:v>Owner/runtime acceptance pending</x:v>
      </x:c>
    </x:row>
    <x:row r="26" ht="59" customHeight="1">
      <x:c r="A26" s="25" t="str">
        <x:v>R15</x:v>
      </x:c>
      <x:c r="B26" s="25" t="str">
        <x:v>Digital info &amp; signatures for IPA</x:v>
      </x:c>
      <x:c r="C26" s="25" t="str">
        <x:v>Partial reporting</x:v>
      </x:c>
      <x:c r="D26" s="25" t="str">
        <x:v>fact_ipa; IPA Completed; IPAs Pending Completion; signature flags</x:v>
      </x:c>
      <x:c r="E26" s="25" t="str">
        <x:v>No requirement-specific Mission Control delivery asserted.</x:v>
      </x:c>
      <x:c r="F26" s="25" t="str">
        <x:v>IPA-grain signing is implemented; the report does not perform signing, approval or certify a full audit trail. Historical v1 status: ✅ Implemented.</x:v>
      </x:c>
      <x:c r="G26" s="25" t="str">
        <x:v>Reconcile both signatures on the same IPA, closed unsigned IPAs and multiple IPAs per offer.</x:v>
      </x:c>
      <x:c r="H26" s="25" t="str">
        <x:v>Original wording/association preserved</x:v>
      </x:c>
      <x:c r="I26" s="25" t="str">
        <x:v>Owner/runtime acceptance pending</x:v>
      </x:c>
    </x:row>
    <x:row r="27" ht="46" customHeight="1">
      <x:c r="A27" s="25" t="str">
        <x:v>R16</x:v>
      </x:c>
      <x:c r="B27" s="25" t="str">
        <x:v>Priority information flagged in placement requests</x:v>
      </x:c>
      <x:c r="C27" s="25" t="str">
        <x:v>Built; UAT pending</x:v>
      </x:c>
      <x:c r="D27" s="25" t="str">
        <x:v>Referral Explorer; priority; placement urgency; category and status slicers</x:v>
      </x:c>
      <x:c r="E27" s="25" t="str">
        <x:v>No requirement-specific Mission Control delivery asserted.</x:v>
      </x:c>
      <x:c r="F27" s="25" t="str">
        <x:v>Priority and placement urgency band both remain. Category counts are not additive. Historical v1 status: ℹ️ Feature.</x:v>
      </x:c>
      <x:c r="G27" s="25" t="str">
        <x:v>Confirm retained priority field and test combined slicers.</x:v>
      </x:c>
      <x:c r="H27" s="25" t="str">
        <x:v>Original wording/association preserved</x:v>
      </x:c>
      <x:c r="I27" s="25" t="str">
        <x:v>Owner/runtime acceptance pending</x:v>
      </x:c>
    </x:row>
    <x:row r="28" ht="59" customHeight="1">
      <x:c r="A28" s="25" t="str">
        <x:v>R17</x:v>
      </x:c>
      <x:c r="B28" s="25" t="str">
        <x:v>Placement info immediately available on accept</x:v>
      </x:c>
      <x:c r="C28" s="25" t="str">
        <x:v>Partial reporting</x:v>
      </x:c>
      <x:c r="D28" s="25" t="str">
        <x:v>Referral Explorer; Referral Detail (Drillthrough)</x:v>
      </x:c>
      <x:c r="E28" s="25" t="str">
        <x:v>No requirement-specific Mission Control delivery asserted.</x:v>
      </x:c>
      <x:c r="F28" s="25" t="str">
        <x:v>Read-only detail and journey evidence exist. Immediate portal availability or write workflows are not proven. Historical v1 status: ✅ Implemented.</x:v>
      </x:c>
      <x:c r="G28" s="25" t="str">
        <x:v>Test referral drillthrough with known records and confirm portal workflow.</x:v>
      </x:c>
      <x:c r="H28" s="25" t="str">
        <x:v>Original wording/association preserved</x:v>
      </x:c>
      <x:c r="I28" s="25" t="str">
        <x:v>Owner/runtime acceptance pending</x:v>
      </x:c>
    </x:row>
    <x:row r="29" ht="59" customHeight="1">
      <x:c r="A29" s="25" t="str">
        <x:v>R18</x:v>
      </x:c>
      <x:c r="B29" s="25" t="str">
        <x:v>Emergency placements: same-day, distinct ID, separate reporting &amp; finance</x:v>
      </x:c>
      <x:c r="C29" s="25" t="str">
        <x:v>Partial reporting</x:v>
      </x:c>
      <x:c r="D29" s="25" t="str">
        <x:v>Emergency Referrals; Planned Referrals; Emergency Placement Rate</x:v>
      </x:c>
      <x:c r="E29" s="25" t="str">
        <x:v>No requirement-specific Mission Control delivery asserted.</x:v>
      </x:c>
      <x:c r="F29" s="25" t="str">
        <x:v>Emergency uses the Gold same-day-date rule on OPEN/UNDER_OFFER referrals, not a statutory emergency source classification or spot status. Historical v1 status: ❌ Missing.</x:v>
      </x:c>
      <x:c r="G29" s="25" t="str">
        <x:v>Approve emergency definition and finance categorisation; test missing and reversed dates.</x:v>
      </x:c>
      <x:c r="H29" s="25" t="str">
        <x:v>Original wording/association preserved</x:v>
      </x:c>
      <x:c r="I29" s="25" t="str">
        <x:v>Owner/runtime acceptance pending</x:v>
      </x:c>
    </x:row>
    <x:row r="30" ht="59" customHeight="1">
      <x:c r="A30" s="25" t="str">
        <x:v>R19</x:v>
      </x:c>
      <x:c r="B30" s="25" t="str">
        <x:v>Update referrals; auto-notify providers</x:v>
      </x:c>
      <x:c r="C30" s="25" t="str">
        <x:v>Partial reporting</x:v>
      </x:c>
      <x:c r="D30" s="25" t="str">
        <x:v>fact_referral_lifecycle_event; Referral Lifecycle Events; Referral Detail journey</x:v>
      </x:c>
      <x:c r="E30" s="25" t="str">
        <x:v>No requirement-specific Mission Control delivery asserted.</x:v>
      </x:c>
      <x:c r="F30" s="25" t="str">
        <x:v>Derived lifecycle events do not provide durable full audit history, exact signature events or notification delivery. Historical v1 status: ❌ Missing.</x:v>
      </x:c>
      <x:c r="G30" s="25" t="str">
        <x:v>Confirm event coverage; source durable changes and notification outcomes.</x:v>
      </x:c>
      <x:c r="H30" s="25" t="str">
        <x:v>Original wording/association preserved</x:v>
      </x:c>
      <x:c r="I30" s="25" t="str">
        <x:v>Owner/runtime acceptance pending</x:v>
      </x:c>
    </x:row>
    <x:row r="31" ht="98" customHeight="1">
      <x:c r="A31" s="25" t="str">
        <x:v>R20</x:v>
      </x:c>
      <x:c r="B31" s="25" t="str">
        <x:v>Full audit tracking (placements, IPA, signatures, approvals, negotiations)</x:v>
      </x:c>
      <x:c r="C31" s="25" t="str">
        <x:v>Partial reporting</x:v>
      </x:c>
      <x:c r="D31" s="25" t="str">
        <x:v>fact_referral_lifecycle_event; Referral Lifecycle Events; Referral Detail journey</x:v>
      </x:c>
      <x:c r="E31" s="25" t="str">
        <x:v>Operational context only: Pipeline/job execution is not the business placement, signature or notification audit trail.</x:v>
      </x:c>
      <x:c r="F31" s="25" t="str">
        <x:v>Derived lifecycle events do not provide durable full audit history, exact signature events or notification delivery. Mission Control: Operational context only. Pipeline/job execution is not the business placement, signature or notification audit trail. Historical v1 status: ❌ Missing.</x:v>
      </x:c>
      <x:c r="G31" s="25" t="str">
        <x:v>Confirm event coverage; source durable changes and notification outcomes. Validate the Mission Control measures and page filters against known runs; proposed R-to-operational-measure association requires owner approval.</x:v>
      </x:c>
      <x:c r="H31" s="25" t="str">
        <x:v>Original wording/association preserved</x:v>
      </x:c>
      <x:c r="I31" s="25" t="str">
        <x:v>Owner/runtime acceptance pending</x:v>
      </x:c>
    </x:row>
    <x:row r="32" ht="59" customHeight="1">
      <x:c r="A32" s="25" t="str">
        <x:v>R21</x:v>
      </x:c>
      <x:c r="B32" s="25" t="str">
        <x:v>Auto-notify unsuccessful providers; optional rejection feedback</x:v>
      </x:c>
      <x:c r="C32" s="25" t="str">
        <x:v>Outside report assessment</x:v>
      </x:c>
      <x:c r="D32" s="25" t="str">
        <x:v>Functional Specification; source portal workflow</x:v>
      </x:c>
      <x:c r="E32" s="25" t="str">
        <x:v>No requirement-specific Mission Control delivery asserted.</x:v>
      </x:c>
      <x:c r="F32" s="25" t="str">
        <x:v>Read-only reporting cannot implement notifications, matching, upload, record editing or operational visibility rules. Historical v1 status: ℹ️ Feature.</x:v>
      </x:c>
      <x:c r="G32" s="25" t="str">
        <x:v>Obtain source-system workflow acceptance separately.</x:v>
      </x:c>
      <x:c r="H32" s="25" t="str">
        <x:v>Original wording/association preserved</x:v>
      </x:c>
      <x:c r="I32" s="25" t="str">
        <x:v>Owner/runtime acceptance pending</x:v>
      </x:c>
    </x:row>
    <x:row r="33" ht="72" customHeight="1">
      <x:c r="A33" s="25" t="str">
        <x:v>R22</x:v>
      </x:c>
      <x:c r="B33" s="25" t="str">
        <x:v>Out-of-region placements tagged; finance informed</x:v>
      </x:c>
      <x:c r="C33" s="25" t="str">
        <x:v>Open data gap</x:v>
      </x:c>
      <x:c r="D33" s="25" t="str">
        <x:v>Referral map; Offer Locations</x:v>
      </x:c>
      <x:c r="E33" s="25" t="str">
        <x:v>No requirement-specific Mission Control delivery asserted.</x:v>
      </x:c>
      <x:c r="F33" s="25" t="str">
        <x:v>Provider/home postcode and preferred-city distance are not referral-origin or placement-region evidence. Multiple provider assignments is not out-of-region placement. Historical v1 status: ❌ Missing.</x:v>
      </x:c>
      <x:c r="G33" s="25" t="str">
        <x:v>Obtain governed origin/destination region and an approved out-of-region rule.</x:v>
      </x:c>
      <x:c r="H33" s="25" t="str">
        <x:v>Original wording/association preserved</x:v>
      </x:c>
      <x:c r="I33" s="25" t="str">
        <x:v>Owner/runtime acceptance pending</x:v>
      </x:c>
    </x:row>
    <x:row r="34" ht="72" customHeight="1">
      <x:c r="A34" s="25" t="str">
        <x:v>R24</x:v>
      </x:c>
      <x:c r="B34" s="25" t="str">
        <x:v>Dashboard: status overview, provider updates, task mgmt, quick updates</x:v>
      </x:c>
      <x:c r="C34" s="25" t="str">
        <x:v>Partial reporting</x:v>
      </x:c>
      <x:c r="D34" s="25" t="str">
        <x:v>Referrals; Referral Explorer; stage filters; Referral Detail</x:v>
      </x:c>
      <x:c r="E34" s="25" t="str">
        <x:v>No requirement-specific Mission Control delivery asserted.</x:v>
      </x:c>
      <x:c r="F34" s="25" t="str">
        <x:v>Status, engagement and journey reporting are built. Task management and quick updates are portal functions; newest journey rendering/clicks remain unverified. Historical v1 status: ✅ Implemented.</x:v>
      </x:c>
      <x:c r="G34" s="25" t="str">
        <x:v>Refresh WIP; test stage selectors, filters and drillthrough; review portal tasks separately.</x:v>
      </x:c>
      <x:c r="H34" s="25" t="str">
        <x:v>Original wording/association preserved</x:v>
      </x:c>
      <x:c r="I34" s="25" t="str">
        <x:v>Owner/runtime acceptance pending</x:v>
      </x:c>
    </x:row>
    <x:row r="35" ht="59" customHeight="1">
      <x:c r="A35" s="25" t="str">
        <x:v>R25</x:v>
      </x:c>
      <x:c r="B35" s="25" t="str">
        <x:v>Quickly review detailed placement requests</x:v>
      </x:c>
      <x:c r="C35" s="25" t="str">
        <x:v>Partial reporting</x:v>
      </x:c>
      <x:c r="D35" s="25" t="str">
        <x:v>Referral Explorer; Referral Detail (Drillthrough)</x:v>
      </x:c>
      <x:c r="E35" s="25" t="str">
        <x:v>No requirement-specific Mission Control delivery asserted.</x:v>
      </x:c>
      <x:c r="F35" s="25" t="str">
        <x:v>Read-only detail and journey evidence exist. Immediate portal availability or write workflows are not proven. Historical v1 status: ✅ Implemented.</x:v>
      </x:c>
      <x:c r="G35" s="25" t="str">
        <x:v>Test referral drillthrough with known records and confirm portal workflow.</x:v>
      </x:c>
      <x:c r="H35" s="25" t="str">
        <x:v>Original wording/association preserved</x:v>
      </x:c>
      <x:c r="I35" s="25" t="str">
        <x:v>Owner/runtime acceptance pending</x:v>
      </x:c>
    </x:row>
    <x:row r="36" ht="59" customHeight="1">
      <x:c r="A36" s="25" t="str">
        <x:v>R26</x:v>
      </x:c>
      <x:c r="B36" s="25" t="str">
        <x:v>Prioritise by match suitability, SOP, existing placements</x:v>
      </x:c>
      <x:c r="C36" s="25" t="str">
        <x:v>Partial reporting</x:v>
      </x:c>
      <x:c r="D36" s="25" t="str">
        <x:v>Provider Explorer; provider journey; home/category bridge</x:v>
      </x:c>
      <x:c r="E36" s="25" t="str">
        <x:v>No requirement-specific Mission Control delivery asserted.</x:v>
      </x:c>
      <x:c r="F36" s="25" t="str">
        <x:v>Provider and offer analysis exists; no approved suitability score or automatic matching algorithm is implemented. Historical v1 status: ✅ Implemented.</x:v>
      </x:c>
      <x:c r="G36" s="25" t="str">
        <x:v>Validate provider cohort attribution and agree any scoring policy.</x:v>
      </x:c>
      <x:c r="H36" s="25" t="str">
        <x:v>Original wording/association preserved</x:v>
      </x:c>
      <x:c r="I36" s="25" t="str">
        <x:v>Owner/runtime acceptance pending</x:v>
      </x:c>
    </x:row>
    <x:row r="37" ht="59" customHeight="1">
      <x:c r="A37" s="25" t="str">
        <x:v>R27</x:v>
      </x:c>
      <x:c r="B37" s="25" t="str">
        <x:v>Request additional info, raise queries, see responses</x:v>
      </x:c>
      <x:c r="C37" s="25" t="str">
        <x:v>Partial reporting</x:v>
      </x:c>
      <x:c r="D37" s="25" t="str">
        <x:v>dim_referral_provider_message; lifecycle activity; detail message tables</x:v>
      </x:c>
      <x:c r="E37" s="25" t="str">
        <x:v>No requirement-specific Mission Control delivery asserted.</x:v>
      </x:c>
      <x:c r="F37" s="25" t="str">
        <x:v>Message text and read timestamps are available. Provider authorship, paired response time and unread-priority semantics remain unapproved. Historical v1 status: ℹ️ Feature.</x:v>
      </x:c>
      <x:c r="G37" s="25" t="str">
        <x:v>Approve author and unread rules before message SLA KPIs.</x:v>
      </x:c>
      <x:c r="H37" s="25" t="str">
        <x:v>Original wording/association preserved</x:v>
      </x:c>
      <x:c r="I37" s="25" t="str">
        <x:v>Owner/runtime acceptance pending</x:v>
      </x:c>
    </x:row>
    <x:row r="38" ht="59" customHeight="1">
      <x:c r="A38" s="25" t="str">
        <x:v>R28</x:v>
      </x:c>
      <x:c r="B38" s="25" t="str">
        <x:v>Accept / reject / request further info</x:v>
      </x:c>
      <x:c r="C38" s="25" t="str">
        <x:v>Partial reporting</x:v>
      </x:c>
      <x:c r="D38" s="25" t="str">
        <x:v>Offers Overview; Accepted Offers; Provider Detail</x:v>
      </x:c>
      <x:c r="E38" s="25" t="str">
        <x:v>No requirement-specific Mission Control delivery asserted.</x:v>
      </x:c>
      <x:c r="F38" s="25" t="str">
        <x:v>Offer decisions are reportable. Accept/reject/request-information actions are not performed by Power BI. Historical v1 status: ✅ Implemented.</x:v>
      </x:c>
      <x:c r="G38" s="25" t="str">
        <x:v>Reconcile offer statuses and test the source workflow.</x:v>
      </x:c>
      <x:c r="H38" s="25" t="str">
        <x:v>Original wording/association preserved</x:v>
      </x:c>
      <x:c r="I38" s="25" t="str">
        <x:v>Owner/runtime acceptance pending</x:v>
      </x:c>
    </x:row>
    <x:row r="39" ht="59" customHeight="1">
      <x:c r="A39" s="25" t="str">
        <x:v>R29</x:v>
      </x:c>
      <x:c r="B39" s="25" t="str">
        <x:v>Streamlined offer process</x:v>
      </x:c>
      <x:c r="C39" s="25" t="str">
        <x:v>Outside report assessment</x:v>
      </x:c>
      <x:c r="D39" s="25" t="str">
        <x:v>Functional Specification; source portal workflow</x:v>
      </x:c>
      <x:c r="E39" s="25" t="str">
        <x:v>No requirement-specific Mission Control delivery asserted.</x:v>
      </x:c>
      <x:c r="F39" s="25" t="str">
        <x:v>Read-only reporting cannot implement notifications, matching, upload, record editing or operational visibility rules. Historical v1 status: ℹ️ Feature.</x:v>
      </x:c>
      <x:c r="G39" s="25" t="str">
        <x:v>Obtain source-system workflow acceptance separately.</x:v>
      </x:c>
      <x:c r="H39" s="25" t="str">
        <x:v>Original wording/association preserved</x:v>
      </x:c>
      <x:c r="I39" s="25" t="str">
        <x:v>Owner/runtime acceptance pending</x:v>
      </x:c>
    </x:row>
    <x:row r="40" ht="59" customHeight="1">
      <x:c r="A40" s="25" t="str">
        <x:v>R31</x:v>
      </x:c>
      <x:c r="B40" s="25" t="str">
        <x:v>Resolved requests auto-removed from provider views</x:v>
      </x:c>
      <x:c r="C40" s="25" t="str">
        <x:v>Outside report assessment</x:v>
      </x:c>
      <x:c r="D40" s="25" t="str">
        <x:v>Functional Specification; source portal workflow</x:v>
      </x:c>
      <x:c r="E40" s="25" t="str">
        <x:v>No requirement-specific Mission Control delivery asserted.</x:v>
      </x:c>
      <x:c r="F40" s="25" t="str">
        <x:v>Read-only reporting cannot implement notifications, matching, upload, record editing or operational visibility rules. Historical v1 status: ❌ Missing.</x:v>
      </x:c>
      <x:c r="G40" s="25" t="str">
        <x:v>Obtain source-system workflow acceptance separately.</x:v>
      </x:c>
      <x:c r="H40" s="25" t="str">
        <x:v>Original wording/association preserved</x:v>
      </x:c>
      <x:c r="I40" s="25" t="str">
        <x:v>Owner/runtime acceptance pending</x:v>
      </x:c>
    </x:row>
    <x:row r="41" ht="59" customHeight="1">
      <x:c r="A41" s="25" t="str">
        <x:v>R32</x:v>
      </x:c>
      <x:c r="B41" s="25" t="str">
        <x:v>Matching by SOP and care specialisms</x:v>
      </x:c>
      <x:c r="C41" s="25" t="str">
        <x:v>Outside report assessment</x:v>
      </x:c>
      <x:c r="D41" s="25" t="str">
        <x:v>Functional Specification; source portal workflow</x:v>
      </x:c>
      <x:c r="E41" s="25" t="str">
        <x:v>No requirement-specific Mission Control delivery asserted.</x:v>
      </x:c>
      <x:c r="F41" s="25" t="str">
        <x:v>Read-only reporting cannot implement notifications, matching, upload, record editing or operational visibility rules. Historical v1 status: ℹ️ Feature.</x:v>
      </x:c>
      <x:c r="G41" s="25" t="str">
        <x:v>Obtain source-system workflow acceptance separately.</x:v>
      </x:c>
      <x:c r="H41" s="25" t="str">
        <x:v>Original wording/association preserved</x:v>
      </x:c>
      <x:c r="I41" s="25" t="str">
        <x:v>Owner/runtime acceptance pending</x:v>
      </x:c>
    </x:row>
    <x:row r="42" ht="59" customHeight="1">
      <x:c r="A42" s="25" t="str">
        <x:v>R33</x:v>
      </x:c>
      <x:c r="B42" s="25" t="str">
        <x:v>Upload and manage placement documentation</x:v>
      </x:c>
      <x:c r="C42" s="25" t="str">
        <x:v>Outside report assessment</x:v>
      </x:c>
      <x:c r="D42" s="25" t="str">
        <x:v>Functional Specification; source portal workflow</x:v>
      </x:c>
      <x:c r="E42" s="25" t="str">
        <x:v>No requirement-specific Mission Control delivery asserted.</x:v>
      </x:c>
      <x:c r="F42" s="25" t="str">
        <x:v>Read-only reporting cannot implement notifications, matching, upload, record editing or operational visibility rules. Historical v1 status: ℹ️ Feature.</x:v>
      </x:c>
      <x:c r="G42" s="25" t="str">
        <x:v>Obtain source-system workflow acceptance separately.</x:v>
      </x:c>
      <x:c r="H42" s="25" t="str">
        <x:v>Original wording/association preserved</x:v>
      </x:c>
      <x:c r="I42" s="25" t="str">
        <x:v>Owner/runtime acceptance pending</x:v>
      </x:c>
    </x:row>
    <x:row r="43" ht="59" customHeight="1">
      <x:c r="A43" s="25" t="str">
        <x:v>R34</x:v>
      </x:c>
      <x:c r="B43" s="25" t="str">
        <x:v>Emergency referrals identifiable and prioritised</x:v>
      </x:c>
      <x:c r="C43" s="25" t="str">
        <x:v>Partial reporting</x:v>
      </x:c>
      <x:c r="D43" s="25" t="str">
        <x:v>Emergency Referrals; Planned Referrals; Emergency Placement Rate</x:v>
      </x:c>
      <x:c r="E43" s="25" t="str">
        <x:v>No requirement-specific Mission Control delivery asserted.</x:v>
      </x:c>
      <x:c r="F43" s="25" t="str">
        <x:v>Emergency uses the Gold same-day-date rule on OPEN/UNDER_OFFER referrals, not a statutory emergency source classification or spot status. Historical v1 status: ❌ Missing.</x:v>
      </x:c>
      <x:c r="G43" s="25" t="str">
        <x:v>Approve emergency definition and finance categorisation; test missing and reversed dates.</x:v>
      </x:c>
      <x:c r="H43" s="25" t="str">
        <x:v>Original wording/association preserved</x:v>
      </x:c>
      <x:c r="I43" s="25" t="str">
        <x:v>Owner/runtime acceptance pending</x:v>
      </x:c>
    </x:row>
    <x:row r="44" ht="59" customHeight="1">
      <x:c r="A44" s="25" t="str">
        <x:v>R35</x:v>
      </x:c>
      <x:c r="B44" s="25" t="str">
        <x:v>Digitised IPA (review, approvals, signing, audit)</x:v>
      </x:c>
      <x:c r="C44" s="25" t="str">
        <x:v>Partial reporting</x:v>
      </x:c>
      <x:c r="D44" s="25" t="str">
        <x:v>fact_ipa; IPA Completed; IPAs Pending Completion; signature flags</x:v>
      </x:c>
      <x:c r="E44" s="25" t="str">
        <x:v>No requirement-specific Mission Control delivery asserted.</x:v>
      </x:c>
      <x:c r="F44" s="25" t="str">
        <x:v>IPA-grain signing is implemented; the report does not perform signing, approval or certify a full audit trail. Historical v1 status: ✅ Implemented.</x:v>
      </x:c>
      <x:c r="G44" s="25" t="str">
        <x:v>Reconcile both signatures on the same IPA, closed unsigned IPAs and multiple IPAs per offer.</x:v>
      </x:c>
      <x:c r="H44" s="25" t="str">
        <x:v>Original wording/association preserved</x:v>
      </x:c>
      <x:c r="I44" s="25" t="str">
        <x:v>Owner/runtime acceptance pending</x:v>
      </x:c>
    </x:row>
    <x:row r="45" ht="46" customHeight="1">
      <x:c r="A45" s="25" t="str">
        <x:v>R36</x:v>
      </x:c>
      <x:c r="B45" s="25" t="str">
        <x:v>Dedicated view: referrals with outstanding offers / open offers</x:v>
      </x:c>
      <x:c r="C45" s="25" t="str">
        <x:v>Built; UAT pending</x:v>
      </x:c>
      <x:c r="D45" s="25" t="str">
        <x:v>Provider Explorer; offer/status tables; Pending Offers</x:v>
      </x:c>
      <x:c r="E45" s="25" t="str">
        <x:v>No requirement-specific Mission Control delivery asserted.</x:v>
      </x:c>
      <x:c r="F45" s="25" t="str">
        <x:v>Pending/open offer views and provider filters are built; runtime reconciliation remains outstanding. Historical v1 status: ✅ Implemented.</x:v>
      </x:c>
      <x:c r="G45" s="25" t="str">
        <x:v>Check provider, home and status filters against known offers.</x:v>
      </x:c>
      <x:c r="H45" s="25" t="str">
        <x:v>Original wording/association preserved</x:v>
      </x:c>
      <x:c r="I45" s="25" t="str">
        <x:v>Owner/runtime acceptance pending</x:v>
      </x:c>
    </x:row>
    <x:row r="46" ht="59" customHeight="1">
      <x:c r="A46" s="25" t="str">
        <x:v>R38</x:v>
      </x:c>
      <x:c r="B46" s="25" t="str">
        <x:v>Record QA assessment outcomes against providers</x:v>
      </x:c>
      <x:c r="C46" s="25" t="str">
        <x:v>Outside report assessment</x:v>
      </x:c>
      <x:c r="D46" s="25" t="str">
        <x:v>Functional Specification; source portal workflow</x:v>
      </x:c>
      <x:c r="E46" s="25" t="str">
        <x:v>No requirement-specific Mission Control delivery asserted.</x:v>
      </x:c>
      <x:c r="F46" s="25" t="str">
        <x:v>Read-only reporting cannot implement notifications, matching, upload, record editing or operational visibility rules. Historical v1 status: ℹ️ Data entry.</x:v>
      </x:c>
      <x:c r="G46" s="25" t="str">
        <x:v>Obtain source-system workflow acceptance separately.</x:v>
      </x:c>
      <x:c r="H46" s="25" t="str">
        <x:v>Original wording/association preserved</x:v>
      </x:c>
      <x:c r="I46" s="25" t="str">
        <x:v>Owner/runtime acceptance pending</x:v>
      </x:c>
    </x:row>
    <x:row r="47" ht="59" customHeight="1">
      <x:c r="A47" s="25" t="str">
        <x:v>R39</x:v>
      </x:c>
      <x:c r="B47" s="25" t="str">
        <x:v>Desk-based research; identify missing documentation</x:v>
      </x:c>
      <x:c r="C47" s="25" t="str">
        <x:v>Outside report assessment</x:v>
      </x:c>
      <x:c r="D47" s="25" t="str">
        <x:v>Functional Specification; source portal workflow</x:v>
      </x:c>
      <x:c r="E47" s="25" t="str">
        <x:v>No requirement-specific Mission Control delivery asserted.</x:v>
      </x:c>
      <x:c r="F47" s="25" t="str">
        <x:v>Read-only reporting cannot implement notifications, matching, upload, record editing or operational visibility rules. Historical v1 status: ℹ️ Feature.</x:v>
      </x:c>
      <x:c r="G47" s="25" t="str">
        <x:v>Obtain source-system workflow acceptance separately.</x:v>
      </x:c>
      <x:c r="H47" s="25" t="str">
        <x:v>Original wording/association preserved</x:v>
      </x:c>
      <x:c r="I47" s="25" t="str">
        <x:v>Owner/runtime acceptance pending</x:v>
      </x:c>
    </x:row>
    <x:row r="48" ht="46" customHeight="1">
      <x:c r="A48" s="25" t="str">
        <x:v>R41</x:v>
      </x:c>
      <x:c r="B48" s="25" t="str">
        <x:v>Apply advisory notices and flags (information notices, safeguarding)</x:v>
      </x:c>
      <x:c r="C48" s="25" t="str">
        <x:v>Partial reporting</x:v>
      </x:c>
      <x:c r="D48" s="25" t="str">
        <x:v>Providers With QA Flags; QA Flagged Homes; provider detail</x:v>
      </x:c>
      <x:c r="E48" s="25" t="str">
        <x:v>No requirement-specific Mission Control delivery asserted.</x:v>
      </x:c>
      <x:c r="F48" s="25" t="str">
        <x:v>Current flags are reportable. Historical flag types and application/removal workflow are not proven. Historical v1 status: ❌ Missing.</x:v>
      </x:c>
      <x:c r="G48" s="25" t="str">
        <x:v>Confirm flag scope and obtain historical classification and portal evidence.</x:v>
      </x:c>
      <x:c r="H48" s="25" t="str">
        <x:v>Original wording/association preserved</x:v>
      </x:c>
      <x:c r="I48" s="25" t="str">
        <x:v>Owner/runtime acceptance pending</x:v>
      </x:c>
    </x:row>
    <x:row r="49" ht="59" customHeight="1">
      <x:c r="A49" s="25" t="str">
        <x:v>R45</x:v>
      </x:c>
      <x:c r="B49" s="25" t="str">
        <x:v>SPOT providers upload registration documentation</x:v>
      </x:c>
      <x:c r="C49" s="25" t="str">
        <x:v>Outside report assessment</x:v>
      </x:c>
      <x:c r="D49" s="25" t="str">
        <x:v>Functional Specification; source portal workflow</x:v>
      </x:c>
      <x:c r="E49" s="25" t="str">
        <x:v>No requirement-specific Mission Control delivery asserted.</x:v>
      </x:c>
      <x:c r="F49" s="25" t="str">
        <x:v>Read-only reporting cannot implement notifications, matching, upload, record editing or operational visibility rules. Historical v1 status: ℹ️ Feature.</x:v>
      </x:c>
      <x:c r="G49" s="25" t="str">
        <x:v>Obtain source-system workflow acceptance separately.</x:v>
      </x:c>
      <x:c r="H49" s="25" t="str">
        <x:v>Original wording/association preserved</x:v>
      </x:c>
      <x:c r="I49" s="25" t="str">
        <x:v>Owner/runtime acceptance pending</x:v>
      </x:c>
    </x:row>
    <x:row r="50" ht="59" customHeight="1">
      <x:c r="A50" s="25" t="str">
        <x:v>R46</x:v>
      </x:c>
      <x:c r="B50" s="25" t="str">
        <x:v>QA intelligence for non-framework providers shared appropriately</x:v>
      </x:c>
      <x:c r="C50" s="25" t="str">
        <x:v>Partial reporting</x:v>
      </x:c>
      <x:c r="D50" s="25" t="str">
        <x:v>Non-Framework Providers; Provider Explorer; provider detail</x:v>
      </x:c>
      <x:c r="E50" s="25" t="str">
        <x:v>No requirement-specific Mission Control delivery asserted.</x:v>
      </x:c>
      <x:c r="F50" s="25" t="str">
        <x:v>Non-framework visibility exists; cross-organisation QA sharing requires role and disclosure acceptance. Historical v1 status: ✅ Implemented.</x:v>
      </x:c>
      <x:c r="G50" s="25" t="str">
        <x:v>Test provider scope and authorised sharing.</x:v>
      </x:c>
      <x:c r="H50" s="25" t="str">
        <x:v>Original wording/association preserved</x:v>
      </x:c>
      <x:c r="I50" s="25" t="str">
        <x:v>Owner/runtime acceptance pending</x:v>
      </x:c>
    </x:row>
    <x:row r="51" ht="59" customHeight="1">
      <x:c r="A51" s="25" t="str">
        <x:v>R47</x:v>
      </x:c>
      <x:c r="B51" s="25" t="str">
        <x:v>Monitor documentation expiry; send reminders; highlight missing</x:v>
      </x:c>
      <x:c r="C51" s="25" t="str">
        <x:v>Partial reporting</x:v>
      </x:c>
      <x:c r="D51" s="25" t="str">
        <x:v>Provider Explorer/Detail home document register; expiry counts and per-document expired_docs flag</x:v>
      </x:c>
      <x:c r="E51" s="25" t="str">
        <x:v>No requirement-specific Mission Control delivery asserted.</x:v>
      </x:c>
      <x:c r="F51" s="25" t="str">
        <x:v>Home NO_JOIN/model relationship conflict unresolved. Required-document denominator, reminders, permissions and referral blocking not established.</x:v>
      </x:c>
      <x:c r="G51" s="25" t="str">
        <x:v>Data owner to validate home attribution and required documents; run refresh, provider/home and role UAT.</x:v>
      </x:c>
      <x:c r="H51" s="25" t="str">
        <x:v>Original wording/association preserved</x:v>
      </x:c>
      <x:c r="I51" s="25" t="str">
        <x:v>Owner/runtime acceptance pending</x:v>
      </x:c>
    </x:row>
    <x:row r="52" ht="59" customHeight="1">
      <x:c r="A52" s="25" t="str">
        <x:v>R48</x:v>
      </x:c>
      <x:c r="B52" s="25" t="str">
        <x:v>Providers with incomplete docs excluded from referrals</x:v>
      </x:c>
      <x:c r="C52" s="25" t="str">
        <x:v>Open data gap</x:v>
      </x:c>
      <x:c r="D52" s="25" t="str">
        <x:v>Provider Explorer/Detail home document register; expiry counts and per-document expired_docs flag</x:v>
      </x:c>
      <x:c r="E52" s="25" t="str">
        <x:v>No requirement-specific Mission Control delivery asserted.</x:v>
      </x:c>
      <x:c r="F52" s="25" t="str">
        <x:v>Home NO_JOIN/model relationship conflict unresolved. Required-document denominator, reminders, permissions and referral blocking not established.</x:v>
      </x:c>
      <x:c r="G52" s="25" t="str">
        <x:v>Data owner to validate home attribution and required documents; run refresh, provider/home and role UAT.</x:v>
      </x:c>
      <x:c r="H52" s="25" t="str">
        <x:v>Original wording/association preserved</x:v>
      </x:c>
      <x:c r="I52" s="25" t="str">
        <x:v>Owner/runtime acceptance pending</x:v>
      </x:c>
    </x:row>
    <x:row r="53" ht="59" customHeight="1">
      <x:c r="A53" s="25" t="str">
        <x:v>R49</x:v>
      </x:c>
      <x:c r="B53" s="25" t="str">
        <x:v>Easily identify provider due diligence status</x:v>
      </x:c>
      <x:c r="C53" s="25" t="str">
        <x:v>Partial reporting</x:v>
      </x:c>
      <x:c r="D53" s="25" t="str">
        <x:v>Providers Pending Onboarding; Providers Approved; Provider Onboarding Success Rate</x:v>
      </x:c>
      <x:c r="E53" s="25" t="str">
        <x:v>No requirement-specific Mission Control delivery asserted.</x:v>
      </x:c>
      <x:c r="F53" s="25" t="str">
        <x:v>Current provider approval state is reportable; it does not certify due diligence, bulk-job success or registration workflow. Historical v1 status: ❌ Missing.</x:v>
      </x:c>
      <x:c r="G53" s="25" t="str">
        <x:v>Approve proxy label and obtain workflow/compliance evidence.</x:v>
      </x:c>
      <x:c r="H53" s="25" t="str">
        <x:v>Original wording/association preserved</x:v>
      </x:c>
      <x:c r="I53" s="25" t="str">
        <x:v>Owner/runtime acceptance pending</x:v>
      </x:c>
    </x:row>
    <x:row r="54" ht="59" customHeight="1">
      <x:c r="A54" s="25" t="str">
        <x:v>R51</x:v>
      </x:c>
      <x:c r="B54" s="25" t="str">
        <x:v>Robust data model: placement records, market intelligence, value analysis</x:v>
      </x:c>
      <x:c r="C54" s="25" t="str">
        <x:v>Built; UAT pending</x:v>
      </x:c>
      <x:c r="D54" s="25" t="str">
        <x:v>58-table WIP model; 366 measures; Overall Performance; explorers; snapshots</x:v>
      </x:c>
      <x:c r="E54" s="25" t="str">
        <x:v>No requirement-specific Mission Control delivery asserted.</x:v>
      </x:c>
      <x:c r="F54" s="25" t="str">
        <x:v>Saved-file definitions exist. Full refreshed DAX reconciliation, data completeness and business acceptance remain open. Historical v1 status: ✅ Implemented.</x:v>
      </x:c>
      <x:c r="G54" s="25" t="str">
        <x:v>Run refresh, data-quality, cohort, snapshot and role reconciliation before release.</x:v>
      </x:c>
      <x:c r="H54" s="25" t="str">
        <x:v>Original wording/association preserved</x:v>
      </x:c>
      <x:c r="I54" s="25" t="str">
        <x:v>Owner/runtime acceptance pending</x:v>
      </x:c>
    </x:row>
    <x:row r="55" ht="59" customHeight="1">
      <x:c r="A55" s="25" t="str">
        <x:v>R52</x:v>
      </x:c>
      <x:c r="B55" s="25" t="str">
        <x:v>Accurate and customisable reporting</x:v>
      </x:c>
      <x:c r="C55" s="25" t="str">
        <x:v>Built; UAT pending</x:v>
      </x:c>
      <x:c r="D55" s="25" t="str">
        <x:v>58-table WIP model; 366 measures; Overall Performance; explorers; snapshots</x:v>
      </x:c>
      <x:c r="E55" s="25" t="str">
        <x:v>No requirement-specific Mission Control delivery asserted.</x:v>
      </x:c>
      <x:c r="F55" s="25" t="str">
        <x:v>Saved-file definitions exist. Full refreshed DAX reconciliation, data completeness and business acceptance remain open. Historical v1 status: ✅ Implemented.</x:v>
      </x:c>
      <x:c r="G55" s="25" t="str">
        <x:v>Run refresh, data-quality, cohort, snapshot and role reconciliation before release.</x:v>
      </x:c>
      <x:c r="H55" s="25" t="str">
        <x:v>Original wording/association preserved</x:v>
      </x:c>
      <x:c r="I55" s="25" t="str">
        <x:v>Owner/runtime acceptance pending</x:v>
      </x:c>
    </x:row>
    <x:row r="56" ht="111" customHeight="1">
      <x:c r="A56" s="25" t="str">
        <x:v>R53</x:v>
      </x:c>
      <x:c r="B56" s="25" t="str">
        <x:v>Data consistent, exportable, supports bespoke analysis</x:v>
      </x:c>
      <x:c r="C56" s="25" t="str">
        <x:v>Built; UAT pending</x:v>
      </x:c>
      <x:c r="D56" s="25" t="str">
        <x:v>58-table WIP model; 366 measures; Overall Performance; explorers; snapshots</x:v>
      </x:c>
      <x:c r="E56" s="25" t="str">
        <x:v>Partial operational support: DQ results, rejected keys, lineage and load metrics support consistency; export rights and reconciliation still need acceptance.</x:v>
      </x:c>
      <x:c r="F56" s="25" t="str">
        <x:v>Saved-file definitions exist. Full refreshed DAX reconciliation, data completeness and business acceptance remain open. Mission Control: Partial operational support. DQ results, rejected keys, lineage and load metrics support consistency; export rights and reconciliation still need acceptance. Historical v1 status: ✅ Implemented.</x:v>
      </x:c>
      <x:c r="G56" s="25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H56" s="25" t="str">
        <x:v>Original wording/association preserved</x:v>
      </x:c>
      <x:c r="I56" s="25" t="str">
        <x:v>Owner/runtime acceptance pending</x:v>
      </x:c>
    </x:row>
    <x:row r="57" ht="59" customHeight="1">
      <x:c r="A57" s="25" t="str">
        <x:v>R54</x:v>
      </x:c>
      <x:c r="B57" s="25" t="str">
        <x:v>Capture reasons for declined placements</x:v>
      </x:c>
      <x:c r="C57" s="25" t="str">
        <x:v>Partial reporting</x:v>
      </x:c>
      <x:c r="D57" s="25" t="str">
        <x:v>dim_referral_provider_reject_reason; fact_offer[rejection_reason]; Provider Declines</x:v>
      </x:c>
      <x:c r="E57" s="25" t="str">
        <x:v>No requirement-specific Mission Control delivery asserted.</x:v>
      </x:c>
      <x:c r="F57" s="25" t="str">
        <x:v>Current assignment-level decline/cancellation reasons are present. Complete immutable reason history and business attribution are not established. Historical v1 status: ⚠️ Partial.</x:v>
      </x:c>
      <x:c r="G57" s="25" t="str">
        <x:v>Validate reason completeness, joins and historical coverage; agree classifications.</x:v>
      </x:c>
      <x:c r="H57" s="25" t="str">
        <x:v>Original wording/association preserved</x:v>
      </x:c>
      <x:c r="I57" s="25" t="str">
        <x:v>Owner/runtime acceptance pending</x:v>
      </x:c>
    </x:row>
    <x:row r="58" ht="59" customHeight="1">
      <x:c r="A58" s="25" t="str">
        <x:v>R55</x:v>
      </x:c>
      <x:c r="B58" s="25" t="str">
        <x:v>RBAC: commissioners access regional data, market-wide trends</x:v>
      </x:c>
      <x:c r="C58" s="25" t="str">
        <x:v>Security acceptance pending</x:v>
      </x:c>
      <x:c r="D58" s="25" t="str">
        <x:v>WMPP Dynamic Detail RLS; security mappings; global summary</x:v>
      </x:c>
      <x:c r="E58" s="25" t="str">
        <x:v>No requirement-specific Mission Control delivery asserted.</x:v>
      </x:c>
      <x:c r="F58" s="25" t="str">
        <x:v>Role definitions exist, but authorised identity tests, access provisioning, small-cell disclosure and break-glass controls are not signed off. Historical v1 status: ℹ️ Security.</x:v>
      </x:c>
      <x:c r="G58" s="25" t="str">
        <x:v>Approve mappings and disclosure policy; execute role and Service-access tests.</x:v>
      </x:c>
      <x:c r="H58" s="25" t="str">
        <x:v>Original wording/association preserved</x:v>
      </x:c>
      <x:c r="I58" s="25" t="str">
        <x:v>Owner/runtime acceptance pending</x:v>
      </x:c>
    </x:row>
    <x:row r="59" ht="59" customHeight="1">
      <x:c r="A59" s="25" t="str">
        <x:v>R57</x:v>
      </x:c>
      <x:c r="B59" s="25" t="str">
        <x:v>Emergency and planned placements separately reportable</x:v>
      </x:c>
      <x:c r="C59" s="25" t="str">
        <x:v>Partial reporting</x:v>
      </x:c>
      <x:c r="D59" s="25" t="str">
        <x:v>Emergency Referrals; Planned Referrals; Emergency Placement Rate</x:v>
      </x:c>
      <x:c r="E59" s="25" t="str">
        <x:v>No requirement-specific Mission Control delivery asserted.</x:v>
      </x:c>
      <x:c r="F59" s="25" t="str">
        <x:v>Emergency uses the Gold same-day-date rule on OPEN/UNDER_OFFER referrals, not a statutory emergency source classification or spot status. Historical v1 status: ❌ Missing.</x:v>
      </x:c>
      <x:c r="G59" s="25" t="str">
        <x:v>Approve emergency definition and finance categorisation; test missing and reversed dates.</x:v>
      </x:c>
      <x:c r="H59" s="25" t="str">
        <x:v>Original wording/association preserved</x:v>
      </x:c>
      <x:c r="I59" s="25" t="str">
        <x:v>Owner/runtime acceptance pending</x:v>
      </x:c>
    </x:row>
    <x:row r="60" ht="46" customHeight="1">
      <x:c r="A60" s="25" t="str">
        <x:v>R58</x:v>
      </x:c>
      <x:c r="B60" s="25" t="str">
        <x:v>Alert when framework changes during active referrals</x:v>
      </x:c>
      <x:c r="C60" s="25" t="str">
        <x:v>Open data gap</x:v>
      </x:c>
      <x:c r="D60" s="25" t="str">
        <x:v>Current category bridges only</x:v>
      </x:c>
      <x:c r="E60" s="25" t="str">
        <x:v>No requirement-specific Mission Control delivery asserted.</x:v>
      </x:c>
      <x:c r="F60" s="25" t="str">
        <x:v>Current category membership does not record framework changes during active referrals or alert delivery. Historical v1 status: ❌ Missing.</x:v>
      </x:c>
      <x:c r="G60" s="25" t="str">
        <x:v>Obtain effective-dated change events and notification evidence.</x:v>
      </x:c>
      <x:c r="H60" s="25" t="str">
        <x:v>Original wording/association preserved</x:v>
      </x:c>
      <x:c r="I60" s="25" t="str">
        <x:v>Owner/runtime acceptance pending</x:v>
      </x:c>
    </x:row>
    <x:row r="61" ht="59" customHeight="1">
      <x:c r="A61" s="25" t="str">
        <x:v>R59</x:v>
      </x:c>
      <x:c r="B61" s="25" t="str">
        <x:v>Bulk provider onboarding supported</x:v>
      </x:c>
      <x:c r="C61" s="25" t="str">
        <x:v>Partial reporting</x:v>
      </x:c>
      <x:c r="D61" s="25" t="str">
        <x:v>Providers Pending Onboarding; Providers Approved; Provider Onboarding Success Rate</x:v>
      </x:c>
      <x:c r="E61" s="25" t="str">
        <x:v>No requirement-specific Mission Control delivery asserted.</x:v>
      </x:c>
      <x:c r="F61" s="25" t="str">
        <x:v>Current provider approval state is reportable; it does not certify due diligence, bulk-job success or registration workflow. Historical v1 status: ❌ Missing.</x:v>
      </x:c>
      <x:c r="G61" s="25" t="str">
        <x:v>Approve proxy label and obtain workflow/compliance evidence.</x:v>
      </x:c>
      <x:c r="H61" s="25" t="str">
        <x:v>Original wording/association preserved</x:v>
      </x:c>
      <x:c r="I61" s="25" t="str">
        <x:v>Owner/runtime acceptance pending</x:v>
      </x:c>
    </x:row>
    <x:row r="62" ht="72" customHeight="1">
      <x:c r="A62" s="25" t="str">
        <x:v>R62</x:v>
      </x:c>
      <x:c r="B62" s="25" t="str">
        <x:v>View completed placements, access IPAs, extract payment info</x:v>
      </x:c>
      <x:c r="C62" s="25" t="str">
        <x:v>Partial reporting</x:v>
      </x:c>
      <x:c r="D62" s="25" t="str">
        <x:v>fact_ipa; Estimated Active Weekly Cost; IPA Overview</x:v>
      </x:c>
      <x:c r="E62" s="25" t="str">
        <x:v>No requirement-specific Mission Control delivery asserted.</x:v>
      </x:c>
      <x:c r="F62" s="25" t="str">
        <x:v>Weekly and lifetime costs are estimates. Payment method, invoice/payment status and actual spend are absent; lifetime-cost formula needs boundary/filter review. Historical v1 status: ❌ Missing.</x:v>
      </x:c>
      <x:c r="G62" s="25" t="str">
        <x:v>Approve finance definitions and provide payment facts; do not label estimates as spend.</x:v>
      </x:c>
      <x:c r="H62" s="25" t="str">
        <x:v>Original wording/association preserved</x:v>
      </x:c>
      <x:c r="I62" s="25" t="str">
        <x:v>Owner/runtime acceptance pending</x:v>
      </x:c>
    </x:row>
    <x:row r="63" ht="59" customHeight="1">
      <x:c r="A63" s="25" t="str">
        <x:v>R67</x:v>
      </x:c>
      <x:c r="B63" s="25" t="str">
        <x:v>Support adding new frameworks</x:v>
      </x:c>
      <x:c r="C63" s="25" t="str">
        <x:v>Partial reporting</x:v>
      </x:c>
      <x:c r="D63" s="25" t="str">
        <x:v>dim_framework; dim_framework_category; category bridges; service-type views</x:v>
      </x:c>
      <x:c r="E63" s="25" t="str">
        <x:v>No requirement-specific Mission Control delivery asserted.</x:v>
      </x:c>
      <x:c r="F63" s="25" t="str">
        <x:v>Current reference/category reporting exists; framework configuration workflows and specific release contents need business verification. Historical v1 status: ✅ Implemented.</x:v>
      </x:c>
      <x:c r="G63" s="25" t="str">
        <x:v>Reconcile framework versions and all categories, then confirm portal configuration.</x:v>
      </x:c>
      <x:c r="H63" s="25" t="str">
        <x:v>Original wording/association preserved</x:v>
      </x:c>
      <x:c r="I63" s="25" t="str">
        <x:v>Owner/runtime acceptance pending</x:v>
      </x:c>
    </x:row>
    <x:row r="64" ht="59" customHeight="1">
      <x:c r="A64" s="25" t="str">
        <x:v>R68</x:v>
      </x:c>
      <x:c r="B64" s="25" t="str">
        <x:v>Frameworks configurable: display, hide, isolate by region</x:v>
      </x:c>
      <x:c r="C64" s="25" t="str">
        <x:v>Partial reporting</x:v>
      </x:c>
      <x:c r="D64" s="25" t="str">
        <x:v>dim_framework; dim_framework_category; category bridges; service-type views</x:v>
      </x:c>
      <x:c r="E64" s="25" t="str">
        <x:v>No requirement-specific Mission Control delivery asserted.</x:v>
      </x:c>
      <x:c r="F64" s="25" t="str">
        <x:v>Current reference/category reporting exists; framework configuration workflows and specific release contents need business verification. Historical v1 status: ✅ Implemented.</x:v>
      </x:c>
      <x:c r="G64" s="25" t="str">
        <x:v>Reconcile framework versions and all categories, then confirm portal configuration.</x:v>
      </x:c>
      <x:c r="H64" s="25" t="str">
        <x:v>Original wording/association preserved</x:v>
      </x:c>
      <x:c r="I64" s="25" t="str">
        <x:v>Owner/runtime acceptance pending</x:v>
      </x:c>
    </x:row>
    <x:row r="65" ht="98" customHeight="1">
      <x:c r="A65" s="25" t="str">
        <x:v>R69</x:v>
      </x:c>
      <x:c r="B65" s="25" t="str">
        <x:v>Robust analytical data model</x:v>
      </x:c>
      <x:c r="C65" s="25" t="str">
        <x:v>Built; UAT pending</x:v>
      </x:c>
      <x:c r="D65" s="25" t="str">
        <x:v>58-table WIP model; 366 measures; Overall Performance; explorers; snapshots</x:v>
      </x:c>
      <x:c r="E65" s="25" t="str">
        <x:v>Supporting design evidence: Governed contract/schema and lineage imports support model controls; robustness and performance need runtime tests.</x:v>
      </x:c>
      <x:c r="F65" s="25" t="str">
        <x:v>Saved-file definitions exist. Full refreshed DAX reconciliation, data completeness and business acceptance remain open. Mission Control: Supporting design evidence. Governed contract/schema and lineage imports support model controls; robustness and performance need runtime tests. Historical v1 status: ℹ️ Non-functional.</x:v>
      </x:c>
      <x:c r="G65" s="25" t="str">
        <x:v>Run refresh, data-quality, cohort, snapshot and role reconciliation before release. Validate the Mission Control measures and page filters against known runs; proposed R-to-operational-measure association requires owner approval.</x:v>
      </x:c>
      <x:c r="H65" s="25" t="str">
        <x:v>Original wording/association preserved</x:v>
      </x:c>
      <x:c r="I65" s="25" t="str">
        <x:v>Owner/runtime acceptance pending</x:v>
      </x:c>
    </x:row>
    <x:row r="66" ht="59" customHeight="1">
      <x:c r="A66" s="25" t="str">
        <x:v>R70</x:v>
      </x:c>
      <x:c r="B66" s="25" t="str">
        <x:v>Auto-save across workflows</x:v>
      </x:c>
      <x:c r="C66" s="25" t="str">
        <x:v>Outside report assessment</x:v>
      </x:c>
      <x:c r="D66" s="25" t="str">
        <x:v>Functional Specification; source portal workflow</x:v>
      </x:c>
      <x:c r="E66" s="25" t="str">
        <x:v>No requirement-specific Mission Control delivery asserted.</x:v>
      </x:c>
      <x:c r="F66" s="25" t="str">
        <x:v>Read-only reporting cannot implement notifications, matching, upload, record editing or operational visibility rules. Historical v1 status: ℹ️ Feature.</x:v>
      </x:c>
      <x:c r="G66" s="25" t="str">
        <x:v>Obtain source-system workflow acceptance separately.</x:v>
      </x:c>
      <x:c r="H66" s="25" t="str">
        <x:v>Original wording/association preserved</x:v>
      </x:c>
      <x:c r="I66" s="25" t="str">
        <x:v>Owner/runtime acceptance pending</x:v>
      </x:c>
    </x:row>
    <x:row r="67" ht="59" customHeight="1">
      <x:c r="A67" s="25" t="str">
        <x:v>R71</x:v>
      </x:c>
      <x:c r="B67" s="25" t="str">
        <x:v>Digitised IPA: review, approvals, signing, full audit</x:v>
      </x:c>
      <x:c r="C67" s="25" t="str">
        <x:v>Partial reporting</x:v>
      </x:c>
      <x:c r="D67" s="25" t="str">
        <x:v>fact_ipa; IPA Completed; IPAs Pending Completion; signature flags</x:v>
      </x:c>
      <x:c r="E67" s="25" t="str">
        <x:v>No requirement-specific Mission Control delivery asserted.</x:v>
      </x:c>
      <x:c r="F67" s="25" t="str">
        <x:v>IPA-grain signing is implemented; the report does not perform signing, approval or certify a full audit trail. Historical v1 status: ✅ Implemented.</x:v>
      </x:c>
      <x:c r="G67" s="25" t="str">
        <x:v>Reconcile both signatures on the same IPA, closed unsigned IPAs and multiple IPAs per offer.</x:v>
      </x:c>
      <x:c r="H67" s="25" t="str">
        <x:v>Original wording/association preserved</x:v>
      </x:c>
      <x:c r="I67" s="25" t="str">
        <x:v>Owner/runtime acceptance pending</x:v>
      </x:c>
    </x:row>
    <x:row r="68" ht="59" customHeight="1">
      <x:c r="A68" s="25" t="str">
        <x:v>R72</x:v>
      </x:c>
      <x:c r="B68" s="25" t="str">
        <x:v>Digitise paper processes: workflow, auditable, trackable, lifecycle</x:v>
      </x:c>
      <x:c r="C68" s="25" t="str">
        <x:v>Outside report assessment</x:v>
      </x:c>
      <x:c r="D68" s="25" t="str">
        <x:v>Functional Specification; source portal workflow</x:v>
      </x:c>
      <x:c r="E68" s="25" t="str">
        <x:v>No requirement-specific Mission Control delivery asserted.</x:v>
      </x:c>
      <x:c r="F68" s="25" t="str">
        <x:v>Read-only reporting cannot implement notifications, matching, upload, record editing or operational visibility rules. Historical v1 status: ℹ️ Feature.</x:v>
      </x:c>
      <x:c r="G68" s="25" t="str">
        <x:v>Obtain source-system workflow acceptance separately.</x:v>
      </x:c>
      <x:c r="H68" s="25" t="str">
        <x:v>Original wording/association preserved</x:v>
      </x:c>
      <x:c r="I68" s="25" t="str">
        <x:v>Owner/runtime acceptance pending</x:v>
      </x:c>
    </x:row>
    <x:row r="69" ht="46" customHeight="1">
      <x:c r="A69" s="25" t="str">
        <x:v>R73</x:v>
      </x:c>
      <x:c r="B69" s="25" t="str">
        <x:v>Support future enhancements and Agile delivery</x:v>
      </x:c>
      <x:c r="C69" s="25" t="str">
        <x:v>Outside report assessment</x:v>
      </x:c>
      <x:c r="D69" s="25" t="str">
        <x:v>HLD; TFD; Statement of Work</x:v>
      </x:c>
      <x:c r="E69" s="25" t="str">
        <x:v>No requirement-specific Mission Control delivery asserted.</x:v>
      </x:c>
      <x:c r="F69" s="25" t="str">
        <x:v>Design and roadmap evidence is separate from KPI coverage or production acceptance. Historical v1 status: ℹ️ Non-functional.</x:v>
      </x:c>
      <x:c r="G69" s="25" t="str">
        <x:v>Confirm architecture/procurement and hosting decisions.</x:v>
      </x:c>
      <x:c r="H69" s="25" t="str">
        <x:v>Original wording/association preserved</x:v>
      </x:c>
      <x:c r="I69" s="25" t="str">
        <x:v>Owner/runtime acceptance pending</x:v>
      </x:c>
    </x:row>
    <x:row r="70" ht="46" customHeight="1">
      <x:c r="A70" s="25" t="str">
        <x:v>R74</x:v>
      </x:c>
      <x:c r="B70" s="25" t="str">
        <x:v>COTS preferred</x:v>
      </x:c>
      <x:c r="C70" s="25" t="str">
        <x:v>Outside report assessment</x:v>
      </x:c>
      <x:c r="D70" s="25" t="str">
        <x:v>HLD; TFD; Statement of Work</x:v>
      </x:c>
      <x:c r="E70" s="25" t="str">
        <x:v>No requirement-specific Mission Control delivery asserted.</x:v>
      </x:c>
      <x:c r="F70" s="25" t="str">
        <x:v>Design and roadmap evidence is separate from KPI coverage or production acceptance. Historical v1 status: ℹ️ Non-functional.</x:v>
      </x:c>
      <x:c r="G70" s="25" t="str">
        <x:v>Confirm architecture/procurement and hosting decisions.</x:v>
      </x:c>
      <x:c r="H70" s="25" t="str">
        <x:v>Original wording/association preserved</x:v>
      </x:c>
      <x:c r="I70" s="25" t="str">
        <x:v>Owner/runtime acceptance pending</x:v>
      </x:c>
    </x:row>
    <x:row r="71" ht="111" customHeight="1">
      <x:c r="A71" s="25" t="str">
        <x:v>R75</x:v>
      </x:c>
      <x:c r="B71" s="25" t="str">
        <x:v>High availability, scalability, fault tolerance, DR</x:v>
      </x:c>
      <x:c r="C71" s="25" t="str">
        <x:v>Delivery acceptance pending</x:v>
      </x:c>
      <x:c r="D71" s="25" t="str">
        <x:v>Runbooks; validation checklist; current documentation</x:v>
      </x:c>
      <x:c r="E71" s="25" t="str">
        <x:v>Partial operational support: Run status and timing support operations; availability, scalability, DR/RTO/RPO and failover are not proven.</x:v>
      </x:c>
      <x:c r="F71" s="25" t="str">
        <x:v>Report/model files do not establish availability, accessibility, SLA, device compatibility, migration completeness, retention or formal sign-off. Mission Control: Partial operational support. Run status and timing support operations; availability, scalability, DR/RTO/RPO and failover are not proven. Historical v1 status: ℹ️ Non-functional.</x:v>
      </x:c>
      <x:c r="G71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71" s="25" t="str">
        <x:v>Original wording/association preserved</x:v>
      </x:c>
      <x:c r="I71" s="25" t="str">
        <x:v>Owner/runtime acceptance pending</x:v>
      </x:c>
    </x:row>
    <x:row r="72" ht="59" customHeight="1">
      <x:c r="A72" s="25" t="str">
        <x:v>R76</x:v>
      </x:c>
      <x:c r="B72" s="25" t="str">
        <x:v>Access restricted to authorised users</x:v>
      </x:c>
      <x:c r="C72" s="25" t="str">
        <x:v>Security acceptance pending</x:v>
      </x:c>
      <x:c r="D72" s="25" t="str">
        <x:v>WMPP Dynamic Detail RLS; security mappings; global summary</x:v>
      </x:c>
      <x:c r="E72" s="25" t="str">
        <x:v>No requirement-specific Mission Control delivery asserted.</x:v>
      </x:c>
      <x:c r="F72" s="25" t="str">
        <x:v>Role definitions exist, but authorised identity tests, access provisioning, small-cell disclosure and break-glass controls are not signed off. Historical v1 status: ℹ️ Security.</x:v>
      </x:c>
      <x:c r="G72" s="25" t="str">
        <x:v>Approve mappings and disclosure policy; execute role and Service-access tests.</x:v>
      </x:c>
      <x:c r="H72" s="25" t="str">
        <x:v>Original wording/association preserved</x:v>
      </x:c>
      <x:c r="I72" s="25" t="str">
        <x:v>Owner/runtime acceptance pending</x:v>
      </x:c>
    </x:row>
    <x:row r="73" ht="59" customHeight="1">
      <x:c r="A73" s="25" t="str">
        <x:v>R77</x:v>
      </x:c>
      <x:c r="B73" s="25" t="str">
        <x:v>Admin: user management, org onboarding, ownership transfer</x:v>
      </x:c>
      <x:c r="C73" s="25" t="str">
        <x:v>Outside report assessment</x:v>
      </x:c>
      <x:c r="D73" s="25" t="str">
        <x:v>Functional Specification; source portal workflow</x:v>
      </x:c>
      <x:c r="E73" s="25" t="str">
        <x:v>No requirement-specific Mission Control delivery asserted.</x:v>
      </x:c>
      <x:c r="F73" s="25" t="str">
        <x:v>Read-only reporting cannot implement notifications, matching, upload, record editing or operational visibility rules. Historical v1 status: ℹ️ Feature.</x:v>
      </x:c>
      <x:c r="G73" s="25" t="str">
        <x:v>Obtain source-system workflow acceptance separately.</x:v>
      </x:c>
      <x:c r="H73" s="25" t="str">
        <x:v>Original wording/association preserved</x:v>
      </x:c>
      <x:c r="I73" s="25" t="str">
        <x:v>Owner/runtime acceptance pending</x:v>
      </x:c>
    </x:row>
    <x:row r="74" ht="59" customHeight="1">
      <x:c r="A74" s="25" t="str">
        <x:v>R78</x:v>
      </x:c>
      <x:c r="B74" s="25" t="str">
        <x:v>RBAC and full auditing mandatory</x:v>
      </x:c>
      <x:c r="C74" s="25" t="str">
        <x:v>Security acceptance pending</x:v>
      </x:c>
      <x:c r="D74" s="25" t="str">
        <x:v>WMPP Dynamic Detail RLS; security mappings; global summary</x:v>
      </x:c>
      <x:c r="E74" s="25" t="str">
        <x:v>No requirement-specific Mission Control delivery asserted.</x:v>
      </x:c>
      <x:c r="F74" s="25" t="str">
        <x:v>Role definitions exist, but authorised identity tests, access provisioning, small-cell disclosure and break-glass controls are not signed off. Historical v1 status: ℹ️ Security.</x:v>
      </x:c>
      <x:c r="G74" s="25" t="str">
        <x:v>Approve mappings and disclosure policy; execute role and Service-access tests.</x:v>
      </x:c>
      <x:c r="H74" s="25" t="str">
        <x:v>Original wording/association preserved</x:v>
      </x:c>
      <x:c r="I74" s="25" t="str">
        <x:v>Owner/runtime acceptance pending</x:v>
      </x:c>
    </x:row>
    <x:row r="75" ht="59" customHeight="1">
      <x:c r="A75" s="25" t="str">
        <x:v>R79</x:v>
      </x:c>
      <x:c r="B75" s="25" t="str">
        <x:v>Break-glass access: controlled, auditable, emergency</x:v>
      </x:c>
      <x:c r="C75" s="25" t="str">
        <x:v>Security acceptance pending</x:v>
      </x:c>
      <x:c r="D75" s="25" t="str">
        <x:v>WMPP Dynamic Detail RLS; security mappings; global summary</x:v>
      </x:c>
      <x:c r="E75" s="25" t="str">
        <x:v>No requirement-specific Mission Control delivery asserted.</x:v>
      </x:c>
      <x:c r="F75" s="25" t="str">
        <x:v>Role definitions exist, but authorised identity tests, access provisioning, small-cell disclosure and break-glass controls are not signed off. Historical v1 status: ℹ️ Security.</x:v>
      </x:c>
      <x:c r="G75" s="25" t="str">
        <x:v>Approve mappings and disclosure policy; execute role and Service-access tests.</x:v>
      </x:c>
      <x:c r="H75" s="25" t="str">
        <x:v>Original wording/association preserved</x:v>
      </x:c>
      <x:c r="I75" s="25" t="str">
        <x:v>Owner/runtime acceptance pending</x:v>
      </x:c>
    </x:row>
    <x:row r="76" ht="59" customHeight="1">
      <x:c r="A76" s="25" t="str">
        <x:v>R80</x:v>
      </x:c>
      <x:c r="B76" s="25" t="str">
        <x:v>Fast document upload/retrieval, RBAC-protected access</x:v>
      </x:c>
      <x:c r="C76" s="25" t="str">
        <x:v>Outside report assessment</x:v>
      </x:c>
      <x:c r="D76" s="25" t="str">
        <x:v>Functional Specification; source portal workflow</x:v>
      </x:c>
      <x:c r="E76" s="25" t="str">
        <x:v>No requirement-specific Mission Control delivery asserted.</x:v>
      </x:c>
      <x:c r="F76" s="25" t="str">
        <x:v>Read-only reporting cannot implement notifications, matching, upload, record editing or operational visibility rules. Historical v1 status: ℹ️ Feature.</x:v>
      </x:c>
      <x:c r="G76" s="25" t="str">
        <x:v>Obtain source-system workflow acceptance separately.</x:v>
      </x:c>
      <x:c r="H76" s="25" t="str">
        <x:v>Original wording/association preserved</x:v>
      </x:c>
      <x:c r="I76" s="25" t="str">
        <x:v>Owner/runtime acceptance pending</x:v>
      </x:c>
    </x:row>
    <x:row r="77" ht="72" customHeight="1">
      <x:c r="A77" s="25" t="str">
        <x:v>R81</x:v>
      </x:c>
      <x:c r="B77" s="25" t="str">
        <x:v>WCAG 2.0/2.1/2.2 compliance</x:v>
      </x:c>
      <x:c r="C77" s="25" t="str">
        <x:v>Delivery acceptance pending</x:v>
      </x:c>
      <x:c r="D77" s="25" t="str">
        <x:v>Runbooks; validation checklist; current documentation</x:v>
      </x:c>
      <x:c r="E77" s="25" t="str">
        <x:v>No requirement-specific Mission Control delivery asserted.</x:v>
      </x:c>
      <x:c r="F77" s="25" t="str">
        <x:v>Report/model files do not establish availability, accessibility, SLA, device compatibility, migration completeness, retention or formal sign-off. Historical v1 status: ℹ️ Non-functional.</x:v>
      </x:c>
      <x:c r="G77" s="25" t="str">
        <x:v>Complete the requirement-specific acceptance evidence; freshness is not an SLA measurement.</x:v>
      </x:c>
      <x:c r="H77" s="25" t="str">
        <x:v>Original wording/association preserved</x:v>
      </x:c>
      <x:c r="I77" s="25" t="str">
        <x:v>Owner/runtime acceptance pending</x:v>
      </x:c>
    </x:row>
    <x:row r="78" ht="111" customHeight="1">
      <x:c r="A78" s="25" t="str">
        <x:v>R82</x:v>
      </x:c>
      <x:c r="B78" s="25" t="str">
        <x:v>Fast response times, scalability, performance reporting</x:v>
      </x:c>
      <x:c r="C78" s="25" t="str">
        <x:v>Delivery acceptance pending</x:v>
      </x:c>
      <x:c r="D78" s="25" t="str">
        <x:v>Runbooks; validation checklist; current documentation</x:v>
      </x:c>
      <x:c r="E78" s="25" t="str">
        <x:v>Partial operational support: Pipeline duration, throughput and prior-run benchmarks exist; these do not measure portal/report response latency or certify an SLA.</x:v>
      </x:c>
      <x:c r="F78" s="25" t="str">
        <x:v>Report/model files do not establish availability, accessibility, SLA, device compatibility, migration completeness, retention or formal sign-off. Mission Control: Partial operational support. Pipeline duration, throughput and prior-run benchmarks exist; these do not measure portal/report response latency or certify an SLA. Historical v1 status: ✅ Implemented.</x:v>
      </x:c>
      <x:c r="G78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78" s="25" t="str">
        <x:v>Original wording/association preserved</x:v>
      </x:c>
      <x:c r="I78" s="25" t="str">
        <x:v>Owner/runtime acceptance pending</x:v>
      </x:c>
    </x:row>
    <x:row r="79" ht="111" customHeight="1">
      <x:c r="A79" s="25" t="str">
        <x:v>R83</x:v>
      </x:c>
      <x:c r="B79" s="25" t="str">
        <x:v>Migrate placements, purchases, providers, OFSTED, frameworks, active placements</x:v>
      </x:c>
      <x:c r="C79" s="25" t="str">
        <x:v>Delivery acceptance pending</x:v>
      </x:c>
      <x:c r="D79" s="25" t="str">
        <x:v>Runbooks; validation checklist; current documentation</x:v>
      </x:c>
      <x:c r="E79" s="25" t="str">
        <x:v>Partial operational support: Archive/replay controls and load rows provide migration evidence, not complete source-to-target migration acceptance.</x:v>
      </x:c>
      <x:c r="F79" s="25" t="str">
        <x:v>Report/model files do not establish availability, accessibility, SLA, device compatibility, migration completeness, retention or formal sign-off. Mission Control: Partial operational support. Archive/replay controls and load rows provide migration evidence, not complete source-to-target migration acceptance. Historical v1 status: ℹ️ Non-functional.</x:v>
      </x:c>
      <x:c r="G79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79" s="25" t="str">
        <x:v>Original wording/association preserved</x:v>
      </x:c>
      <x:c r="I79" s="25" t="str">
        <x:v>Owner/runtime acceptance pending</x:v>
      </x:c>
    </x:row>
    <x:row r="80" ht="111" customHeight="1">
      <x:c r="A80" s="25" t="str">
        <x:v>R84</x:v>
      </x:c>
      <x:c r="B80" s="25" t="str">
        <x:v>Data integrity, retention, export, configurable policies</x:v>
      </x:c>
      <x:c r="C80" s="25" t="str">
        <x:v>Delivery acceptance pending</x:v>
      </x:c>
      <x:c r="D80" s="25" t="str">
        <x:v>Runbooks; validation checklist; current documentation</x:v>
      </x:c>
      <x:c r="E80" s="25" t="str">
        <x:v>Partial operational support: DQ/RI exceptions, drift, lineage and retained domain evidence exist; retention/export policy and security acceptance remain open.</x:v>
      </x:c>
      <x:c r="F80" s="25" t="str">
        <x:v>Report/model files do not establish availability, accessibility, SLA, device compatibility, migration completeness, retention or formal sign-off. Mission Control: Partial operational support. DQ/RI exceptions, drift, lineage and retained domain evidence exist; retention/export policy and security acceptance remain open. Historical v1 status: ℹ️ Non-functional.</x:v>
      </x:c>
      <x:c r="G80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80" s="25" t="str">
        <x:v>Original wording/association preserved</x:v>
      </x:c>
      <x:c r="I80" s="25" t="str">
        <x:v>Owner/runtime acceptance pending</x:v>
      </x:c>
    </x:row>
    <x:row r="81" ht="111" customHeight="1">
      <x:c r="A81" s="25" t="str">
        <x:v>R85</x:v>
      </x:c>
      <x:c r="B81" s="25" t="str">
        <x:v>Deployment: FAQs, user guides, demos, support materials</x:v>
      </x:c>
      <x:c r="C81" s="25" t="str">
        <x:v>Delivery acceptance pending</x:v>
      </x:c>
      <x:c r="D81" s="25" t="str">
        <x:v>Runbooks; validation checklist; current documentation</x:v>
      </x:c>
      <x:c r="E81" s="25" t="str">
        <x:v>Supporting documentation evidence: Operational pages and runbooks support handover; FAQs, user training, support readiness and client approval remain separate.</x:v>
      </x:c>
      <x:c r="F81" s="25" t="str">
        <x:v>Report/model files do not establish availability, accessibility, SLA, device compatibility, migration completeness, retention or formal sign-off. Mission Control: Supporting documentation evidence. Operational pages and runbooks support handover; FAQs, user training, support readiness and client approval remain separate. Historical v1 status: ℹ️ Non-functional.</x:v>
      </x:c>
      <x:c r="G81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81" s="25" t="str">
        <x:v>Original wording/association preserved</x:v>
      </x:c>
      <x:c r="I81" s="25" t="str">
        <x:v>Owner/runtime acceptance pending</x:v>
      </x:c>
    </x:row>
    <x:row r="82" ht="98" customHeight="1">
      <x:c r="A82" s="25" t="str">
        <x:v>R86</x:v>
      </x:c>
      <x:c r="B82" s="25" t="str">
        <x:v>Device agnostic, browser compatible, mobile friendly</x:v>
      </x:c>
      <x:c r="C82" s="25" t="str">
        <x:v>Delivery acceptance pending</x:v>
      </x:c>
      <x:c r="D82" s="25" t="str">
        <x:v>Runbooks; validation checklist; current documentation; saved per-visual native phone mobile.json definitions in the current business archive</x:v>
      </x:c>
      <x:c r="E82" s="25" t="str">
        <x:v>No requirement-specific Mission Control delivery asserted.</x:v>
      </x:c>
      <x:c r="F82" s="25" t="str">
        <x:v>Report/model files do not establish availability, accessibility, SLA, device compatibility, migration completeness, retention or formal sign-off. Phone-layout definitions are present; actual device/browser behaviour and accessibility still need client tests. Historical v1 status: ℹ️ Non-functional.</x:v>
      </x:c>
      <x:c r="G82" s="25" t="str">
        <x:v>Complete the requirement-specific acceptance evidence; freshness is not an SLA measurement.</x:v>
      </x:c>
      <x:c r="H82" s="25" t="str">
        <x:v>Original wording/association preserved</x:v>
      </x:c>
      <x:c r="I82" s="25" t="str">
        <x:v>Owner/runtime acceptance pending</x:v>
      </x:c>
    </x:row>
    <x:row r="83" ht="124" customHeight="1">
      <x:c r="A83" s="25" t="str">
        <x:v>R87</x:v>
      </x:c>
      <x:c r="B83" s="25" t="str">
        <x:v>Incident management, issue reporting, SLAs</x:v>
      </x:c>
      <x:c r="C83" s="25" t="str">
        <x:v>Delivery acceptance pending</x:v>
      </x:c>
      <x:c r="D83" s="25" t="str">
        <x:v>Runbooks; validation checklist; current documentation</x:v>
      </x:c>
      <x:c r="E83" s="25" t="str">
        <x:v>Partial operational support: Failures, error detail and reload queues support incident triage; notification delivery, ticket workflow and SLA ownership are not implemented by these cards.</x:v>
      </x:c>
      <x:c r="F83" s="25" t="str">
        <x:v>Report/model files do not establish availability, accessibility, SLA, device compatibility, migration completeness, retention or formal sign-off. Mission Control: Partial operational support. Failures, error detail and reload queues support incident triage; notification delivery, ticket workflow and SLA ownership are not implemented by these cards. Historical v1 status: ℹ️ Non-functional.</x:v>
      </x:c>
      <x:c r="G83" s="25" t="str">
        <x:v>Complete the requirement-specific acceptance evidence; freshness is not an SLA measurement. Validate the Mission Control measures and page filters against known runs; proposed R-to-operational-measure association requires owner approval.</x:v>
      </x:c>
      <x:c r="H83" s="25" t="str">
        <x:v>Original wording/association preserved</x:v>
      </x:c>
      <x:c r="I83" s="25" t="str">
        <x:v>Owner/runtime acceptance pending</x:v>
      </x:c>
    </x:row>
    <x:row r="84" ht="98" customHeight="1">
      <x:c r="A84" s="25" t="str">
        <x:v>R88</x:v>
      </x:c>
      <x:c r="B84" s="25" t="str">
        <x:v>Modular growth, controlled change, product roadmaps</x:v>
      </x:c>
      <x:c r="C84" s="25" t="str">
        <x:v>Outside report assessment</x:v>
      </x:c>
      <x:c r="D84" s="25" t="str">
        <x:v>HLD; TFD; Statement of Work</x:v>
      </x:c>
      <x:c r="E84" s="25" t="str">
        <x:v>Supporting change-control evidence: Versioned contracts, source-controlled notebooks and discovery evidence support controlled change, not full roadmap/governance acceptance.</x:v>
      </x:c>
      <x:c r="F84" s="25" t="str">
        <x:v>Design and roadmap evidence is separate from KPI coverage or production acceptance. Mission Control: Supporting change-control evidence. Versioned contracts, source-controlled notebooks and discovery evidence support controlled change, not full roadmap/governance acceptance. Historical v1 status: ℹ️ Non-functional.</x:v>
      </x:c>
      <x:c r="G84" s="25" t="str">
        <x:v>Confirm architecture/procurement and hosting decisions. Validate the Mission Control measures and page filters against known runs; proposed R-to-operational-measure association requires owner approval.</x:v>
      </x:c>
      <x:c r="H84" s="25" t="str">
        <x:v>Original wording/association preserved</x:v>
      </x:c>
      <x:c r="I84" s="25" t="str">
        <x:v>Owner/runtime acceptance pending</x:v>
      </x:c>
    </x:row>
    <x:row r="85" ht="72" customHeight="1">
      <x:c r="A85" s="25" t="str">
        <x:v>R89</x:v>
      </x:c>
      <x:c r="B85" s="25" t="str">
        <x:v>Stakeholder demos, UAT, formal sign-off</x:v>
      </x:c>
      <x:c r="C85" s="25" t="str">
        <x:v>Delivery acceptance pending</x:v>
      </x:c>
      <x:c r="D85" s="25" t="str">
        <x:v>Runbooks; validation checklist; current documentation</x:v>
      </x:c>
      <x:c r="E85" s="25" t="str">
        <x:v>No requirement-specific Mission Control delivery asserted.</x:v>
      </x:c>
      <x:c r="F85" s="25" t="str">
        <x:v>Report/model files do not establish availability, accessibility, SLA, device compatibility, migration completeness, retention or formal sign-off. Historical v1 status: ℹ️ Non-functional.</x:v>
      </x:c>
      <x:c r="G85" s="25" t="str">
        <x:v>Complete the requirement-specific acceptance evidence; freshness is not an SLA measurement.</x:v>
      </x:c>
      <x:c r="H85" s="25" t="str">
        <x:v>Original wording/association preserved</x:v>
      </x:c>
      <x:c r="I85" s="25" t="str">
        <x:v>Owner/runtime acceptance pending</x:v>
      </x:c>
    </x:row>
    <x:row r="86" ht="46" customHeight="1">
      <x:c r="A86" s="25" t="str">
        <x:v>R90</x:v>
      </x:c>
      <x:c r="B86" s="25" t="str">
        <x:v>Hosting options, deployment models, cloud strategy</x:v>
      </x:c>
      <x:c r="C86" s="25" t="str">
        <x:v>Outside report assessment</x:v>
      </x:c>
      <x:c r="D86" s="25" t="str">
        <x:v>HLD; TFD; Statement of Work</x:v>
      </x:c>
      <x:c r="E86" s="25" t="str">
        <x:v>No requirement-specific Mission Control delivery asserted.</x:v>
      </x:c>
      <x:c r="F86" s="25" t="str">
        <x:v>Design and roadmap evidence is separate from KPI coverage or production acceptance. Historical v1 status: ℹ️ Non-functional.</x:v>
      </x:c>
      <x:c r="G86" s="25" t="str">
        <x:v>Confirm architecture/procurement and hosting decisions.</x:v>
      </x:c>
      <x:c r="H86" s="25" t="str">
        <x:v>Original wording/association preserved</x:v>
      </x:c>
      <x:c r="I86" s="25" t="str">
        <x:v>Owner/runtime acceptance pending</x:v>
      </x:c>
    </x:row>
    <x:row r="87" ht="59" customHeight="1">
      <x:c r="A87" s="25" t="str">
        <x:v>R91</x:v>
      </x:c>
      <x:c r="B87" s="25" t="str">
        <x:v>Provider registration: company, services, homes, docs</x:v>
      </x:c>
      <x:c r="C87" s="25" t="str">
        <x:v>Partial reporting</x:v>
      </x:c>
      <x:c r="D87" s="25" t="str">
        <x:v>Providers Registered; Provider Homes Registered; provider directory</x:v>
      </x:c>
      <x:c r="E87" s="25" t="str">
        <x:v>No requirement-specific Mission Control delivery asserted.</x:v>
      </x:c>
      <x:c r="F87" s="25" t="str">
        <x:v>Registration data is reportable; submission/upload and onboarding workflows remain source-system functions. Historical v1 status: ✅ Implemented.</x:v>
      </x:c>
      <x:c r="G87" s="25" t="str">
        <x:v>Validate directory data and obtain registration workflow evidence.</x:v>
      </x:c>
      <x:c r="H87" s="25" t="str">
        <x:v>Original wording/association preserved</x:v>
      </x:c>
      <x:c r="I87" s="25" t="str">
        <x:v>Owner/runtime acceptance pending</x:v>
      </x:c>
    </x:row>
    <x:row r="88" ht="59" customHeight="1">
      <x:c r="A88" s="25" t="str">
        <x:v>R92</x:v>
      </x:c>
      <x:c r="B88" s="25" t="str">
        <x:v>LA review and approve/reject registrations</x:v>
      </x:c>
      <x:c r="C88" s="25" t="str">
        <x:v>Partial reporting</x:v>
      </x:c>
      <x:c r="D88" s="25" t="str">
        <x:v>Providers Pending Onboarding; Providers Approved; Provider Onboarding Success Rate</x:v>
      </x:c>
      <x:c r="E88" s="25" t="str">
        <x:v>No requirement-specific Mission Control delivery asserted.</x:v>
      </x:c>
      <x:c r="F88" s="25" t="str">
        <x:v>Current provider approval state is reportable; it does not certify due diligence, bulk-job success or registration workflow. Historical v1 status: ℹ️ Feature.</x:v>
      </x:c>
      <x:c r="G88" s="25" t="str">
        <x:v>Approve proxy label and obtain workflow/compliance evidence.</x:v>
      </x:c>
      <x:c r="H88" s="25" t="str">
        <x:v>Original wording/association preserved</x:v>
      </x:c>
      <x:c r="I88" s="25" t="str">
        <x:v>Owner/runtime acceptance pending</x:v>
      </x:c>
    </x:row>
    <x:row r="89" ht="59" customHeight="1">
      <x:c r="A89" s="25" t="str">
        <x:v>R93</x:v>
      </x:c>
      <x:c r="B89" s="25" t="str">
        <x:v>Placement officer: provider directory, services, homes, docs</x:v>
      </x:c>
      <x:c r="C89" s="25" t="str">
        <x:v>Built; UAT pending</x:v>
      </x:c>
      <x:c r="D89" s="25" t="str">
        <x:v>Provider Explorer/Detail home document register; expiry counts and per-document expired_docs flag</x:v>
      </x:c>
      <x:c r="E89" s="25" t="str">
        <x:v>No requirement-specific Mission Control delivery asserted.</x:v>
      </x:c>
      <x:c r="F89" s="25" t="str">
        <x:v>Home NO_JOIN/model relationship conflict unresolved. Required-document denominator, reminders, permissions and referral blocking not established.</x:v>
      </x:c>
      <x:c r="G89" s="25" t="str">
        <x:v>Data owner to validate home attribution and required documents; run refresh, provider/home and role UAT.</x:v>
      </x:c>
      <x:c r="H89" s="25" t="str">
        <x:v>Original wording/association preserved</x:v>
      </x:c>
      <x:c r="I89" s="25" t="str">
        <x:v>Owner/runtime acceptance pending</x:v>
      </x:c>
    </x:row>
    <x:row r="90" ht="46" customHeight="1">
      <x:c r="A90" s="25" t="str">
        <x:v>R94</x:v>
      </x:c>
      <x:c r="B90" s="25" t="str">
        <x:v>QA: search providers, apply/remove flags</x:v>
      </x:c>
      <x:c r="C90" s="25" t="str">
        <x:v>Partial reporting</x:v>
      </x:c>
      <x:c r="D90" s="25" t="str">
        <x:v>Providers With QA Flags; QA Flagged Homes; provider detail</x:v>
      </x:c>
      <x:c r="E90" s="25" t="str">
        <x:v>No requirement-specific Mission Control delivery asserted.</x:v>
      </x:c>
      <x:c r="F90" s="25" t="str">
        <x:v>Current flags are reportable. Historical flag types and application/removal workflow are not proven. Historical v1 status: ⚠️ Partial.</x:v>
      </x:c>
      <x:c r="G90" s="25" t="str">
        <x:v>Confirm flag scope and obtain historical classification and portal evidence.</x:v>
      </x:c>
      <x:c r="H90" s="25" t="str">
        <x:v>Original wording/association preserved</x:v>
      </x:c>
      <x:c r="I90" s="25" t="str">
        <x:v>Owner/runtime acceptance pending</x:v>
      </x:c>
    </x:row>
    <x:row r="91" ht="59" customHeight="1">
      <x:c r="A91" s="25" t="str">
        <x:v>R95</x:v>
      </x:c>
      <x:c r="B91" s="25" t="str">
        <x:v>Reflect Fostering Framework changes (Q3 2024)</x:v>
      </x:c>
      <x:c r="C91" s="25" t="str">
        <x:v>Partial reporting</x:v>
      </x:c>
      <x:c r="D91" s="25" t="str">
        <x:v>dim_framework; dim_framework_category; category bridges; service-type views</x:v>
      </x:c>
      <x:c r="E91" s="25" t="str">
        <x:v>No requirement-specific Mission Control delivery asserted.</x:v>
      </x:c>
      <x:c r="F91" s="25" t="str">
        <x:v>Current reference/category reporting exists; framework configuration workflows and specific release contents need business verification. Historical v1 status: ✅ Implemented.</x:v>
      </x:c>
      <x:c r="G91" s="25" t="str">
        <x:v>Reconcile framework versions and all categories, then confirm portal configuration.</x:v>
      </x:c>
      <x:c r="H91" s="25" t="str">
        <x:v>Original wording/association preserved</x:v>
      </x:c>
      <x:c r="I91" s="25" t="str">
        <x:v>Owner/runtime acceptance pending</x:v>
      </x:c>
    </x:row>
    <x:row r="92" ht="59" customHeight="1">
      <x:c r="A92" s="25" t="str">
        <x:v>R96</x:v>
      </x:c>
      <x:c r="B92" s="25" t="str">
        <x:v>Reflect Residential Framework 2.0 (Spring 2025)</x:v>
      </x:c>
      <x:c r="C92" s="25" t="str">
        <x:v>Partial reporting</x:v>
      </x:c>
      <x:c r="D92" s="25" t="str">
        <x:v>dim_framework; dim_framework_category; category bridges; service-type views</x:v>
      </x:c>
      <x:c r="E92" s="25" t="str">
        <x:v>No requirement-specific Mission Control delivery asserted.</x:v>
      </x:c>
      <x:c r="F92" s="25" t="str">
        <x:v>Current reference/category reporting exists; framework configuration workflows and specific release contents need business verification. Historical v1 status: ✅ Implemented.</x:v>
      </x:c>
      <x:c r="G92" s="25" t="str">
        <x:v>Reconcile framework versions and all categories, then confirm portal configuration.</x:v>
      </x:c>
      <x:c r="H92" s="25" t="str">
        <x:v>Original wording/association preserved</x:v>
      </x:c>
      <x:c r="I92" s="25" t="str">
        <x:v>Owner/runtime acceptance pending</x:v>
      </x:c>
    </x:row>
    <x:row r="93" ht="163" customHeight="1">
      <x:c r="A93"/>
      <x:c r="B93"/>
      <x:c r="C93"/>
      <x:c r="D93"/>
      <x:c r="E93"/>
      <x:c r="F93"/>
      <x:c r="G93"/>
      <x:c r="H93"/>
      <x:c r="I93"/>
    </x:row>
    <x:row r="94" ht="163" customHeight="1">
      <x:c r="A94"/>
      <x:c r="B94"/>
      <x:c r="C94"/>
      <x:c r="D94"/>
      <x:c r="E94"/>
      <x:c r="F94"/>
      <x:c r="G94"/>
      <x:c r="H94"/>
      <x:c r="I94"/>
    </x:row>
    <x:row r="95" ht="25" customHeight="1">
      <x:c r="A95" s="22" t="str">
        <x:v>All latest business model definitions — helpers labelled separately</x:v>
      </x:c>
      <x:c r="B95" s="22"/>
      <x:c r="C95" s="22"/>
      <x:c r="D95" s="22"/>
      <x:c r="E95" s="22"/>
      <x:c r="F95" s="22"/>
      <x:c r="G95" s="22"/>
      <x:c r="H95" s="22"/>
      <x:c r="I95" s="22"/>
    </x:row>
    <x:row r="96" ht="35" customHeight="1">
      <x:c r="A96" s="35" t="str">
        <x:v>Measure</x:v>
      </x:c>
      <x:c r="B96" s="35" t="str">
        <x:v>Container</x:v>
      </x:c>
      <x:c r="C96" s="35" t="str">
        <x:v>Classification</x:v>
      </x:c>
      <x:c r="D96" s="35" t="str">
        <x:v>KPI Definition IDs</x:v>
      </x:c>
      <x:c r="E96" s="35" t="str">
        <x:v>Saved page bindings</x:v>
      </x:c>
      <x:c r="F96" s="35" t="str">
        <x:v>Physical sources</x:v>
      </x:c>
      <x:c r="G96" s="35" t="str">
        <x:v>Current calculation</x:v>
      </x:c>
      <x:c r="H96" s="35" t="str">
        <x:v>Full current logic</x:v>
      </x:c>
      <x:c r="I96" s="35" t="str">
        <x:v>Verification boundary</x:v>
      </x:c>
    </x:row>
    <x:row r="97" ht="33" customHeight="1">
      <x:c r="A97" s="25" t="str">
        <x:v>Accepted Offer to IPA Conversion %</x:v>
      </x:c>
      <x:c r="B97" s="25" t="str">
        <x:v>_Measures</x:v>
      </x:c>
      <x:c r="C97" s="25" t="str">
        <x:v>Business metric</x:v>
      </x:c>
      <x:c r="D97" s="25" t="str">
        <x:v>KPI-83</x:v>
      </x:c>
      <x:c r="E97" s="25" t="str">
        <x:v>IPA Overview</x:v>
      </x:c>
      <x:c r="F97" s="25" t="str">
        <x:v>gold.fact_ipa; gold.fact_offer</x:v>
      </x:c>
      <x:c r="G97" s="25" t="str">
        <x:v>DIVIDE ( [IPAs Created], [Accepted Offers] )</x:v>
      </x:c>
      <x:c r="H97" s="25" t="str">
        <x:v>KPI_LATEST_CALCULATIONS.md#business-accepted-offer-to-ipa-conversion-percent</x:v>
      </x:c>
      <x:c r="I97" s="25" t="str">
        <x:v>Saved definition; runtime/acceptance pending</x:v>
      </x:c>
    </x:row>
    <x:row r="98" ht="111" customHeight="1">
      <x:c r="A98" s="25" t="str">
        <x:v>Accepted Offers</x:v>
      </x:c>
      <x:c r="B98" s="25" t="str">
        <x:v>_Measures</x:v>
      </x:c>
      <x:c r="C98" s="25" t="str">
        <x:v>Business metric</x:v>
      </x:c>
      <x:c r="D98" s="25" t="str">
        <x:v>KPI-39; KPI-75</x:v>
      </x:c>
      <x:c r="E98" s="25" t="str">
        <x:v>IPA Overview; Overall Performance; Provider &amp; Placement Supply</x:v>
      </x:c>
      <x:c r="F98" s="25" t="str">
        <x:v>gold.fact_offer</x:v>
      </x:c>
      <x:c r="G98" s="25" t="str">
        <x:v>CALCULATE (
			    [Offers Submitted],
			    FILTER (
			        'fact_offer',
			        LOWER ( 'fact_offer'[offer_status] ) IN { "accepted", "approved", "selected", "offer_successful" }
			    )
			)</x:v>
      </x:c>
      <x:c r="H98" s="25" t="str">
        <x:v>KPI_LATEST_CALCULATIONS.md#business-accepted-offers</x:v>
      </x:c>
      <x:c r="I98" s="25" t="str">
        <x:v>Saved definition; runtime/acceptance pending</x:v>
      </x:c>
    </x:row>
    <x:row r="99" ht="33" customHeight="1">
      <x:c r="A99" s="25" t="str">
        <x:v>Accepted Offers Linked to IPA %</x:v>
      </x:c>
      <x:c r="B99" s="25" t="str">
        <x:v>_Measures</x:v>
      </x:c>
      <x:c r="C99" s="25" t="str">
        <x:v>Business metric</x:v>
      </x:c>
      <x:c r="D99" s="25" t="str">
        <x:v>GOLD-KPI-145</x:v>
      </x:c>
      <x:c r="E99" s="25" t="str">
        <x:v>No direct saved visual binding</x:v>
      </x:c>
      <x:c r="F99" s="25" t="str">
        <x:v>gold.fact_ipa; gold.fact_offer</x:v>
      </x:c>
      <x:c r="G99" s="25" t="str">
        <x:v>DIVIDE ( [Accepted Offers With IPA], [Accepted Offers] )</x:v>
      </x:c>
      <x:c r="H99" s="25" t="str">
        <x:v>KPI_LATEST_CALCULATIONS.md#business-accepted-offers-linked-to-ipa-percent</x:v>
      </x:c>
      <x:c r="I99" s="25" t="str">
        <x:v>Saved definition; runtime/acceptance pending</x:v>
      </x:c>
    </x:row>
    <x:row r="100" ht="46" customHeight="1">
      <x:c r="A100" s="25" t="str">
        <x:v>Accepted Offers With IPA</x:v>
      </x:c>
      <x:c r="B100" s="25" t="str">
        <x:v>_Measures</x:v>
      </x:c>
      <x:c r="C100" s="25" t="str">
        <x:v>Business metric</x:v>
      </x:c>
      <x:c r="D100" s="25" t="str">
        <x:v>GOLD-KPI-099</x:v>
      </x:c>
      <x:c r="E100" s="25" t="str">
        <x:v>Referrals</x:v>
      </x:c>
      <x:c r="F100" s="25" t="str">
        <x:v>gold.fact_ipa; gold.fact_offer</x:v>
      </x:c>
      <x:c r="G100" s="25" t="str">
        <x:v>VAR linked_offers = VALUES ( 'fact_ipa'[accepted_offer_id] )
			RETURN CALCULATE ( [Accepted Offers], KEEPFILTERS ( TREATAS ( linked_offers, 'fact_offer'[offer_id] ) ) )</x:v>
      </x:c>
      <x:c r="H100" s="25" t="str">
        <x:v>KPI_LATEST_CALCULATIONS.md#business-accepted-offers-with-ipa</x:v>
      </x:c>
      <x:c r="I100" s="25" t="str">
        <x:v>Saved definition; runtime/acceptance pending</x:v>
      </x:c>
    </x:row>
    <x:row r="101" ht="85" customHeight="1">
      <x:c r="A101" s="25" t="str">
        <x:v>Active Awaiting Offers With Engagement</x:v>
      </x:c>
      <x:c r="B101" s="25" t="str">
        <x:v>_Measures</x:v>
      </x:c>
      <x:c r="C101" s="25" t="str">
        <x:v>Business metric</x:v>
      </x:c>
      <x:c r="D101" s="25" t="str">
        <x:v>KPI-21</x:v>
      </x:c>
      <x:c r="E101" s="25" t="str">
        <x:v>No direct saved visual binding</x:v>
      </x:c>
      <x:c r="F101" s="25" t="str">
        <x:v>gold.fact_referral</x:v>
      </x:c>
      <x:c r="G101" s="25" t="str">
        <x:v>CALCULATE (
				[Total Referrals],
				'fact_referral'[is_open] = TRUE (),
				'fact_referral'[is_awaiting_offer] = TRUE (),
				'fact_referral'[has_provider_response] = TRUE ()
			)</x:v>
      </x:c>
      <x:c r="H101" s="25" t="str">
        <x:v>KPI_LATEST_CALCULATIONS.md#business-active-awaiting-offers-with-engagement</x:v>
      </x:c>
      <x:c r="I101" s="25" t="str">
        <x:v>Saved definition; runtime/acceptance pending</x:v>
      </x:c>
    </x:row>
    <x:row r="102" ht="85" customHeight="1">
      <x:c r="A102" s="25" t="str">
        <x:v>Active Awaiting Offers Without Engagement</x:v>
      </x:c>
      <x:c r="B102" s="25" t="str">
        <x:v>_Measures</x:v>
      </x:c>
      <x:c r="C102" s="25" t="str">
        <x:v>Business metric</x:v>
      </x:c>
      <x:c r="D102" s="25" t="str">
        <x:v>KPI-22</x:v>
      </x:c>
      <x:c r="E102" s="25" t="str">
        <x:v>Referrals</x:v>
      </x:c>
      <x:c r="F102" s="25" t="str">
        <x:v>gold.fact_referral</x:v>
      </x:c>
      <x:c r="G102" s="25" t="str">
        <x:v>CALCULATE (
				[Total Referrals],
				'fact_referral'[is_open] = TRUE (),
				'fact_referral'[is_awaiting_offer] = TRUE (),
				'fact_referral'[has_provider_response] = FALSE ()
			)</x:v>
      </x:c>
      <x:c r="H102" s="25" t="str">
        <x:v>KPI_LATEST_CALCULATIONS.md#business-active-awaiting-offers-without-engagement</x:v>
      </x:c>
      <x:c r="I102" s="25" t="str">
        <x:v>Saved definition; runtime/acceptance pending</x:v>
      </x:c>
    </x:row>
    <x:row r="103" ht="24" customHeight="1">
      <x:c r="A103" s="25" t="str">
        <x:v>Active IPAs</x:v>
      </x:c>
      <x:c r="B103" s="25" t="str">
        <x:v>_Measures</x:v>
      </x:c>
      <x:c r="C103" s="25" t="str">
        <x:v>Business metric</x:v>
      </x:c>
      <x:c r="D103" s="25" t="str">
        <x:v>GOLD-KPI-022</x:v>
      </x:c>
      <x:c r="E103" s="25" t="str">
        <x:v>Referrals</x:v>
      </x:c>
      <x:c r="F103" s="25" t="str">
        <x:v>gold.fact_ipa</x:v>
      </x:c>
      <x:c r="G103" s="25" t="str">
        <x:v>CALCULATE ( [IPAs Created], 'fact_ipa'[is_placement_closed] = FALSE () )</x:v>
      </x:c>
      <x:c r="H103" s="25" t="str">
        <x:v>KPI_LATEST_CALCULATIONS.md#business-active-ipas</x:v>
      </x:c>
      <x:c r="I103" s="25" t="str">
        <x:v>Saved definition; runtime/acceptance pending</x:v>
      </x:c>
    </x:row>
    <x:row r="104" ht="189" customHeight="1">
      <x:c r="A104" s="25" t="str">
        <x:v>Active Provider Response Rate at Snapshot</x:v>
      </x:c>
      <x:c r="B104" s="25" t="str">
        <x:v>_Measures</x:v>
      </x:c>
      <x:c r="C104" s="25" t="str">
        <x:v>Business metric</x:v>
      </x:c>
      <x:c r="D104" s="25" t="str">
        <x:v>GOLD-KPI-146</x:v>
      </x:c>
      <x:c r="E104" s="25" t="str">
        <x:v>No direct saved visual binding</x:v>
      </x:c>
      <x:c r="F104" s="25" t="str">
        <x:v>gold.fact_referral_snapshot</x:v>
      </x:c>
      <x:c r="G104" s="25" t="str">
        <x:v>VAR eligible_open_referrals =
				CALCULATE (
					[Snapshot Referrals],
					'fact_referral_snapshot'[is_open] = TRUE (),
					FILTER (
						'fact_referral_snapshot',
						NOT ISBLANK ( 'fact_referral_snapshot'[has_provider_response] )
					)
				)
			RETURN
				DIVIDE (
					[Active Referrals With Provider Response at Snapshot],
					eligible_open_referrals
				)</x:v>
      </x:c>
      <x:c r="H104" s="25" t="str">
        <x:v>KPI_LATEST_CALCULATIONS.md#business-active-provider-response-rate-at-snapshot</x:v>
      </x:c>
      <x:c r="I104" s="25" t="str">
        <x:v>Saved definition; runtime/acceptance pending</x:v>
      </x:c>
    </x:row>
    <x:row r="105" ht="33" customHeight="1">
      <x:c r="A105" s="25" t="str">
        <x:v>Active Referral Engagement Rate</x:v>
      </x:c>
      <x:c r="B105" s="25" t="str">
        <x:v>_Measures</x:v>
      </x:c>
      <x:c r="C105" s="25" t="str">
        <x:v>Business metric</x:v>
      </x:c>
      <x:c r="D105" s="25" t="str">
        <x:v>KPI-20</x:v>
      </x:c>
      <x:c r="E105" s="25" t="str">
        <x:v>Draft Offers; Offers Overview; Referrals</x:v>
      </x:c>
      <x:c r="F105" s="25" t="str">
        <x:v>gold.fact_referral</x:v>
      </x:c>
      <x:c r="G105" s="25" t="str">
        <x:v>DIVIDE ( [Active Referrals With Provider Engagement], [Referrals Currently Active] )</x:v>
      </x:c>
      <x:c r="H105" s="25" t="str">
        <x:v>KPI_LATEST_CALCULATIONS.md#business-active-referral-engagement-rate</x:v>
      </x:c>
      <x:c r="I105" s="25" t="str">
        <x:v>Saved definition; runtime/acceptance pending</x:v>
      </x:c>
    </x:row>
    <x:row r="106" ht="33" customHeight="1">
      <x:c r="A106" s="25" t="str">
        <x:v>Active Referral Engagement Rate MoM %</x:v>
      </x:c>
      <x:c r="B106" s="25" t="str">
        <x:v>_Measures</x:v>
      </x:c>
      <x:c r="C106" s="25" t="str">
        <x:v>Business metric</x:v>
      </x:c>
      <x:c r="D106" s="25" t="str">
        <x:v>GOLD-KPI-147</x:v>
      </x:c>
      <x:c r="E106" s="25" t="str">
        <x:v>No direct saved visual binding</x:v>
      </x:c>
      <x:c r="F106" s="25" t="str">
        <x:v>gold.dim_snapshot_month; gold.fact_referral_snapshot</x:v>
      </x:c>
      <x:c r="G106" s="25" t="str">
        <x:v>DIVIDE ( [Active Referral Engagement Rate Variance], [Active Referral Engagement Rate Previous Month] )</x:v>
      </x:c>
      <x:c r="H106" s="25" t="str">
        <x:v>KPI_LATEST_CALCULATIONS.md#business-active-referral-engagement-rate-mom-percent</x:v>
      </x:c>
      <x:c r="I106" s="25" t="str">
        <x:v>Saved definition; runtime/acceptance pending</x:v>
      </x:c>
    </x:row>
    <x:row r="107" ht="33" customHeight="1">
      <x:c r="A107" s="25" t="str">
        <x:v>Active Referral Engagement Rate Previous Month</x:v>
      </x:c>
      <x:c r="B107" s="25" t="str">
        <x:v>_Measures</x:v>
      </x:c>
      <x:c r="C107" s="25" t="str">
        <x:v>Business metric</x:v>
      </x:c>
      <x:c r="D107" s="25" t="str">
        <x:v>GOLD-KPI-148</x:v>
      </x:c>
      <x:c r="E107" s="25" t="str">
        <x:v>No direct saved visual binding</x:v>
      </x:c>
      <x:c r="F107" s="25" t="str">
        <x:v>gold.dim_snapshot_month; gold.fact_referral_snapshot</x:v>
      </x:c>
      <x:c r="G107" s="25" t="str">
        <x:v>CALCULATE ( [Active Provider Response Rate at Snapshot], DATEADD ( 'dim_snapshot_month'[month_start], -1, MONTH ) )</x:v>
      </x:c>
      <x:c r="H107" s="25" t="str">
        <x:v>KPI_LATEST_CALCULATIONS.md#business-active-referral-engagement-rate-previous-month</x:v>
      </x:c>
      <x:c r="I107" s="25" t="str">
        <x:v>Saved definition; runtime/acceptance pending</x:v>
      </x:c>
    </x:row>
    <x:row r="108" ht="33" customHeight="1">
      <x:c r="A108" s="25" t="str">
        <x:v>Active Referral Engagement Rate Variance</x:v>
      </x:c>
      <x:c r="B108" s="25" t="str">
        <x:v>_Measures</x:v>
      </x:c>
      <x:c r="C108" s="25" t="str">
        <x:v>Business metric</x:v>
      </x:c>
      <x:c r="D108" s="25" t="str">
        <x:v>GOLD-KPI-149</x:v>
      </x:c>
      <x:c r="E108" s="25" t="str">
        <x:v>No direct saved visual binding</x:v>
      </x:c>
      <x:c r="F108" s="25" t="str">
        <x:v>gold.dim_snapshot_month; gold.fact_referral_snapshot</x:v>
      </x:c>
      <x:c r="G108" s="25" t="str">
        <x:v>[Active Provider Response Rate at Snapshot] - [Active Referral Engagement Rate Previous Month]</x:v>
      </x:c>
      <x:c r="H108" s="25" t="str">
        <x:v>KPI_LATEST_CALCULATIONS.md#business-active-referral-engagement-rate-variance</x:v>
      </x:c>
      <x:c r="I108" s="25" t="str">
        <x:v>Saved definition; runtime/acceptance pending</x:v>
      </x:c>
    </x:row>
    <x:row r="109" ht="33" customHeight="1">
      <x:c r="A109" s="25" t="str">
        <x:v>Active Referral Engagement Rate Variance Indicator</x:v>
      </x:c>
      <x:c r="B109" s="25" t="str">
        <x:v>_Measures</x:v>
      </x:c>
      <x:c r="C109" s="25" t="str">
        <x:v>Display/filter helper</x:v>
      </x:c>
      <x:c r="D109" s="25" t="str">
        <x:v>Helper/context; not registered as an additional KPI</x:v>
      </x:c>
      <x:c r="E109" s="25" t="str">
        <x:v>No direct saved visual binding</x:v>
      </x:c>
      <x:c r="F109" s="25" t="str">
        <x:v>gold.dim_snapshot_month; gold.fact_referral_snapshot</x:v>
      </x:c>
      <x:c r="G109" s="25" t="str">
        <x:v>IF ( [Active Referral Engagement Rate Variance] &gt; 0, "▲", IF ( [Active Referral Engagement Rate Variance] &lt; 0, "▼", "–" ) )</x:v>
      </x:c>
      <x:c r="H109" s="25" t="str">
        <x:v>KPI_LATEST_CALCULATIONS.md#business-active-referral-engagement-rate-variance-indicator</x:v>
      </x:c>
      <x:c r="I109" s="25" t="str">
        <x:v>Saved definition; runtime/acceptance pending</x:v>
      </x:c>
    </x:row>
    <x:row r="110" ht="46" customHeight="1">
      <x:c r="A110" s="25" t="str">
        <x:v>Active Referral Engagement Rate Variance Indicator Color</x:v>
      </x:c>
      <x:c r="B110" s="25" t="str">
        <x:v>_Measures</x:v>
      </x:c>
      <x:c r="C110" s="25" t="str">
        <x:v>Display/filter helper</x:v>
      </x:c>
      <x:c r="D110" s="25" t="str">
        <x:v>Helper/context; not registered as an additional KPI</x:v>
      </x:c>
      <x:c r="E110" s="25" t="str">
        <x:v>No direct saved visual binding</x:v>
      </x:c>
      <x:c r="F110" s="25" t="str">
        <x:v>gold.dim_snapshot_month; gold.fact_referral_snapshot</x:v>
      </x:c>
      <x:c r="G110" s="25" t="str">
        <x:v>IF ( [Active Referral Engagement Rate Variance] &gt; 0, "green", IF ( [Active Referral Engagement Rate Variance] &lt; 0, "red", "grey" ) )</x:v>
      </x:c>
      <x:c r="H110" s="25" t="str">
        <x:v>KPI_LATEST_CALCULATIONS.md#business-active-referral-engagement-rate-variance-indicator-color</x:v>
      </x:c>
      <x:c r="I110" s="25" t="str">
        <x:v>Saved definition; runtime/acceptance pending</x:v>
      </x:c>
    </x:row>
    <x:row r="111" ht="33" customHeight="1">
      <x:c r="A111" s="25" t="str">
        <x:v>Active Referrals Awaiting Offers Previous Month</x:v>
      </x:c>
      <x:c r="B111" s="25" t="str">
        <x:v>_Measures</x:v>
      </x:c>
      <x:c r="C111" s="25" t="str">
        <x:v>Business metric</x:v>
      </x:c>
      <x:c r="D111" s="25" t="str">
        <x:v>GOLD-KPI-151</x:v>
      </x:c>
      <x:c r="E111" s="25" t="str">
        <x:v>No direct saved visual binding</x:v>
      </x:c>
      <x:c r="F111" s="25" t="str">
        <x:v>gold.dim_snapshot_month; gold.fact_referral_snapshot</x:v>
      </x:c>
      <x:c r="G111" s="25" t="str">
        <x:v>CALCULATE ( [Active Referrals Awaiting Offers at Snapshot], DATEADD ( 'dim_snapshot_month'[month_start], -1, MONTH ) )</x:v>
      </x:c>
      <x:c r="H111" s="25" t="str">
        <x:v>KPI_LATEST_CALCULATIONS.md#business-active-referrals-awaiting-offers-previous-month</x:v>
      </x:c>
      <x:c r="I111" s="25" t="str">
        <x:v>Saved definition; runtime/acceptance pending</x:v>
      </x:c>
    </x:row>
    <x:row r="112" ht="33" customHeight="1">
      <x:c r="A112" s="25" t="str">
        <x:v>Active Referrals Awaiting Offers Variance</x:v>
      </x:c>
      <x:c r="B112" s="25" t="str">
        <x:v>_Measures</x:v>
      </x:c>
      <x:c r="C112" s="25" t="str">
        <x:v>Business metric</x:v>
      </x:c>
      <x:c r="D112" s="25" t="str">
        <x:v>GOLD-KPI-152</x:v>
      </x:c>
      <x:c r="E112" s="25" t="str">
        <x:v>No direct saved visual binding</x:v>
      </x:c>
      <x:c r="F112" s="25" t="str">
        <x:v>gold.dim_snapshot_month; gold.fact_referral_snapshot</x:v>
      </x:c>
      <x:c r="G112" s="25" t="str">
        <x:v>[Active Referrals Awaiting Offers at Snapshot] - [Active Referrals Awaiting Offers Previous Month]</x:v>
      </x:c>
      <x:c r="H112" s="25" t="str">
        <x:v>KPI_LATEST_CALCULATIONS.md#business-active-referrals-awaiting-offers-variance</x:v>
      </x:c>
      <x:c r="I112" s="25" t="str">
        <x:v>Saved definition; runtime/acceptance pending</x:v>
      </x:c>
    </x:row>
    <x:row r="113" ht="33" customHeight="1">
      <x:c r="A113" s="25" t="str">
        <x:v>Active Referrals Awaiting Offers Variance Indicator</x:v>
      </x:c>
      <x:c r="B113" s="25" t="str">
        <x:v>_Measures</x:v>
      </x:c>
      <x:c r="C113" s="25" t="str">
        <x:v>Display/filter helper</x:v>
      </x:c>
      <x:c r="D113" s="25" t="str">
        <x:v>Helper/context; not registered as an additional KPI</x:v>
      </x:c>
      <x:c r="E113" s="25" t="str">
        <x:v>No direct saved visual binding</x:v>
      </x:c>
      <x:c r="F113" s="25" t="str">
        <x:v>gold.dim_snapshot_month; gold.fact_referral_snapshot</x:v>
      </x:c>
      <x:c r="G113" s="25" t="str">
        <x:v>IF([Active Referrals Awaiting Offers Variance] &gt; 0, "▲", IF([Active Referrals Awaiting Offers Variance]&lt; 0, "▼", "–"))</x:v>
      </x:c>
      <x:c r="H113" s="25" t="str">
        <x:v>KPI_LATEST_CALCULATIONS.md#business-active-referrals-awaiting-offers-variance-indicator</x:v>
      </x:c>
      <x:c r="I113" s="25" t="str">
        <x:v>Saved definition; runtime/acceptance pending</x:v>
      </x:c>
    </x:row>
    <x:row r="114" ht="46" customHeight="1">
      <x:c r="A114" s="25" t="str">
        <x:v>Active Referrals Awaiting Offers Variance Indicator Color</x:v>
      </x:c>
      <x:c r="B114" s="25" t="str">
        <x:v>_Measures</x:v>
      </x:c>
      <x:c r="C114" s="25" t="str">
        <x:v>Display/filter helper</x:v>
      </x:c>
      <x:c r="D114" s="25" t="str">
        <x:v>Helper/context; not registered as an additional KPI</x:v>
      </x:c>
      <x:c r="E114" s="25" t="str">
        <x:v>No direct saved visual binding</x:v>
      </x:c>
      <x:c r="F114" s="25" t="str">
        <x:v>gold.dim_snapshot_month; gold.fact_referral_snapshot</x:v>
      </x:c>
      <x:c r="G114" s="25" t="str">
        <x:v>IF([Active Referrals Awaiting Offers Variance] &gt; 0, "green", IF([Active Referrals Awaiting Offers Variance] &lt; 0, "red", "grey"))</x:v>
      </x:c>
      <x:c r="H114" s="25" t="str">
        <x:v>KPI_LATEST_CALCULATIONS.md#business-active-referrals-awaiting-offers-variance-indicator-color</x:v>
      </x:c>
      <x:c r="I114" s="25" t="str">
        <x:v>Saved definition; runtime/acceptance pending</x:v>
      </x:c>
    </x:row>
    <x:row r="115" ht="72" customHeight="1">
      <x:c r="A115" s="25" t="str">
        <x:v>Active Referrals Awaiting Offers at Snapshot</x:v>
      </x:c>
      <x:c r="B115" s="25" t="str">
        <x:v>_Measures</x:v>
      </x:c>
      <x:c r="C115" s="25" t="str">
        <x:v>Business metric</x:v>
      </x:c>
      <x:c r="D115" s="25" t="str">
        <x:v>GOLD-KPI-150</x:v>
      </x:c>
      <x:c r="E115" s="25" t="str">
        <x:v>Referral Snapshots</x:v>
      </x:c>
      <x:c r="F115" s="25" t="str">
        <x:v>gold.fact_referral_snapshot</x:v>
      </x:c>
      <x:c r="G115" s="25" t="str">
        <x:v>CALCULATE (
				[Snapshot Referrals],
				'fact_referral_snapshot'[is_open] = TRUE (),
				'fact_referral_snapshot'[is_awaiting_offer] = TRUE ()
			)</x:v>
      </x:c>
      <x:c r="H115" s="25" t="str">
        <x:v>KPI_LATEST_CALCULATIONS.md#business-active-referrals-awaiting-offers-at-snapshot</x:v>
      </x:c>
      <x:c r="I115" s="25" t="str">
        <x:v>Saved definition; runtime/acceptance pending</x:v>
      </x:c>
    </x:row>
    <x:row r="116" ht="33" customHeight="1">
      <x:c r="A116" s="25" t="str">
        <x:v>Active Referrals Under Offer Indicator</x:v>
      </x:c>
      <x:c r="B116" s="25" t="str">
        <x:v>_Measures</x:v>
      </x:c>
      <x:c r="C116" s="25" t="str">
        <x:v>Display/filter helper</x:v>
      </x:c>
      <x:c r="D116" s="25" t="str">
        <x:v>Helper/context; not registered as an additional KPI</x:v>
      </x:c>
      <x:c r="E116" s="25" t="str">
        <x:v>No direct saved visual binding</x:v>
      </x:c>
      <x:c r="F116" s="25" t="str">
        <x:v>gold.dim_snapshot_month; gold.fact_referral_snapshot</x:v>
      </x:c>
      <x:c r="G116" s="25" t="str">
        <x:v>IF([Active Referrals Under Offer Variance] &gt; 0, "▲", IF([Active Referrals Under Offer Variance]&lt; 0, "▼", "–"))</x:v>
      </x:c>
      <x:c r="H116" s="25" t="str">
        <x:v>KPI_LATEST_CALCULATIONS.md#business-active-referrals-under-offer-indicator</x:v>
      </x:c>
      <x:c r="I116" s="25" t="str">
        <x:v>Saved definition; runtime/acceptance pending</x:v>
      </x:c>
    </x:row>
    <x:row r="117" ht="33" customHeight="1">
      <x:c r="A117" s="25" t="str">
        <x:v>Active Referrals Under Offer Previous Month</x:v>
      </x:c>
      <x:c r="B117" s="25" t="str">
        <x:v>_Measures</x:v>
      </x:c>
      <x:c r="C117" s="25" t="str">
        <x:v>Business metric</x:v>
      </x:c>
      <x:c r="D117" s="25" t="str">
        <x:v>GOLD-KPI-154</x:v>
      </x:c>
      <x:c r="E117" s="25" t="str">
        <x:v>No direct saved visual binding</x:v>
      </x:c>
      <x:c r="F117" s="25" t="str">
        <x:v>gold.dim_snapshot_month; gold.fact_referral_snapshot</x:v>
      </x:c>
      <x:c r="G117" s="25" t="str">
        <x:v>CALCULATE ( [Active Referrals Under Offer at Snapshot], DATEADD ( 'dim_snapshot_month'[month_start], -1, MONTH ) )</x:v>
      </x:c>
      <x:c r="H117" s="25" t="str">
        <x:v>KPI_LATEST_CALCULATIONS.md#business-active-referrals-under-offer-previous-month</x:v>
      </x:c>
      <x:c r="I117" s="25" t="str">
        <x:v>Saved definition; runtime/acceptance pending</x:v>
      </x:c>
    </x:row>
    <x:row r="118" ht="33" customHeight="1">
      <x:c r="A118" s="25" t="str">
        <x:v>Active Referrals Under Offer Variance</x:v>
      </x:c>
      <x:c r="B118" s="25" t="str">
        <x:v>_Measures</x:v>
      </x:c>
      <x:c r="C118" s="25" t="str">
        <x:v>Business metric</x:v>
      </x:c>
      <x:c r="D118" s="25" t="str">
        <x:v>GOLD-KPI-155</x:v>
      </x:c>
      <x:c r="E118" s="25" t="str">
        <x:v>No direct saved visual binding</x:v>
      </x:c>
      <x:c r="F118" s="25" t="str">
        <x:v>gold.dim_snapshot_month; gold.fact_referral_snapshot</x:v>
      </x:c>
      <x:c r="G118" s="25" t="str">
        <x:v>[Active Referrals Under Offer at Snapshot] - [Active Referrals Under Offer Previous Month]</x:v>
      </x:c>
      <x:c r="H118" s="25" t="str">
        <x:v>KPI_LATEST_CALCULATIONS.md#business-active-referrals-under-offer-variance</x:v>
      </x:c>
      <x:c r="I118" s="25" t="str">
        <x:v>Saved definition; runtime/acceptance pending</x:v>
      </x:c>
    </x:row>
    <x:row r="119" ht="33" customHeight="1">
      <x:c r="A119" s="25" t="str">
        <x:v>Active Referrals Under Offer Variance Indicator Color</x:v>
      </x:c>
      <x:c r="B119" s="25" t="str">
        <x:v>_Measures</x:v>
      </x:c>
      <x:c r="C119" s="25" t="str">
        <x:v>Display/filter helper</x:v>
      </x:c>
      <x:c r="D119" s="25" t="str">
        <x:v>Helper/context; not registered as an additional KPI</x:v>
      </x:c>
      <x:c r="E119" s="25" t="str">
        <x:v>No direct saved visual binding</x:v>
      </x:c>
      <x:c r="F119" s="25" t="str">
        <x:v>gold.dim_snapshot_month; gold.fact_referral_snapshot</x:v>
      </x:c>
      <x:c r="G119" s="25" t="str">
        <x:v>IF([Active Referrals Under Offer Variance] &gt; 0, "green", IF([Active Referrals Under Offer Variance] &lt; 0, "red", "grey"))</x:v>
      </x:c>
      <x:c r="H119" s="25" t="str">
        <x:v>KPI_LATEST_CALCULATIONS.md#business-active-referrals-under-offer-variance-indicator-color</x:v>
      </x:c>
      <x:c r="I119" s="25" t="str">
        <x:v>Saved definition; runtime/acceptance pending</x:v>
      </x:c>
    </x:row>
    <x:row r="120" ht="72" customHeight="1">
      <x:c r="A120" s="25" t="str">
        <x:v>Active Referrals Under Offer at Snapshot</x:v>
      </x:c>
      <x:c r="B120" s="25" t="str">
        <x:v>_Measures</x:v>
      </x:c>
      <x:c r="C120" s="25" t="str">
        <x:v>Business metric</x:v>
      </x:c>
      <x:c r="D120" s="25" t="str">
        <x:v>GOLD-KPI-153</x:v>
      </x:c>
      <x:c r="E120" s="25" t="str">
        <x:v>Referral Snapshots; Referrals</x:v>
      </x:c>
      <x:c r="F120" s="25" t="str">
        <x:v>gold.fact_referral_snapshot</x:v>
      </x:c>
      <x:c r="G120" s="25" t="str">
        <x:v>CALCULATE (
				[Snapshot Referrals],
				'fact_referral_snapshot'[is_open] = TRUE (),
				'fact_referral_snapshot'[current_status] = "UNDER_OFFER"
			)</x:v>
      </x:c>
      <x:c r="H120" s="25" t="str">
        <x:v>KPI_LATEST_CALCULATIONS.md#business-active-referrals-under-offer-at-snapshot</x:v>
      </x:c>
      <x:c r="I120" s="25" t="str">
        <x:v>Saved definition; runtime/acceptance pending</x:v>
      </x:c>
    </x:row>
    <x:row r="121" ht="72" customHeight="1">
      <x:c r="A121" s="25" t="str">
        <x:v>Active Referrals With Provider Engagement</x:v>
      </x:c>
      <x:c r="B121" s="25" t="str">
        <x:v>_Measures</x:v>
      </x:c>
      <x:c r="C121" s="25" t="str">
        <x:v>Business metric</x:v>
      </x:c>
      <x:c r="D121" s="25" t="str">
        <x:v>KPI-19</x:v>
      </x:c>
      <x:c r="E121" s="25" t="str">
        <x:v>Offers Overview; Referrals</x:v>
      </x:c>
      <x:c r="F121" s="25" t="str">
        <x:v>gold.fact_referral</x:v>
      </x:c>
      <x:c r="G121" s="25" t="str">
        <x:v>CALCULATE (
				[Total Referrals],
				'fact_referral'[is_open] = TRUE (),
				'fact_referral'[has_provider_response] = TRUE ()
			)</x:v>
      </x:c>
      <x:c r="H121" s="25" t="str">
        <x:v>KPI_LATEST_CALCULATIONS.md#business-active-referrals-with-provider-engagement</x:v>
      </x:c>
      <x:c r="I121" s="25" t="str">
        <x:v>Saved definition; runtime/acceptance pending</x:v>
      </x:c>
    </x:row>
    <x:row r="122" ht="72" customHeight="1">
      <x:c r="A122" s="25" t="str">
        <x:v>Active Referrals With Provider Response at Snapshot</x:v>
      </x:c>
      <x:c r="B122" s="25" t="str">
        <x:v>_Measures</x:v>
      </x:c>
      <x:c r="C122" s="25" t="str">
        <x:v>Business metric</x:v>
      </x:c>
      <x:c r="D122" s="25" t="str">
        <x:v>GOLD-KPI-156</x:v>
      </x:c>
      <x:c r="E122" s="25" t="str">
        <x:v>No direct saved visual binding</x:v>
      </x:c>
      <x:c r="F122" s="25" t="str">
        <x:v>gold.fact_referral_snapshot</x:v>
      </x:c>
      <x:c r="G122" s="25" t="str">
        <x:v>CALCULATE (
				[Snapshot Referrals],
				'fact_referral_snapshot'[is_open] = TRUE (),
				'fact_referral_snapshot'[has_provider_response] = TRUE ()
			)</x:v>
      </x:c>
      <x:c r="H122" s="25" t="str">
        <x:v>KPI_LATEST_CALCULATIONS.md#business-active-referrals-with-provider-response-at-snapshot</x:v>
      </x:c>
      <x:c r="I122" s="25" t="str">
        <x:v>Saved definition; runtime/acceptance pending</x:v>
      </x:c>
    </x:row>
    <x:row r="123" ht="33" customHeight="1">
      <x:c r="A123" s="25" t="str">
        <x:v>Average Active IPA Weekly Cost</x:v>
      </x:c>
      <x:c r="B123" s="25" t="str">
        <x:v>_Measures</x:v>
      </x:c>
      <x:c r="C123" s="25" t="str">
        <x:v>Business metric</x:v>
      </x:c>
      <x:c r="D123" s="25" t="str">
        <x:v>GOLD-KPI-097</x:v>
      </x:c>
      <x:c r="E123" s="25" t="str">
        <x:v>No direct saved visual binding</x:v>
      </x:c>
      <x:c r="F123" s="25" t="str">
        <x:v>gold.fact_ipa</x:v>
      </x:c>
      <x:c r="G123" s="25" t="str">
        <x:v>DIVIDE ( [Estimated Active Weekly Cost], [Active IPAs] )</x:v>
      </x:c>
      <x:c r="H123" s="25" t="str">
        <x:v>KPI_LATEST_CALCULATIONS.md#business-average-active-ipa-weekly-cost</x:v>
      </x:c>
      <x:c r="I123" s="25" t="str">
        <x:v>Saved definition; runtime/acceptance pending</x:v>
      </x:c>
    </x:row>
    <x:row r="124" ht="85" customHeight="1">
      <x:c r="A124" s="25" t="str">
        <x:v>Average Days Early</x:v>
      </x:c>
      <x:c r="B124" s="25" t="str">
        <x:v>_Design Measures</x:v>
      </x:c>
      <x:c r="C124" s="25" t="str">
        <x:v>Business metric</x:v>
      </x:c>
      <x:c r="D124" s="25" t="str">
        <x:v>GOLD-KPI-157</x:v>
      </x:c>
      <x:c r="E124" s="25" t="str">
        <x:v>Target &amp; Urgency Performance</x:v>
      </x:c>
      <x:c r="F124" s="25" t="str">
        <x:v>gold.fact_referral</x:v>
      </x:c>
      <x:c r="G124" s="25" t="str">
        <x:v>AVERAGEX ( FILTER ( 'fact_referral',
			    NOT ISBLANK ( 'fact_referral'[ipa_issued_date] ) &amp;&amp; NOT ISBLANK ( 'fact_referral'[required_placement_date] )
			    &amp;&amp; 'fact_referral'[placed_by_required_date] = TRUE () ),
			    DATEDIFF ( 'fact_referral'[ipa_issued_date], 'fact_referral'[required_placement_date], DAY ) )</x:v>
      </x:c>
      <x:c r="H124" s="25" t="str">
        <x:v>KPI_LATEST_CALCULATIONS.md#business-average-days-early</x:v>
      </x:c>
      <x:c r="I124" s="25" t="str">
        <x:v>Saved definition; runtime/acceptance pending</x:v>
      </x:c>
    </x:row>
    <x:row r="125" ht="111" customHeight="1">
      <x:c r="A125" s="25" t="str">
        <x:v>Average Days in Draft</x:v>
      </x:c>
      <x:c r="B125" s="25" t="str">
        <x:v>_Measures</x:v>
      </x:c>
      <x:c r="C125" s="25" t="str">
        <x:v>Business metric</x:v>
      </x:c>
      <x:c r="D125" s="25" t="str">
        <x:v>KPI-59</x:v>
      </x:c>
      <x:c r="E125" s="25" t="str">
        <x:v>No direct saved visual binding</x:v>
      </x:c>
      <x:c r="F125" s="25" t="str">
        <x:v>gold.fact_offer</x:v>
      </x:c>
      <x:c r="G125" s="25" t="str">
        <x:v>AVERAGEX (
				FILTER (
					'fact_offer',
					LOWER ( COALESCE ( 'fact_offer'[offer_status], "" ) ) = "draft"
						&amp;&amp; NOT ISBLANK ( 'fact_offer'[offer_age_days] )
				),
				'fact_offer'[offer_age_days]
			)</x:v>
      </x:c>
      <x:c r="H125" s="25" t="str">
        <x:v>KPI_LATEST_CALCULATIONS.md#business-average-days-in-draft</x:v>
      </x:c>
      <x:c r="I125" s="25" t="str">
        <x:v>Saved definition; runtime/acceptance pending</x:v>
      </x:c>
    </x:row>
    <x:row r="126" ht="111" customHeight="1">
      <x:c r="A126" s="25" t="str">
        <x:v>Average Estimated Weekly Cost — Confirmed Referrals</x:v>
      </x:c>
      <x:c r="B126" s="25" t="str">
        <x:v>_Measures</x:v>
      </x:c>
      <x:c r="C126" s="25" t="str">
        <x:v>Business metric</x:v>
      </x:c>
      <x:c r="D126" s="25" t="str">
        <x:v>GOLD-KPI-024</x:v>
      </x:c>
      <x:c r="E126" s="25" t="str">
        <x:v>No direct saved visual binding</x:v>
      </x:c>
      <x:c r="F126" s="25" t="str">
        <x:v>gold.fact_referral</x:v>
      </x:c>
      <x:c r="G126" s="25" t="str">
        <x:v>AVERAGEX (
			    FILTER (
			        'fact_referral',
			        NOT ISBLANK ( 'fact_referral'[ipa_issued_date] )
			            &amp;&amp; NOT ISBLANK ( 'fact_referral'[estimated_weekly_cost] )
			    ),
			    'fact_referral'[estimated_weekly_cost]
			)</x:v>
      </x:c>
      <x:c r="H126" s="25" t="str">
        <x:v>KPI_LATEST_CALCULATIONS.md#business-average-estimated-weekly-cost-confirmed-referrals</x:v>
      </x:c>
      <x:c r="I126" s="25" t="str">
        <x:v>Saved definition; runtime/acceptance pending</x:v>
      </x:c>
    </x:row>
    <x:row r="127" ht="33" customHeight="1">
      <x:c r="A127" s="25" t="str">
        <x:v>Average Lifecycle Events per Referral</x:v>
      </x:c>
      <x:c r="B127" s="25" t="str">
        <x:v>_Measures</x:v>
      </x:c>
      <x:c r="C127" s="25" t="str">
        <x:v>Business metric</x:v>
      </x:c>
      <x:c r="D127" s="25" t="str">
        <x:v>GOLD-KPI-107</x:v>
      </x:c>
      <x:c r="E127" s="25" t="str">
        <x:v>No direct saved visual binding</x:v>
      </x:c>
      <x:c r="F127" s="25" t="str">
        <x:v>gold.fact_referral_lifecycle_event</x:v>
      </x:c>
      <x:c r="G127" s="25" t="str">
        <x:v>DIVIDE ( [Referral Lifecycle Events], [Referrals With Lifecycle Activity] )</x:v>
      </x:c>
      <x:c r="H127" s="25" t="str">
        <x:v>KPI_LATEST_CALCULATIONS.md#business-average-lifecycle-events-per-referral</x:v>
      </x:c>
      <x:c r="I127" s="25" t="str">
        <x:v>Saved definition; runtime/acceptance pending</x:v>
      </x:c>
    </x:row>
    <x:row r="128" ht="24" customHeight="1">
      <x:c r="A128" s="25" t="str">
        <x:v>Average Offers per Provider</x:v>
      </x:c>
      <x:c r="B128" s="25" t="str">
        <x:v>_Measures</x:v>
      </x:c>
      <x:c r="C128" s="25" t="str">
        <x:v>Business metric</x:v>
      </x:c>
      <x:c r="D128" s="25" t="str">
        <x:v>GOLD-KPI-057</x:v>
      </x:c>
      <x:c r="E128" s="25" t="str">
        <x:v>No direct saved visual binding</x:v>
      </x:c>
      <x:c r="F128" s="25" t="str">
        <x:v>gold.fact_offer</x:v>
      </x:c>
      <x:c r="G128" s="25" t="str">
        <x:v>DIVIDE ( [Non-Draft Offers], [Providers Who Made Offers] )</x:v>
      </x:c>
      <x:c r="H128" s="25" t="str">
        <x:v>KPI_LATEST_CALCULATIONS.md#business-average-offers-per-provider</x:v>
      </x:c>
      <x:c r="I128" s="25" t="str">
        <x:v>Saved definition; runtime/acceptance pending</x:v>
      </x:c>
    </x:row>
    <x:row r="129" ht="59" customHeight="1">
      <x:c r="A129" s="25" t="str">
        <x:v>Average Offers per Provider - Under Offer</x:v>
      </x:c>
      <x:c r="B129" s="25" t="str">
        <x:v>_Measures</x:v>
      </x:c>
      <x:c r="C129" s="25" t="str">
        <x:v>Business metric</x:v>
      </x:c>
      <x:c r="D129" s="25" t="str">
        <x:v>GOLD-KPI-158</x:v>
      </x:c>
      <x:c r="E129" s="25" t="str">
        <x:v>No direct saved visual binding</x:v>
      </x:c>
      <x:c r="F129" s="25" t="str">
        <x:v>gold.fact_offer; gold.fact_referral</x:v>
      </x:c>
      <x:c r="G129" s="25" t="str">
        <x:v>DIVIDE (
			    [Offers on Referrals Under Offer],
			    [Providers With Offers on Referrals Under Offer]
			)</x:v>
      </x:c>
      <x:c r="H129" s="25" t="str">
        <x:v>KPI_LATEST_CALCULATIONS.md#business-average-offers-per-provider-under-offer</x:v>
      </x:c>
      <x:c r="I129" s="25" t="str">
        <x:v>Saved definition; runtime/acceptance pending</x:v>
      </x:c>
    </x:row>
    <x:row r="130" ht="24" customHeight="1">
      <x:c r="A130" s="25" t="str">
        <x:v>Average Offers per Referral</x:v>
      </x:c>
      <x:c r="B130" s="25" t="str">
        <x:v>_Measures</x:v>
      </x:c>
      <x:c r="C130" s="25" t="str">
        <x:v>Business metric</x:v>
      </x:c>
      <x:c r="D130" s="25" t="str">
        <x:v>GOLD-KPI-018</x:v>
      </x:c>
      <x:c r="E130" s="25" t="str">
        <x:v>Provider &amp; Placement Supply</x:v>
      </x:c>
      <x:c r="F130" s="25" t="str">
        <x:v>gold.fact_offer; gold.fact_referral</x:v>
      </x:c>
      <x:c r="G130" s="25" t="str">
        <x:v>DIVIDE ( [Offers Submitted], [Referrals With an Offer] )</x:v>
      </x:c>
      <x:c r="H130" s="25" t="str">
        <x:v>KPI_LATEST_CALCULATIONS.md#business-average-offers-per-referral</x:v>
      </x:c>
      <x:c r="I130" s="25" t="str">
        <x:v>Saved definition; runtime/acceptance pending</x:v>
      </x:c>
    </x:row>
    <x:row r="131" ht="150" customHeight="1">
      <x:c r="A131" s="25" t="str">
        <x:v>Average Offers per Referral Under Offer</x:v>
      </x:c>
      <x:c r="B131" s="25" t="str">
        <x:v>_Measures</x:v>
      </x:c>
      <x:c r="C131" s="25" t="str">
        <x:v>Business metric</x:v>
      </x:c>
      <x:c r="D131" s="25" t="str">
        <x:v>KPI-13</x:v>
      </x:c>
      <x:c r="E131" s="25" t="str">
        <x:v>Historic; Offers Overview; Requirement Matrix Overview</x:v>
      </x:c>
      <x:c r="F131" s="25" t="str">
        <x:v>gold.fact_offer; gold.fact_referral</x:v>
      </x:c>
      <x:c r="G131" s="25" t="str">
        <x:v>DIVIDE (
			    CALCULATE (
			        [Non-Draft Offers],
			        FILTER (
			            'fact_referral',
			            'fact_referral'[is_open] = TRUE () &amp;&amp; 'fact_referral'[current_status] = "UNDER_OFFER"
			        )
			    ),
			    [Referrals Under Offer]
			)</x:v>
      </x:c>
      <x:c r="H131" s="25" t="str">
        <x:v>KPI_LATEST_CALCULATIONS.md#business-average-offers-per-referral-under-offer</x:v>
      </x:c>
      <x:c r="I131" s="25" t="str">
        <x:v>Saved definition; runtime/acceptance pending</x:v>
      </x:c>
    </x:row>
    <x:row r="132" ht="72" customHeight="1">
      <x:c r="A132" s="25" t="str">
        <x:v>Avg Offers per Provider (Under Offer)</x:v>
      </x:c>
      <x:c r="B132" s="25" t="str">
        <x:v>_Measures</x:v>
      </x:c>
      <x:c r="C132" s="25" t="str">
        <x:v>Business metric</x:v>
      </x:c>
      <x:c r="D132" s="25" t="str">
        <x:v>KPI-14</x:v>
      </x:c>
      <x:c r="E132" s="25" t="str">
        <x:v>Historic; Offers Overview; Requirement Matrix Overview</x:v>
      </x:c>
      <x:c r="F132" s="25" t="str">
        <x:v>gold.fact_offer; gold.fact_referral</x:v>
      </x:c>
      <x:c r="G132" s="25" t="str">
        <x:v>DIVIDE(
			    [Offers on Referrals Under Offer],
			    [No. Providers Who Made Offers],
			    0
			)</x:v>
      </x:c>
      <x:c r="H132" s="25" t="str">
        <x:v>KPI_LATEST_CALCULATIONS.md#business-avg-offers-per-provider-under-offer</x:v>
      </x:c>
      <x:c r="I132" s="25" t="str">
        <x:v>Saved definition; runtime/acceptance pending</x:v>
      </x:c>
    </x:row>
    <x:row r="133" ht="98" customHeight="1">
      <x:c r="A133" s="25" t="str">
        <x:v>Awaiting offer</x:v>
      </x:c>
      <x:c r="B133" s="25" t="str">
        <x:v>_Explore Measures</x:v>
      </x:c>
      <x:c r="C133" s="25" t="str">
        <x:v>Business metric</x:v>
      </x:c>
      <x:c r="D133" s="25" t="str">
        <x:v>GOLD-KPI-159</x:v>
      </x:c>
      <x:c r="E133" s="25" t="str">
        <x:v>Referral Geography; Referrals</x:v>
      </x:c>
      <x:c r="F133" s="25" t="str">
        <x:v>gold.bridge_referral_framework_category; gold.dim_framework_category; gold.fact_referral</x:v>
      </x:c>
      <x:c r="G133" s="25" t="str">
        <x:v>VAR selectedCategories=VALUES('Referral Category'[Category ID])
			VAR ids=CALCULATETABLE(VALUES('bridge_referral_framework_category'[referral_id]),TREATAS(selectedCategories,'bridge_referral_framework_category'[framework_category_id]))
			RETURN IF(ISCROSSFILTERED('Referral Category'),CALCULATE([Referrals Awaiting Offer],KEEPFILTERS(TREATAS(ids,'fact_referral'[referral_id]))),[Referrals Awaiting Offer])</x:v>
      </x:c>
      <x:c r="H133" s="25" t="str">
        <x:v>KPI_LATEST_CALCULATIONS.md#business-awaiting-offer</x:v>
      </x:c>
      <x:c r="I133" s="25" t="str">
        <x:v>Saved definition; runtime/acceptance pending</x:v>
      </x:c>
    </x:row>
    <x:row r="134" ht="98" customHeight="1">
      <x:c r="A134" s="25" t="str">
        <x:v>Category-aware open referrals</x:v>
      </x:c>
      <x:c r="B134" s="25" t="str">
        <x:v>_Explore Measures</x:v>
      </x:c>
      <x:c r="C134" s="25" t="str">
        <x:v>Business metric</x:v>
      </x:c>
      <x:c r="D134" s="25" t="str">
        <x:v>GOLD-KPI-160</x:v>
      </x:c>
      <x:c r="E134" s="25" t="str">
        <x:v>Referral Geography</x:v>
      </x:c>
      <x:c r="F134" s="25" t="str">
        <x:v>gold.bridge_referral_framework_category; gold.dim_framework_category; gold.fact_referral</x:v>
      </x:c>
      <x:c r="G134" s="25" t="str">
        <x:v>VAR selectedCategories=VALUES('Referral Category'[Category ID])
			VAR ids=CALCULATETABLE(VALUES('bridge_referral_framework_category'[referral_id]),TREATAS(selectedCategories,'bridge_referral_framework_category'[framework_category_id]))
			RETURN IF(ISCROSSFILTERED('Referral Category'),CALCULATE([Referrals Currently Active],KEEPFILTERS(TREATAS(ids,'fact_referral'[referral_id]))),[Referrals Currently Active])</x:v>
      </x:c>
      <x:c r="H134" s="25" t="str">
        <x:v>KPI_LATEST_CALCULATIONS.md#business-category-aware-open-referrals</x:v>
      </x:c>
      <x:c r="I134" s="25" t="str">
        <x:v>Saved definition; runtime/acceptance pending</x:v>
      </x:c>
    </x:row>
    <x:row r="135" ht="24" customHeight="1">
      <x:c r="A135" s="25" t="str">
        <x:v>Closed IPAs</x:v>
      </x:c>
      <x:c r="B135" s="25" t="str">
        <x:v>_Measures</x:v>
      </x:c>
      <x:c r="C135" s="25" t="str">
        <x:v>Business metric</x:v>
      </x:c>
      <x:c r="D135" s="25" t="str">
        <x:v>GOLD-KPI-096</x:v>
      </x:c>
      <x:c r="E135" s="25" t="str">
        <x:v>Referrals</x:v>
      </x:c>
      <x:c r="F135" s="25" t="str">
        <x:v>gold.fact_ipa</x:v>
      </x:c>
      <x:c r="G135" s="25" t="str">
        <x:v>CALCULATE ( [IPAs Created], 'fact_ipa'[is_placement_closed] = TRUE () )</x:v>
      </x:c>
      <x:c r="H135" s="25" t="str">
        <x:v>KPI_LATEST_CALCULATIONS.md#business-closed-ipas</x:v>
      </x:c>
      <x:c r="I135" s="25" t="str">
        <x:v>Saved definition; runtime/acceptance pending</x:v>
      </x:c>
    </x:row>
    <x:row r="136" ht="33" customHeight="1">
      <x:c r="A136" s="25" t="str">
        <x:v>Closed Referrals</x:v>
      </x:c>
      <x:c r="B136" s="25" t="str">
        <x:v>_Measures</x:v>
      </x:c>
      <x:c r="C136" s="25" t="str">
        <x:v>Business metric</x:v>
      </x:c>
      <x:c r="D136" s="25" t="str">
        <x:v>GOLD-KPI-003</x:v>
      </x:c>
      <x:c r="E136" s="25" t="str">
        <x:v>Referral Detail (Drillthrough); Referral Explorer (Original); Referrals</x:v>
      </x:c>
      <x:c r="F136" s="25" t="str">
        <x:v>gold.fact_referral</x:v>
      </x:c>
      <x:c r="G136" s="25" t="str">
        <x:v>CALCULATE ( [Total Referrals], 'fact_referral'[is_open] = FALSE () )</x:v>
      </x:c>
      <x:c r="H136" s="25" t="str">
        <x:v>KPI_LATEST_CALCULATIONS.md#business-closed-referrals</x:v>
      </x:c>
      <x:c r="I136" s="25" t="str">
        <x:v>Saved definition; runtime/acceptance pending</x:v>
      </x:c>
    </x:row>
    <x:row r="137" ht="33" customHeight="1">
      <x:c r="A137" s="25" t="str">
        <x:v>Closed Referrals MoM %</x:v>
      </x:c>
      <x:c r="B137" s="25" t="str">
        <x:v>_Measures</x:v>
      </x:c>
      <x:c r="C137" s="25" t="str">
        <x:v>Business metric</x:v>
      </x:c>
      <x:c r="D137" s="25" t="str">
        <x:v>GOLD-KPI-165</x:v>
      </x:c>
      <x:c r="E137" s="25" t="str">
        <x:v>No direct saved visual binding</x:v>
      </x:c>
      <x:c r="F137" s="25" t="str">
        <x:v>gold.dim_snapshot_month; gold.fact_referral_snapshot</x:v>
      </x:c>
      <x:c r="G137" s="25" t="str">
        <x:v>DIVIDE ( [Closed Referrals Variance], [Closed Referrals Previous Month] )</x:v>
      </x:c>
      <x:c r="H137" s="25" t="str">
        <x:v>KPI_LATEST_CALCULATIONS.md#business-closed-referrals-mom-percent</x:v>
      </x:c>
      <x:c r="I137" s="25" t="str">
        <x:v>Saved definition; runtime/acceptance pending</x:v>
      </x:c>
    </x:row>
    <x:row r="138" ht="33" customHeight="1">
      <x:c r="A138" s="25" t="str">
        <x:v>Closed Referrals Previous Month</x:v>
      </x:c>
      <x:c r="B138" s="25" t="str">
        <x:v>_Measures</x:v>
      </x:c>
      <x:c r="C138" s="25" t="str">
        <x:v>Business metric</x:v>
      </x:c>
      <x:c r="D138" s="25" t="str">
        <x:v>GOLD-KPI-166</x:v>
      </x:c>
      <x:c r="E138" s="25" t="str">
        <x:v>No direct saved visual binding</x:v>
      </x:c>
      <x:c r="F138" s="25" t="str">
        <x:v>gold.dim_snapshot_month; gold.fact_referral_snapshot</x:v>
      </x:c>
      <x:c r="G138" s="25" t="str">
        <x:v>CALCULATE ( [Closed or Cancelled Referrals at Snapshot], DATEADD ( 'dim_snapshot_month'[month_start], -1, MONTH ) )</x:v>
      </x:c>
      <x:c r="H138" s="25" t="str">
        <x:v>KPI_LATEST_CALCULATIONS.md#business-closed-referrals-previous-month</x:v>
      </x:c>
      <x:c r="I138" s="25" t="str">
        <x:v>Saved definition; runtime/acceptance pending</x:v>
      </x:c>
    </x:row>
    <x:row r="139" ht="33" customHeight="1">
      <x:c r="A139" s="25" t="str">
        <x:v>Closed Referrals Variance</x:v>
      </x:c>
      <x:c r="B139" s="25" t="str">
        <x:v>_Measures</x:v>
      </x:c>
      <x:c r="C139" s="25" t="str">
        <x:v>Business metric</x:v>
      </x:c>
      <x:c r="D139" s="25" t="str">
        <x:v>GOLD-KPI-167</x:v>
      </x:c>
      <x:c r="E139" s="25" t="str">
        <x:v>No direct saved visual binding</x:v>
      </x:c>
      <x:c r="F139" s="25" t="str">
        <x:v>gold.dim_snapshot_month; gold.fact_referral_snapshot</x:v>
      </x:c>
      <x:c r="G139" s="25" t="str">
        <x:v>[Closed or Cancelled Referrals at Snapshot] - [Closed Referrals Previous Month]</x:v>
      </x:c>
      <x:c r="H139" s="25" t="str">
        <x:v>KPI_LATEST_CALCULATIONS.md#business-closed-referrals-variance</x:v>
      </x:c>
      <x:c r="I139" s="25" t="str">
        <x:v>Saved definition; runtime/acceptance pending</x:v>
      </x:c>
    </x:row>
    <x:row r="140" ht="33" customHeight="1">
      <x:c r="A140" s="25" t="str">
        <x:v>Closed Referrals Variance Indicator</x:v>
      </x:c>
      <x:c r="B140" s="25" t="str">
        <x:v>_Measures</x:v>
      </x:c>
      <x:c r="C140" s="25" t="str">
        <x:v>Display/filter helper</x:v>
      </x:c>
      <x:c r="D140" s="25" t="str">
        <x:v>Helper/context; not registered as an additional KPI</x:v>
      </x:c>
      <x:c r="E140" s="25" t="str">
        <x:v>No direct saved visual binding</x:v>
      </x:c>
      <x:c r="F140" s="25" t="str">
        <x:v>gold.dim_snapshot_month; gold.fact_referral_snapshot</x:v>
      </x:c>
      <x:c r="G140" s="25" t="str">
        <x:v>IF ( [Closed Referrals Variance] &gt; 0, "▲", IF ( [Closed Referrals Variance] &lt; 0, "▼", "–" ) )</x:v>
      </x:c>
      <x:c r="H140" s="25" t="str">
        <x:v>KPI_LATEST_CALCULATIONS.md#business-closed-referrals-variance-indicator</x:v>
      </x:c>
      <x:c r="I140" s="25" t="str">
        <x:v>Saved definition; runtime/acceptance pending</x:v>
      </x:c>
    </x:row>
    <x:row r="141" ht="33" customHeight="1">
      <x:c r="A141" s="25" t="str">
        <x:v>Closed Referrals Variance Indicator Color</x:v>
      </x:c>
      <x:c r="B141" s="25" t="str">
        <x:v>_Measures</x:v>
      </x:c>
      <x:c r="C141" s="25" t="str">
        <x:v>Display/filter helper</x:v>
      </x:c>
      <x:c r="D141" s="25" t="str">
        <x:v>Helper/context; not registered as an additional KPI</x:v>
      </x:c>
      <x:c r="E141" s="25" t="str">
        <x:v>No direct saved visual binding</x:v>
      </x:c>
      <x:c r="F141" s="25" t="str">
        <x:v>gold.dim_snapshot_month; gold.fact_referral_snapshot</x:v>
      </x:c>
      <x:c r="G141" s="25" t="str">
        <x:v>IF ( [Closed Referrals Variance] &gt; 0, "green", IF ( [Closed Referrals Variance] &lt; 0, "red", "grey" ) )</x:v>
      </x:c>
      <x:c r="H141" s="25" t="str">
        <x:v>KPI_LATEST_CALCULATIONS.md#business-closed-referrals-variance-indicator-color</x:v>
      </x:c>
      <x:c r="I141" s="25" t="str">
        <x:v>Saved definition; runtime/acceptance pending</x:v>
      </x:c>
    </x:row>
    <x:row r="142" ht="124" customHeight="1">
      <x:c r="A142" s="25" t="str">
        <x:v>Closed Referrals at Snapshot</x:v>
      </x:c>
      <x:c r="B142" s="25" t="str">
        <x:v>_Measures</x:v>
      </x:c>
      <x:c r="C142" s="25" t="str">
        <x:v>Business metric</x:v>
      </x:c>
      <x:c r="D142" s="25" t="str">
        <x:v>GOLD-KPI-030</x:v>
      </x:c>
      <x:c r="E142" s="25" t="str">
        <x:v>No direct saved visual binding</x:v>
      </x:c>
      <x:c r="F142" s="25" t="str">
        <x:v>gold.fact_referral_snapshot</x:v>
      </x:c>
      <x:c r="G142" s="25" t="str">
        <x:v>CALCULATE (
			    [Snapshot Referrals],
			    FILTER (
			        'fact_referral_snapshot',
			        NOT ISBLANK ( 'fact_referral_snapshot'[referral_closed_date] )
			            &amp;&amp; 'fact_referral_snapshot'[referral_closed_date] &lt; 'fact_referral_snapshot'[snapshot_date] + 1
			    )
			)</x:v>
      </x:c>
      <x:c r="H142" s="25" t="str">
        <x:v>KPI_LATEST_CALCULATIONS.md#business-closed-referrals-at-snapshot</x:v>
      </x:c>
      <x:c r="I142" s="25" t="str">
        <x:v>Saved definition; runtime/acceptance pending</x:v>
      </x:c>
    </x:row>
    <x:row r="143" ht="111" customHeight="1">
      <x:c r="A143" s="25" t="str">
        <x:v>Closed or Cancelled Referrals</x:v>
      </x:c>
      <x:c r="B143" s="25" t="str">
        <x:v>_Measures</x:v>
      </x:c>
      <x:c r="C143" s="25" t="str">
        <x:v>Business metric</x:v>
      </x:c>
      <x:c r="D143" s="25" t="str">
        <x:v>KPI-31</x:v>
      </x:c>
      <x:c r="E143" s="25" t="str">
        <x:v>Historic; Referrals</x:v>
      </x:c>
      <x:c r="F143" s="25" t="str">
        <x:v>gold.fact_referral</x:v>
      </x:c>
      <x:c r="G143" s="25" t="str">
        <x:v>CALCULATE (
			    [Total Referrals],
			    FILTER (
			        'fact_referral',
			        LOWER ( COALESCE ( 'fact_referral'[current_status], "" ) )
			            IN { "closed", "cancelled", "withdrawn", "completed" }
			    )
			)</x:v>
      </x:c>
      <x:c r="H143" s="25" t="str">
        <x:v>KPI_LATEST_CALCULATIONS.md#business-closed-or-cancelled-referrals</x:v>
      </x:c>
      <x:c r="I143" s="25" t="str">
        <x:v>Saved definition; runtime/acceptance pending</x:v>
      </x:c>
    </x:row>
    <x:row r="144" ht="33" customHeight="1">
      <x:c r="A144" s="25" t="str">
        <x:v>Closed or Cancelled Referrals MoM %</x:v>
      </x:c>
      <x:c r="B144" s="25" t="str">
        <x:v>_Measures</x:v>
      </x:c>
      <x:c r="C144" s="25" t="str">
        <x:v>Business metric</x:v>
      </x:c>
      <x:c r="D144" s="25" t="str">
        <x:v>GOLD-KPI-162</x:v>
      </x:c>
      <x:c r="E144" s="25" t="str">
        <x:v>No direct saved visual binding</x:v>
      </x:c>
      <x:c r="F144" s="25" t="str">
        <x:v>gold.dim_date; gold.fact_referral</x:v>
      </x:c>
      <x:c r="G144" s="25" t="str">
        <x:v>DIVIDE ( [Closed or Cancelled Referrals Variance], [Closed or Cancelled Referrals Previous Month] )</x:v>
      </x:c>
      <x:c r="H144" s="25" t="str">
        <x:v>KPI_LATEST_CALCULATIONS.md#business-closed-or-cancelled-referrals-mom-percent</x:v>
      </x:c>
      <x:c r="I144" s="25" t="str">
        <x:v>Saved definition; runtime/acceptance pending</x:v>
      </x:c>
    </x:row>
    <x:row r="145" ht="33" customHeight="1">
      <x:c r="A145" s="25" t="str">
        <x:v>Closed or Cancelled Referrals Previous Month</x:v>
      </x:c>
      <x:c r="B145" s="25" t="str">
        <x:v>_Measures</x:v>
      </x:c>
      <x:c r="C145" s="25" t="str">
        <x:v>Business metric</x:v>
      </x:c>
      <x:c r="D145" s="25" t="str">
        <x:v>GOLD-KPI-163</x:v>
      </x:c>
      <x:c r="E145" s="25" t="str">
        <x:v>No direct saved visual binding</x:v>
      </x:c>
      <x:c r="F145" s="25" t="str">
        <x:v>gold.dim_date; gold.fact_referral</x:v>
      </x:c>
      <x:c r="G145" s="25" t="str">
        <x:v>CALCULATE ( [Closed or Cancelled Referrals], DATEADD ( 'dim_date'[date], -1, MONTH ) )</x:v>
      </x:c>
      <x:c r="H145" s="25" t="str">
        <x:v>KPI_LATEST_CALCULATIONS.md#business-closed-or-cancelled-referrals-previous-month</x:v>
      </x:c>
      <x:c r="I145" s="25" t="str">
        <x:v>Saved definition; runtime/acceptance pending</x:v>
      </x:c>
    </x:row>
    <x:row r="146" ht="33" customHeight="1">
      <x:c r="A146" s="25" t="str">
        <x:v>Closed or Cancelled Referrals Variance</x:v>
      </x:c>
      <x:c r="B146" s="25" t="str">
        <x:v>_Measures</x:v>
      </x:c>
      <x:c r="C146" s="25" t="str">
        <x:v>Business metric</x:v>
      </x:c>
      <x:c r="D146" s="25" t="str">
        <x:v>GOLD-KPI-164</x:v>
      </x:c>
      <x:c r="E146" s="25" t="str">
        <x:v>No direct saved visual binding</x:v>
      </x:c>
      <x:c r="F146" s="25" t="str">
        <x:v>gold.dim_date; gold.fact_referral</x:v>
      </x:c>
      <x:c r="G146" s="25" t="str">
        <x:v>[Closed or Cancelled Referrals] - [Closed or Cancelled Referrals Previous Month]</x:v>
      </x:c>
      <x:c r="H146" s="25" t="str">
        <x:v>KPI_LATEST_CALCULATIONS.md#business-closed-or-cancelled-referrals-variance</x:v>
      </x:c>
      <x:c r="I146" s="25" t="str">
        <x:v>Saved definition; runtime/acceptance pending</x:v>
      </x:c>
    </x:row>
    <x:row r="147" ht="33" customHeight="1">
      <x:c r="A147" s="25" t="str">
        <x:v>Closed or Cancelled Referrals Variance Indicator</x:v>
      </x:c>
      <x:c r="B147" s="25" t="str">
        <x:v>_Measures</x:v>
      </x:c>
      <x:c r="C147" s="25" t="str">
        <x:v>Display/filter helper</x:v>
      </x:c>
      <x:c r="D147" s="25" t="str">
        <x:v>Helper/context; not registered as an additional KPI</x:v>
      </x:c>
      <x:c r="E147" s="25" t="str">
        <x:v>No direct saved visual binding</x:v>
      </x:c>
      <x:c r="F147" s="25" t="str">
        <x:v>gold.dim_date; gold.fact_referral</x:v>
      </x:c>
      <x:c r="G147" s="25" t="str">
        <x:v>IF ( [Closed or Cancelled Referrals Variance] &gt; 0, "▲", IF ( [Closed or Cancelled Referrals Variance] &lt; 0, "▼", "–" ) )</x:v>
      </x:c>
      <x:c r="H147" s="25" t="str">
        <x:v>KPI_LATEST_CALCULATIONS.md#business-closed-or-cancelled-referrals-variance-indicator</x:v>
      </x:c>
      <x:c r="I147" s="25" t="str">
        <x:v>Saved definition; runtime/acceptance pending</x:v>
      </x:c>
    </x:row>
    <x:row r="148" ht="33" customHeight="1">
      <x:c r="A148" s="25" t="str">
        <x:v>Closed or Cancelled Referrals Variance Indicator Color</x:v>
      </x:c>
      <x:c r="B148" s="25" t="str">
        <x:v>_Measures</x:v>
      </x:c>
      <x:c r="C148" s="25" t="str">
        <x:v>Display/filter helper</x:v>
      </x:c>
      <x:c r="D148" s="25" t="str">
        <x:v>Helper/context; not registered as an additional KPI</x:v>
      </x:c>
      <x:c r="E148" s="25" t="str">
        <x:v>No direct saved visual binding</x:v>
      </x:c>
      <x:c r="F148" s="25" t="str">
        <x:v>gold.dim_date; gold.fact_referral</x:v>
      </x:c>
      <x:c r="G148" s="25" t="str">
        <x:v>IF ( [Closed or Cancelled Referrals Variance] &gt; 0, "green", IF ( [Closed or Cancelled Referrals Variance] &lt; 0, "red", "grey" ) )</x:v>
      </x:c>
      <x:c r="H148" s="25" t="str">
        <x:v>KPI_LATEST_CALCULATIONS.md#business-closed-or-cancelled-referrals-variance-indicator-color</x:v>
      </x:c>
      <x:c r="I148" s="25" t="str">
        <x:v>Saved definition; runtime/acceptance pending</x:v>
      </x:c>
    </x:row>
    <x:row r="149" ht="111" customHeight="1">
      <x:c r="A149" s="25" t="str">
        <x:v>Closed or Cancelled Referrals at Snapshot</x:v>
      </x:c>
      <x:c r="B149" s="25" t="str">
        <x:v>_Measures</x:v>
      </x:c>
      <x:c r="C149" s="25" t="str">
        <x:v>Business metric</x:v>
      </x:c>
      <x:c r="D149" s="25" t="str">
        <x:v>GOLD-KPI-161</x:v>
      </x:c>
      <x:c r="E149" s="25" t="str">
        <x:v>Overall Performance; Referral Snapshots; Referrals</x:v>
      </x:c>
      <x:c r="F149" s="25" t="str">
        <x:v>gold.fact_referral_snapshot</x:v>
      </x:c>
      <x:c r="G149" s="25" t="str">
        <x:v>CALCULATE (
				[Snapshot Referrals],
				FILTER (
					'fact_referral_snapshot',
					LOWER ( COALESCE ( 'fact_referral_snapshot'[current_status], "" ) )
						IN { "closed", "cancelled", "withdrawn", "completed" }
				)
			)</x:v>
      </x:c>
      <x:c r="H149" s="25" t="str">
        <x:v>KPI_LATEST_CALCULATIONS.md#business-closed-or-cancelled-referrals-at-snapshot</x:v>
      </x:c>
      <x:c r="I149" s="25" t="str">
        <x:v>Saved definition; runtime/acceptance pending</x:v>
      </x:c>
    </x:row>
    <x:row r="150" ht="189" customHeight="1">
      <x:c r="A150" s="25" t="str">
        <x:v>Cohort Placement Within Window</x:v>
      </x:c>
      <x:c r="B150" s="25" t="str">
        <x:v>_Design Measures</x:v>
      </x:c>
      <x:c r="C150" s="25" t="str">
        <x:v>Business metric</x:v>
      </x:c>
      <x:c r="D150" s="25" t="str">
        <x:v>GOLD-KPI-168</x:v>
      </x:c>
      <x:c r="E150" s="25" t="str">
        <x:v>Target &amp; Urgency Performance</x:v>
      </x:c>
      <x:c r="F150" s="25" t="str">
        <x:v>gold.fact_referral</x:v>
      </x:c>
      <x:c r="G150" s="25" t="str">
        <x:v>VAR days = SELECTEDVALUE ( 'Placement Window'[Ordinal] )
			VAR eligible = FILTER ( 'fact_referral', NOT ISBLANK ( 'fact_referral'[referral_created_date] )
			    &amp;&amp; NOT ISBLANK ( 'fact_referral'[as_of_date] )
			    &amp;&amp; 'fact_referral'[referral_created_date] + days &lt;= 'fact_referral'[as_of_date] )
			VAR placed = FILTER ( eligible, NOT ISBLANK ( 'fact_referral'[ipa_issued_date] )
			    &amp;&amp; 'fact_referral'[ipa_issued_date] &gt;= 'fact_referral'[referral_created_date]
			    &amp;&amp; 'fact_referral'[ipa_issued_date] &lt;= 'fact_referral'[referral_created_date] + days )
			RETURN IF ( NOT ISBLANK ( days ), DIVIDE ( COUNTROWS ( placed ), COUNTROWS ( eligible ) ) )</x:v>
      </x:c>
      <x:c r="H150" s="25" t="str">
        <x:v>KPI_LATEST_CALCULATIONS.md#business-cohort-placement-within-window</x:v>
      </x:c>
      <x:c r="I150" s="25" t="str">
        <x:v>Saved definition; runtime/acceptance pending</x:v>
      </x:c>
    </x:row>
    <x:row r="151" ht="85" customHeight="1">
      <x:c r="A151" s="25" t="str">
        <x:v>Completed IPAs</x:v>
      </x:c>
      <x:c r="B151" s="25" t="str">
        <x:v>_Explore Measures</x:v>
      </x:c>
      <x:c r="C151" s="25" t="str">
        <x:v>Business metric</x:v>
      </x:c>
      <x:c r="D151" s="25" t="str">
        <x:v>GOLD-KPI-169</x:v>
      </x:c>
      <x:c r="E151" s="25" t="str">
        <x:v>No direct saved visual binding</x:v>
      </x:c>
      <x:c r="F151" s="25" t="str">
        <x:v>gold.bridge_referral_framework_category; gold.dim_framework_category; gold.fact_ipa; gold.fact_referral</x:v>
      </x:c>
      <x:c r="G151" s="25" t="str">
        <x:v>VAR selectedCategories=VALUES('Referral Category'[Category ID])
			VAR ids=CALCULATETABLE(VALUES('bridge_referral_framework_category'[referral_id]),TREATAS(selectedCategories,'bridge_referral_framework_category'[framework_category_id]))
			RETURN IF(ISCROSSFILTERED('Referral Category'),CALCULATE([IPA Completed],KEEPFILTERS(TREATAS(ids,'fact_referral'[referral_id]))),[IPA Completed])</x:v>
      </x:c>
      <x:c r="H151" s="25" t="str">
        <x:v>KPI_LATEST_CALCULATIONS.md#business-completed-ipas</x:v>
      </x:c>
      <x:c r="I151" s="25" t="str">
        <x:v>Saved definition; runtime/acceptance pending</x:v>
      </x:c>
    </x:row>
    <x:row r="152" ht="33" customHeight="1">
      <x:c r="A152" s="25" t="str">
        <x:v>Connection city</x:v>
      </x:c>
      <x:c r="B152" s="25" t="str">
        <x:v>Offer Location Paths</x:v>
      </x:c>
      <x:c r="C152" s="25" t="str">
        <x:v>Display/filter/context helper</x:v>
      </x:c>
      <x:c r="D152" s="25" t="str">
        <x:v>Helper/context; not registered as an additional KPI</x:v>
      </x:c>
      <x:c r="E152" s="25" t="str">
        <x:v>Offer Locations; Referral Explorer</x:v>
      </x:c>
      <x:c r="F152" s="25" t="str">
        <x:v>gold.dim_provider; gold.dim_provider_home; gold.fact_offer</x:v>
      </x:c>
      <x:c r="G152" s="25" t="str">
        <x:v>SELECTEDVALUE ( 'Offer Location Paths'[Referral city] )</x:v>
      </x:c>
      <x:c r="H152" s="25" t="str">
        <x:v>KPI_LATEST_CALCULATIONS.md#business-connection-city</x:v>
      </x:c>
      <x:c r="I152" s="25" t="str">
        <x:v>Saved definition; runtime/acceptance pending</x:v>
      </x:c>
    </x:row>
    <x:row r="153" ht="33" customHeight="1">
      <x:c r="A153" s="25" t="str">
        <x:v>Connection endpoint</x:v>
      </x:c>
      <x:c r="B153" s="25" t="str">
        <x:v>Offer Location Paths</x:v>
      </x:c>
      <x:c r="C153" s="25" t="str">
        <x:v>Display/filter/context helper</x:v>
      </x:c>
      <x:c r="D153" s="25" t="str">
        <x:v>Helper/context; not registered as an additional KPI</x:v>
      </x:c>
      <x:c r="E153" s="25" t="str">
        <x:v>Offer Locations; Referral Explorer</x:v>
      </x:c>
      <x:c r="F153" s="25" t="str">
        <x:v>gold.dim_provider; gold.dim_provider_home; gold.fact_offer</x:v>
      </x:c>
      <x:c r="G153" s="25" t="str">
        <x:v>SELECTEDVALUE ( 'Offer Location Paths'[Endpoint type] )</x:v>
      </x:c>
      <x:c r="H153" s="25" t="str">
        <x:v>KPI_LATEST_CALCULATIONS.md#business-connection-endpoint</x:v>
      </x:c>
      <x:c r="I153" s="25" t="str">
        <x:v>Saved definition; runtime/acceptance pending</x:v>
      </x:c>
    </x:row>
    <x:row r="154" ht="33" customHeight="1">
      <x:c r="A154" s="25" t="str">
        <x:v>Connection home</x:v>
      </x:c>
      <x:c r="B154" s="25" t="str">
        <x:v>Offer Location Paths</x:v>
      </x:c>
      <x:c r="C154" s="25" t="str">
        <x:v>Display/filter/context helper</x:v>
      </x:c>
      <x:c r="D154" s="25" t="str">
        <x:v>Helper/context; not registered as an additional KPI</x:v>
      </x:c>
      <x:c r="E154" s="25" t="str">
        <x:v>Offer Locations; Referral Explorer</x:v>
      </x:c>
      <x:c r="F154" s="25" t="str">
        <x:v>gold.dim_provider; gold.dim_provider_home; gold.fact_offer</x:v>
      </x:c>
      <x:c r="G154" s="25" t="str">
        <x:v>SELECTEDVALUE ( 'Offer Location Paths'[Home] )</x:v>
      </x:c>
      <x:c r="H154" s="25" t="str">
        <x:v>KPI_LATEST_CALCULATIONS.md#business-connection-home</x:v>
      </x:c>
      <x:c r="I154" s="25" t="str">
        <x:v>Saved definition; runtime/acceptance pending</x:v>
      </x:c>
    </x:row>
    <x:row r="155" ht="33" customHeight="1">
      <x:c r="A155" s="25" t="str">
        <x:v>Connection offer status</x:v>
      </x:c>
      <x:c r="B155" s="25" t="str">
        <x:v>Offer Location Paths</x:v>
      </x:c>
      <x:c r="C155" s="25" t="str">
        <x:v>Display/filter/context helper</x:v>
      </x:c>
      <x:c r="D155" s="25" t="str">
        <x:v>Helper/context; not registered as an additional KPI</x:v>
      </x:c>
      <x:c r="E155" s="25" t="str">
        <x:v>Offer Locations; Referral Explorer</x:v>
      </x:c>
      <x:c r="F155" s="25" t="str">
        <x:v>gold.dim_provider; gold.dim_provider_home; gold.fact_offer</x:v>
      </x:c>
      <x:c r="G155" s="25" t="str">
        <x:v>SELECTEDVALUE ( 'Offer Location Paths'[Offer status] )</x:v>
      </x:c>
      <x:c r="H155" s="25" t="str">
        <x:v>KPI_LATEST_CALCULATIONS.md#business-connection-offer-status</x:v>
      </x:c>
      <x:c r="I155" s="25" t="str">
        <x:v>Saved definition; runtime/acceptance pending</x:v>
      </x:c>
    </x:row>
    <x:row r="156" ht="33" customHeight="1">
      <x:c r="A156" s="25" t="str">
        <x:v>Connection postcode</x:v>
      </x:c>
      <x:c r="B156" s="25" t="str">
        <x:v>Offer Location Paths</x:v>
      </x:c>
      <x:c r="C156" s="25" t="str">
        <x:v>Display/filter/context helper</x:v>
      </x:c>
      <x:c r="D156" s="25" t="str">
        <x:v>Helper/context; not registered as an additional KPI</x:v>
      </x:c>
      <x:c r="E156" s="25" t="str">
        <x:v>Offer Locations; Referral Explorer</x:v>
      </x:c>
      <x:c r="F156" s="25" t="str">
        <x:v>gold.dim_provider; gold.dim_provider_home; gold.fact_offer</x:v>
      </x:c>
      <x:c r="G156" s="25" t="str">
        <x:v>SELECTEDVALUE ( 'Offer Location Paths'[Home postcode] )</x:v>
      </x:c>
      <x:c r="H156" s="25" t="str">
        <x:v>KPI_LATEST_CALCULATIONS.md#business-connection-postcode</x:v>
      </x:c>
      <x:c r="I156" s="25" t="str">
        <x:v>Saved definition; runtime/acceptance pending</x:v>
      </x:c>
    </x:row>
    <x:row r="157" ht="33" customHeight="1">
      <x:c r="A157" s="25" t="str">
        <x:v>Connection provider</x:v>
      </x:c>
      <x:c r="B157" s="25" t="str">
        <x:v>Offer Location Paths</x:v>
      </x:c>
      <x:c r="C157" s="25" t="str">
        <x:v>Display/filter/context helper</x:v>
      </x:c>
      <x:c r="D157" s="25" t="str">
        <x:v>Helper/context; not registered as an additional KPI</x:v>
      </x:c>
      <x:c r="E157" s="25" t="str">
        <x:v>Offer Locations; Referral Explorer</x:v>
      </x:c>
      <x:c r="F157" s="25" t="str">
        <x:v>gold.dim_provider; gold.dim_provider_home; gold.fact_offer</x:v>
      </x:c>
      <x:c r="G157" s="25" t="str">
        <x:v>SELECTEDVALUE ( 'Offer Location Paths'[Provider] )</x:v>
      </x:c>
      <x:c r="H157" s="25" t="str">
        <x:v>KPI_LATEST_CALCULATIONS.md#business-connection-provider</x:v>
      </x:c>
      <x:c r="I157" s="25" t="str">
        <x:v>Saved definition; runtime/acceptance pending</x:v>
      </x:c>
    </x:row>
    <x:row r="158" ht="33" customHeight="1">
      <x:c r="A158" s="25" t="str">
        <x:v>Connection quality</x:v>
      </x:c>
      <x:c r="B158" s="25" t="str">
        <x:v>Offer Location Paths</x:v>
      </x:c>
      <x:c r="C158" s="25" t="str">
        <x:v>Display/filter/context helper</x:v>
      </x:c>
      <x:c r="D158" s="25" t="str">
        <x:v>Helper/context; not registered as an additional KPI</x:v>
      </x:c>
      <x:c r="E158" s="25" t="str">
        <x:v>Offer Locations; Referral Explorer</x:v>
      </x:c>
      <x:c r="F158" s="25" t="str">
        <x:v>gold.dim_provider; gold.dim_provider_home; gold.fact_offer</x:v>
      </x:c>
      <x:c r="G158" s="25" t="str">
        <x:v>SELECTEDVALUE ( 'Offer Location Paths'[Location quality] )</x:v>
      </x:c>
      <x:c r="H158" s="25" t="str">
        <x:v>KPI_LATEST_CALCULATIONS.md#business-connection-quality</x:v>
      </x:c>
      <x:c r="I158" s="25" t="str">
        <x:v>Saved definition; runtime/acceptance pending</x:v>
      </x:c>
    </x:row>
    <x:row r="159" ht="33" customHeight="1">
      <x:c r="A159" s="25" t="str">
        <x:v>Connection referral</x:v>
      </x:c>
      <x:c r="B159" s="25" t="str">
        <x:v>Offer Location Paths</x:v>
      </x:c>
      <x:c r="C159" s="25" t="str">
        <x:v>Display/filter/context helper</x:v>
      </x:c>
      <x:c r="D159" s="25" t="str">
        <x:v>Helper/context; not registered as an additional KPI</x:v>
      </x:c>
      <x:c r="E159" s="25" t="str">
        <x:v>Offer Locations; Referral Explorer</x:v>
      </x:c>
      <x:c r="F159" s="25" t="str">
        <x:v>gold.dim_provider; gold.dim_provider_home; gold.fact_offer</x:v>
      </x:c>
      <x:c r="G159" s="25" t="str">
        <x:v>SELECTEDVALUE ( 'Offer Location Paths'[Referral ID] )</x:v>
      </x:c>
      <x:c r="H159" s="25" t="str">
        <x:v>KPI_LATEST_CALCULATIONS.md#business-connection-referral</x:v>
      </x:c>
      <x:c r="I159" s="25" t="str">
        <x:v>Saved definition; runtime/acceptance pending</x:v>
      </x:c>
    </x:row>
    <x:row r="160" ht="33" customHeight="1">
      <x:c r="A160" s="25" t="str">
        <x:v>Connection straight-line km</x:v>
      </x:c>
      <x:c r="B160" s="25" t="str">
        <x:v>Offer Location Paths</x:v>
      </x:c>
      <x:c r="C160" s="25" t="str">
        <x:v>Business metric</x:v>
      </x:c>
      <x:c r="D160" s="25" t="str">
        <x:v>GOLD-KPI-170</x:v>
      </x:c>
      <x:c r="E160" s="25" t="str">
        <x:v>Offer Locations; Referral Explorer</x:v>
      </x:c>
      <x:c r="F160" s="25" t="str">
        <x:v>gold.dim_provider; gold.dim_provider_home; gold.fact_offer</x:v>
      </x:c>
      <x:c r="G160" s="25" t="str">
        <x:v>SELECTEDVALUE ( 'Offer Location Paths'[Distance km] )</x:v>
      </x:c>
      <x:c r="H160" s="25" t="str">
        <x:v>KPI_LATEST_CALCULATIONS.md#business-connection-straight-line-km</x:v>
      </x:c>
      <x:c r="I160" s="25" t="str">
        <x:v>Saved definition; runtime/acceptance pending</x:v>
      </x:c>
    </x:row>
    <x:row r="161" ht="46" customHeight="1">
      <x:c r="A161" s="25" t="str">
        <x:v>Critical Overdue Referrals</x:v>
      </x:c>
      <x:c r="B161" s="25" t="str">
        <x:v>_Design Measures</x:v>
      </x:c>
      <x:c r="C161" s="25" t="str">
        <x:v>Business metric</x:v>
      </x:c>
      <x:c r="D161" s="25" t="str">
        <x:v>GOLD-KPI-144</x:v>
      </x:c>
      <x:c r="E161" s="25" t="str">
        <x:v>Overall Performance</x:v>
      </x:c>
      <x:c r="F161" s="25" t="str">
        <x:v>gold.fact_referral</x:v>
      </x:c>
      <x:c r="G161" s="25" t="str">
        <x:v>CALCULATE ( [Open Overdue Referrals],
			    KEEPFILTERS ( 'fact_referral'[placement_urgency_band] = "Critical" ) )</x:v>
      </x:c>
      <x:c r="H161" s="25" t="str">
        <x:v>KPI_LATEST_CALCULATIONS.md#business-critical-overdue-referrals</x:v>
      </x:c>
      <x:c r="I161" s="25" t="str">
        <x:v>Saved definition; runtime/acceptance pending</x:v>
      </x:c>
    </x:row>
    <x:row r="162" ht="46" customHeight="1">
      <x:c r="A162" s="25" t="str">
        <x:v>Critical Target Hit Rate</x:v>
      </x:c>
      <x:c r="B162" s="25" t="str">
        <x:v>_Design Measures</x:v>
      </x:c>
      <x:c r="C162" s="25" t="str">
        <x:v>Business metric</x:v>
      </x:c>
      <x:c r="D162" s="25" t="str">
        <x:v>GOLD-KPI-171</x:v>
      </x:c>
      <x:c r="E162" s="25" t="str">
        <x:v>Target &amp; Urgency Performance</x:v>
      </x:c>
      <x:c r="F162" s="25" t="str">
        <x:v>gold.fact_referral</x:v>
      </x:c>
      <x:c r="G162" s="25" t="str">
        <x:v>CALCULATE ( [Placement Target Hit Rate],
			    KEEPFILTERS ( 'fact_referral'[placement_urgency_band] = "Critical" ) )</x:v>
      </x:c>
      <x:c r="H162" s="25" t="str">
        <x:v>KPI_LATEST_CALCULATIONS.md#business-critical-target-hit-rate</x:v>
      </x:c>
      <x:c r="I162" s="25" t="str">
        <x:v>Saved definition; runtime/acceptance pending</x:v>
      </x:c>
    </x:row>
    <x:row r="163" ht="111" customHeight="1">
      <x:c r="A163" s="25" t="str">
        <x:v>Current Referral As Of</x:v>
      </x:c>
      <x:c r="B163" s="25" t="str">
        <x:v>_Design Measures</x:v>
      </x:c>
      <x:c r="C163" s="25" t="str">
        <x:v>Filter/context helper</x:v>
      </x:c>
      <x:c r="D163" s="25" t="str">
        <x:v>Helper/context; not registered as an additional KPI</x:v>
      </x:c>
      <x:c r="E163" s="25" t="str">
        <x:v>Draft Offers; IPA Overview; Offer Locations; Offers Overview; Overall Performance; Provider &amp; Placement Supply; Provider Detail (Drillthrough); Provider Explorer; Provider Registry Extract; Referral Detail (Drillthrough); Referral Explorer; Referrals; Requirement Matrix Overview; Target &amp; Urgency Performance; WMPP Homepage</x:v>
      </x:c>
      <x:c r="F163" s="25" t="str">
        <x:v>gold.fact_referral</x:v>
      </x:c>
      <x:c r="G163" s="25" t="str">
        <x:v>MAX ( 'fact_referral'[as_of_date] )</x:v>
      </x:c>
      <x:c r="H163" s="25" t="str">
        <x:v>KPI_LATEST_CALCULATIONS.md#business-current-referral-as-of</x:v>
      </x:c>
      <x:c r="I163" s="25" t="str">
        <x:v>Saved definition; runtime/acceptance pending</x:v>
      </x:c>
    </x:row>
    <x:row r="164" ht="163" customHeight="1">
      <x:c r="A164" s="25" t="str">
        <x:v>Detail location matches offer</x:v>
      </x:c>
      <x:c r="B164" s="25" t="str">
        <x:v>_Story Measures</x:v>
      </x:c>
      <x:c r="C164" s="25" t="str">
        <x:v>Display/filter/context helper</x:v>
      </x:c>
      <x:c r="D164" s="25" t="str">
        <x:v>Helper/context; not registered as an additional KPI</x:v>
      </x:c>
      <x:c r="E164" s="25" t="str">
        <x:v>Referral Detail (Drillthrough)</x:v>
      </x:c>
      <x:c r="F164" s="25" t="str">
        <x:v>gold.dim_provider; gold.dim_provider_home; gold.fact_offer; gold.fact_referral; gold.fact_referral_provider</x:v>
      </x:c>
      <x:c r="G164" s="25" t="str">
        <x:v>VAR offerSelected = ISFILTERED('fact_offer'[offer_id])
			VAR matchingLocations =
			    CALCULATE(
			        COUNTROWS('Referral Map Points'),
			        KEEPFILTERS(TREATAS(
			            VALUES('fact_offer'[offer_id]),
			            'Referral Map Points'[Offer]))
			    )
			RETURN IF([Detail referral selected] &lt;&gt; 1, BLANK(),
			    IF(NOT offerSelected,
			        IF(COUNTROWS('Referral Map Points') &gt; 0, 1, BLANK()),
			        IF(matchingLocations &gt; 0, 1, BLANK())))</x:v>
      </x:c>
      <x:c r="H164" s="25" t="str">
        <x:v>KPI_LATEST_CALCULATIONS.md#business-detail-location-matches-offer</x:v>
      </x:c>
      <x:c r="I164" s="25" t="str">
        <x:v>Saved definition; runtime/acceptance pending</x:v>
      </x:c>
    </x:row>
    <x:row r="165" ht="46" customHeight="1">
      <x:c r="A165" s="25" t="str">
        <x:v>Detail map points</x:v>
      </x:c>
      <x:c r="B165" s="25" t="str">
        <x:v>_Story Measures</x:v>
      </x:c>
      <x:c r="C165" s="25" t="str">
        <x:v>Business metric</x:v>
      </x:c>
      <x:c r="D165" s="25" t="str">
        <x:v>GOLD-KPI-172</x:v>
      </x:c>
      <x:c r="E165" s="25" t="str">
        <x:v>Referral Detail (Drillthrough)</x:v>
      </x:c>
      <x:c r="F165" s="25" t="str">
        <x:v>gold.dim_provider; gold.dim_provider_home; gold.fact_offer; gold.fact_referral; gold.fact_referral_provider</x:v>
      </x:c>
      <x:c r="G165" s="25" t="str">
        <x:v>IF([Detail referral selected] = 1, COUNTROWS('Referral Map Points'), BLANK())</x:v>
      </x:c>
      <x:c r="H165" s="25" t="str">
        <x:v>KPI_LATEST_CALCULATIONS.md#business-detail-map-points</x:v>
      </x:c>
      <x:c r="I165" s="25" t="str">
        <x:v>Saved definition; runtime/acceptance pending</x:v>
      </x:c>
    </x:row>
    <x:row r="166" ht="33" customHeight="1">
      <x:c r="A166" s="25" t="str">
        <x:v>Detail referral selected</x:v>
      </x:c>
      <x:c r="B166" s="25" t="str">
        <x:v>_Story Measures</x:v>
      </x:c>
      <x:c r="C166" s="25" t="str">
        <x:v>Display/filter/context helper</x:v>
      </x:c>
      <x:c r="D166" s="25" t="str">
        <x:v>Helper/context; not registered as an additional KPI</x:v>
      </x:c>
      <x:c r="E166" s="25" t="str">
        <x:v>Referral Detail (Drillthrough)</x:v>
      </x:c>
      <x:c r="F166" s="25" t="str">
        <x:v>gold.fact_referral</x:v>
      </x:c>
      <x:c r="G166" s="25" t="str">
        <x:v>IF(COUNTROWS(ALLSELECTED('fact_referral')) = 1, 1, BLANK())</x:v>
      </x:c>
      <x:c r="H166" s="25" t="str">
        <x:v>KPI_LATEST_CALCULATIONS.md#business-detail-referral-selected</x:v>
      </x:c>
      <x:c r="I166" s="25" t="str">
        <x:v>Saved definition; runtime/acceptance pending</x:v>
      </x:c>
    </x:row>
    <x:row r="167" ht="85" customHeight="1">
      <x:c r="A167" s="25" t="str">
        <x:v>Directory Summary Count</x:v>
      </x:c>
      <x:c r="B167" s="25" t="str">
        <x:v>_Measures</x:v>
      </x:c>
      <x:c r="C167" s="25" t="str">
        <x:v>Business metric</x:v>
      </x:c>
      <x:c r="D167" s="25" t="str">
        <x:v>KPI-48</x:v>
      </x:c>
      <x:c r="E167" s="25" t="str">
        <x:v>No direct saved visual binding</x:v>
      </x:c>
      <x:c r="F167" s="25" t="str">
        <x:v>gold.bridge_provider_framework; gold.dim_framework; gold.dim_provider; gold.dim_provider_home</x:v>
      </x:c>
      <x:c r="G167" s="25" t="str">
        <x:v>SWITCH ( SELECTEDVALUE ( 'Directory Summary Axis'[Display Type] ),
			    "Fostering Providers", [Providers - Fostering],
			    "Residential Homes", [Residential Homes],
			    "Supported Accommodation Homes", [Supported Accommodation Homes],
			    BLANK ()
			)</x:v>
      </x:c>
      <x:c r="H167" s="25" t="str">
        <x:v>KPI_LATEST_CALCULATIONS.md#business-directory-summary-count</x:v>
      </x:c>
      <x:c r="I167" s="25" t="str">
        <x:v>Saved definition; runtime/acceptance pending</x:v>
      </x:c>
    </x:row>
    <x:row r="168" ht="85" customHeight="1">
      <x:c r="A168" s="25" t="str">
        <x:v>Document expiry status</x:v>
      </x:c>
      <x:c r="B168" s="25" t="str">
        <x:v>_Explorer KPI Measures</x:v>
      </x:c>
      <x:c r="C168" s="25" t="str">
        <x:v>Display/filter helper</x:v>
      </x:c>
      <x:c r="D168" s="25" t="str">
        <x:v>Helper/context only</x:v>
      </x:c>
      <x:c r="E168" s="25" t="str">
        <x:v>Provider Detail (Drillthrough); Provider Explorer</x:v>
      </x:c>
      <x:c r="F168" s="25" t="str">
        <x:v>gold.dim_provider_submission_document</x:v>
      </x:c>
      <x:c r="G168" s="25" t="str">
        <x:v>VAR expiry = SELECTEDVALUE('dim_provider_submission_document'[expiry_date])
			RETURN IF(HASONEVALUE('dim_provider_submission_document'[document_id])
			    &amp;&amp; COUNTROWS('dim_provider_submission_document') &gt; 0,
			    SWITCH(TRUE(), ISBLANK(expiry), "Unknown expiry",
			        expiry &lt; TODAY(), "Expired", expiry &lt;= TODAY() + 30, "Expiring in 30 days", "Not expired"), BLANK())</x:v>
      </x:c>
      <x:c r="H168" s="25" t="str">
        <x:v>KPI_LATEST_CALCULATIONS.md#business-document-expiry-status</x:v>
      </x:c>
      <x:c r="I168" s="25" t="str">
        <x:v>Saved definition; refresh/UAT pending</x:v>
      </x:c>
    </x:row>
    <x:row r="169" ht="124" customHeight="1">
      <x:c r="A169" s="25" t="str">
        <x:v>Documents Expired</x:v>
      </x:c>
      <x:c r="B169" s="25" t="str">
        <x:v>_Measures</x:v>
      </x:c>
      <x:c r="C169" s="25" t="str">
        <x:v>Business metric</x:v>
      </x:c>
      <x:c r="D169" s="25" t="str">
        <x:v>KPI-101</x:v>
      </x:c>
      <x:c r="E169" s="25" t="str">
        <x:v>No direct saved visual binding</x:v>
      </x:c>
      <x:c r="F169" s="25" t="str">
        <x:v>gold.dim_provider_submission_document</x:v>
      </x:c>
      <x:c r="G169" s="25" t="str">
        <x:v>CALCULATE (
			    [Provider Submission Documents],
			    FILTER (
			        'dim_provider_submission_document',
			        NOT ISBLANK ( 'dim_provider_submission_document'[expiry_date] )
			            &amp;&amp; 'dim_provider_submission_document'[expiry_date] &lt; TODAY ()
			    )
			)</x:v>
      </x:c>
      <x:c r="H169" s="25" t="str">
        <x:v>KPI_LATEST_CALCULATIONS.md#business-documents-expired</x:v>
      </x:c>
      <x:c r="I169" s="25" t="str">
        <x:v>Saved definition; runtime/acceptance pending</x:v>
      </x:c>
    </x:row>
    <x:row r="170" ht="150" customHeight="1">
      <x:c r="A170" s="25" t="str">
        <x:v>Documents Expiring Next 30 Days</x:v>
      </x:c>
      <x:c r="B170" s="25" t="str">
        <x:v>_Measures</x:v>
      </x:c>
      <x:c r="C170" s="25" t="str">
        <x:v>Business metric</x:v>
      </x:c>
      <x:c r="D170" s="25" t="str">
        <x:v>KPI-100</x:v>
      </x:c>
      <x:c r="E170" s="25" t="str">
        <x:v>No direct saved visual binding</x:v>
      </x:c>
      <x:c r="F170" s="25" t="str">
        <x:v>gold.dim_provider_submission_document</x:v>
      </x:c>
      <x:c r="G170" s="25" t="str">
        <x:v>CALCULATE (
			    [Provider Submission Documents],
			    FILTER (
			        'dim_provider_submission_document',
			        NOT ISBLANK ( 'dim_provider_submission_document'[expiry_date] )
			            &amp;&amp; 'dim_provider_submission_document'[expiry_date] &gt;= TODAY ()
			            &amp;&amp; 'dim_provider_submission_document'[expiry_date] &lt;= TODAY () + 30
			    )
			)</x:v>
      </x:c>
      <x:c r="H170" s="25" t="str">
        <x:v>KPI_LATEST_CALCULATIONS.md#business-documents-expiring-next-30-days</x:v>
      </x:c>
      <x:c r="I170" s="25" t="str">
        <x:v>Saved definition; runtime/acceptance pending</x:v>
      </x:c>
    </x:row>
    <x:row r="171" ht="124" customHeight="1">
      <x:c r="A171" s="25" t="str">
        <x:v>Draft No Activity Since Creation (Under Offer Referrals)</x:v>
      </x:c>
      <x:c r="B171" s="25" t="str">
        <x:v>_Measures</x:v>
      </x:c>
      <x:c r="C171" s="25" t="str">
        <x:v>Business metric</x:v>
      </x:c>
      <x:c r="D171" s="25" t="str">
        <x:v>GOLD-KPI-173</x:v>
      </x:c>
      <x:c r="E171" s="25" t="str">
        <x:v>Draft Offers; Offers Overview</x:v>
      </x:c>
      <x:c r="F171" s="25" t="str">
        <x:v>gold.fact_offer; gold.fact_referral</x:v>
      </x:c>
      <x:c r="G171" s="25" t="str">
        <x:v>CALCULATE (
				[Offers Submitted],
				'fact_offer'[is_draft_no_activity] = TRUE (),
				FILTER (
					'fact_referral',
					'fact_referral'[is_open] = TRUE () &amp;&amp; 'fact_referral'[current_status] = "UNDER_OFFER"
				)
			)</x:v>
      </x:c>
      <x:c r="H171" s="25" t="str">
        <x:v>KPI_LATEST_CALCULATIONS.md#business-draft-no-activity-since-creation-under-offer-referrals</x:v>
      </x:c>
      <x:c r="I171" s="25" t="str">
        <x:v>Saved definition; runtime/acceptance pending</x:v>
      </x:c>
    </x:row>
    <x:row r="172" ht="72" customHeight="1">
      <x:c r="A172" s="25" t="str">
        <x:v>Draft Offer Count (Under Offer Referrals)</x:v>
      </x:c>
      <x:c r="B172" s="25" t="str">
        <x:v>_Measures</x:v>
      </x:c>
      <x:c r="C172" s="25" t="str">
        <x:v>Business metric</x:v>
      </x:c>
      <x:c r="D172" s="25" t="str">
        <x:v>GOLD-KPI-174</x:v>
      </x:c>
      <x:c r="E172" s="25" t="str">
        <x:v>Draft Offers; Historic; Offers Overview</x:v>
      </x:c>
      <x:c r="F172" s="25" t="str">
        <x:v>gold.fact_offer; gold.fact_referral</x:v>
      </x:c>
      <x:c r="G172" s="25" t="str">
        <x:v>CALCULATE (
			    [Offers in Draft],
			    FILTER ( 'fact_referral', 'fact_referral'[is_open] = TRUE () &amp;&amp; 'fact_referral'[current_status] = "UNDER_OFFER" )
			)</x:v>
      </x:c>
      <x:c r="H172" s="25" t="str">
        <x:v>KPI_LATEST_CALCULATIONS.md#business-draft-offer-count-under-offer-referrals</x:v>
      </x:c>
      <x:c r="I172" s="25" t="str">
        <x:v>Saved definition; runtime/acceptance pending</x:v>
      </x:c>
    </x:row>
    <x:row r="173" ht="33" customHeight="1">
      <x:c r="A173" s="25" t="str">
        <x:v>Draft Offers Missing Dates</x:v>
      </x:c>
      <x:c r="B173" s="25" t="str">
        <x:v>_Measures</x:v>
      </x:c>
      <x:c r="C173" s="25" t="str">
        <x:v>Business metric</x:v>
      </x:c>
      <x:c r="D173" s="25" t="str">
        <x:v>KPI-55</x:v>
      </x:c>
      <x:c r="E173" s="25" t="str">
        <x:v>No direct saved visual binding</x:v>
      </x:c>
      <x:c r="F173" s="25" t="str">
        <x:v>gold.fact_offer</x:v>
      </x:c>
      <x:c r="G173" s="25" t="str">
        <x:v>CALCULATE ( [Offers Submitted], 'fact_offer'[is_draft_missing_dates] = TRUE () )</x:v>
      </x:c>
      <x:c r="H173" s="25" t="str">
        <x:v>KPI_LATEST_CALCULATIONS.md#business-draft-offers-missing-dates</x:v>
      </x:c>
      <x:c r="I173" s="25" t="str">
        <x:v>Saved definition; runtime/acceptance pending</x:v>
      </x:c>
    </x:row>
    <x:row r="174" ht="111" customHeight="1">
      <x:c r="A174" s="25" t="str">
        <x:v>Draft Offers Stalled 14+ Days</x:v>
      </x:c>
      <x:c r="B174" s="25" t="str">
        <x:v>_Measures</x:v>
      </x:c>
      <x:c r="C174" s="25" t="str">
        <x:v>Business metric</x:v>
      </x:c>
      <x:c r="D174" s="25" t="str">
        <x:v>GOLD-KPI-066</x:v>
      </x:c>
      <x:c r="E174" s="25" t="str">
        <x:v>No direct saved visual binding</x:v>
      </x:c>
      <x:c r="F174" s="25" t="str">
        <x:v>gold.fact_offer</x:v>
      </x:c>
      <x:c r="G174" s="25" t="str">
        <x:v>CALCULATE (
				[Offers Submitted],
				FILTER (
					'fact_offer',
					LOWER ( COALESCE ( 'fact_offer'[offer_status], "" ) ) = "draft"
						&amp;&amp; 'fact_offer'[days_since_offer_activity] &gt;= 14
				)
			)</x:v>
      </x:c>
      <x:c r="H174" s="25" t="str">
        <x:v>KPI_LATEST_CALCULATIONS.md#business-draft-offers-stalled-14-days</x:v>
      </x:c>
      <x:c r="I174" s="25" t="str">
        <x:v>Saved definition; runtime/acceptance pending</x:v>
      </x:c>
    </x:row>
    <x:row r="175" ht="111" customHeight="1">
      <x:c r="A175" s="25" t="str">
        <x:v>Draft Offers Stalled 14+ Days - Under Offer Referrals</x:v>
      </x:c>
      <x:c r="B175" s="25" t="str">
        <x:v>_Measures</x:v>
      </x:c>
      <x:c r="C175" s="25" t="str">
        <x:v>Business metric</x:v>
      </x:c>
      <x:c r="D175" s="25" t="str">
        <x:v>GOLD-KPI-175</x:v>
      </x:c>
      <x:c r="E175" s="25" t="str">
        <x:v>No direct saved visual binding</x:v>
      </x:c>
      <x:c r="F175" s="25" t="str">
        <x:v>gold.fact_offer; gold.fact_referral</x:v>
      </x:c>
      <x:c r="G175" s="25" t="str">
        <x:v>CALCULATE (
				[Draft Offers Stalled 14+ Days],
				FILTER (
					'fact_referral',
					'fact_referral'[is_open] = TRUE () &amp;&amp; 'fact_referral'[current_status] = "UNDER_OFFER"
				)
			)</x:v>
      </x:c>
      <x:c r="H175" s="25" t="str">
        <x:v>KPI_LATEST_CALCULATIONS.md#business-draft-offers-stalled-14-days-under-offer-referrals</x:v>
      </x:c>
      <x:c r="I175" s="25" t="str">
        <x:v>Saved definition; runtime/acceptance pending</x:v>
      </x:c>
    </x:row>
    <x:row r="176" ht="111" customHeight="1">
      <x:c r="A176" s="25" t="str">
        <x:v>Draft Offers Stalled 7+ Days</x:v>
      </x:c>
      <x:c r="B176" s="25" t="str">
        <x:v>_Measures</x:v>
      </x:c>
      <x:c r="C176" s="25" t="str">
        <x:v>Business metric</x:v>
      </x:c>
      <x:c r="D176" s="25" t="str">
        <x:v>GOLD-KPI-020</x:v>
      </x:c>
      <x:c r="E176" s="25" t="str">
        <x:v>No direct saved visual binding</x:v>
      </x:c>
      <x:c r="F176" s="25" t="str">
        <x:v>gold.fact_offer</x:v>
      </x:c>
      <x:c r="G176" s="25" t="str">
        <x:v>CALCULATE (
				[Offers Submitted],
				FILTER (
					'fact_offer',
					LOWER ( COALESCE ( 'fact_offer'[offer_status], "" ) ) = "draft"
						&amp;&amp; 'fact_offer'[days_since_offer_activity] &gt;= 7
				)
			)</x:v>
      </x:c>
      <x:c r="H176" s="25" t="str">
        <x:v>KPI_LATEST_CALCULATIONS.md#business-draft-offers-stalled-7-days</x:v>
      </x:c>
      <x:c r="I176" s="25" t="str">
        <x:v>Saved definition; runtime/acceptance pending</x:v>
      </x:c>
    </x:row>
    <x:row r="177" ht="72" customHeight="1">
      <x:c r="A177" s="25" t="str">
        <x:v>Draft Offers With Activity Since Creation</x:v>
      </x:c>
      <x:c r="B177" s="25" t="str">
        <x:v>_Measures</x:v>
      </x:c>
      <x:c r="C177" s="25" t="str">
        <x:v>Business metric</x:v>
      </x:c>
      <x:c r="D177" s="25" t="str">
        <x:v>KPI-56; KPI-54</x:v>
      </x:c>
      <x:c r="E177" s="25" t="str">
        <x:v>Draft Offers</x:v>
      </x:c>
      <x:c r="F177" s="25" t="str">
        <x:v>gold.fact_offer</x:v>
      </x:c>
      <x:c r="G177" s="25" t="str">
        <x:v>CALCULATE (
			    [Offers in Draft],
			    KEEPFILTERS ( 'fact_offer'[is_draft_no_activity] = FALSE () ),
			    KEEPFILTERS ( 'fact_offer'[is_draft_missing_dates] = FALSE () )
			)</x:v>
      </x:c>
      <x:c r="H177" s="25" t="str">
        <x:v>KPI_LATEST_CALCULATIONS.md#business-draft-offers-with-activity-since-creation</x:v>
      </x:c>
      <x:c r="I177" s="25" t="str">
        <x:v>Saved definition; runtime/acceptance pending</x:v>
      </x:c>
    </x:row>
    <x:row r="178" ht="33" customHeight="1">
      <x:c r="A178" s="25" t="str">
        <x:v>Draft Offers With No Activity %</x:v>
      </x:c>
      <x:c r="B178" s="25" t="str">
        <x:v>_Measures</x:v>
      </x:c>
      <x:c r="C178" s="25" t="str">
        <x:v>Business metric</x:v>
      </x:c>
      <x:c r="D178" s="25" t="str">
        <x:v>KPI-62</x:v>
      </x:c>
      <x:c r="E178" s="25" t="str">
        <x:v>Draft Offers</x:v>
      </x:c>
      <x:c r="F178" s="25" t="str">
        <x:v>gold.fact_offer</x:v>
      </x:c>
      <x:c r="G178" s="25" t="str">
        <x:v>DIVIDE ( [Draft Offers With No Activity Since Creation], [Offers in Draft] )</x:v>
      </x:c>
      <x:c r="H178" s="25" t="str">
        <x:v>KPI_LATEST_CALCULATIONS.md#business-draft-offers-with-no-activity-percent</x:v>
      </x:c>
      <x:c r="I178" s="25" t="str">
        <x:v>Saved definition; runtime/acceptance pending</x:v>
      </x:c>
    </x:row>
    <x:row r="179" ht="111" customHeight="1">
      <x:c r="A179" s="25" t="str">
        <x:v>Draft Offers With No Activity - Under Offer Referrals</x:v>
      </x:c>
      <x:c r="B179" s="25" t="str">
        <x:v>_Measures</x:v>
      </x:c>
      <x:c r="C179" s="25" t="str">
        <x:v>Business metric</x:v>
      </x:c>
      <x:c r="D179" s="25" t="str">
        <x:v>GOLD-KPI-176</x:v>
      </x:c>
      <x:c r="E179" s="25" t="str">
        <x:v>No direct saved visual binding</x:v>
      </x:c>
      <x:c r="F179" s="25" t="str">
        <x:v>gold.fact_offer; gold.fact_referral</x:v>
      </x:c>
      <x:c r="G179" s="25" t="str">
        <x:v>CALCULATE (
				[Draft Offers With No Activity Since Creation],
				FILTER (
					'fact_referral',
					'fact_referral'[is_open] = TRUE () &amp;&amp; 'fact_referral'[current_status] = "UNDER_OFFER"
				)
			)</x:v>
      </x:c>
      <x:c r="H179" s="25" t="str">
        <x:v>KPI_LATEST_CALCULATIONS.md#business-draft-offers-with-no-activity-under-offer-referrals</x:v>
      </x:c>
      <x:c r="I179" s="25" t="str">
        <x:v>Saved definition; runtime/acceptance pending</x:v>
      </x:c>
    </x:row>
    <x:row r="180" ht="33" customHeight="1">
      <x:c r="A180" s="25" t="str">
        <x:v>Draft Offers With No Activity Since Creation</x:v>
      </x:c>
      <x:c r="B180" s="25" t="str">
        <x:v>_Measures</x:v>
      </x:c>
      <x:c r="C180" s="25" t="str">
        <x:v>Business metric</x:v>
      </x:c>
      <x:c r="D180" s="25" t="str">
        <x:v>KPI-53</x:v>
      </x:c>
      <x:c r="E180" s="25" t="str">
        <x:v>No direct saved visual binding</x:v>
      </x:c>
      <x:c r="F180" s="25" t="str">
        <x:v>gold.fact_offer</x:v>
      </x:c>
      <x:c r="G180" s="25" t="str">
        <x:v>CALCULATE ( [Offers Submitted], 'fact_offer'[is_draft_no_activity] = TRUE () )</x:v>
      </x:c>
      <x:c r="H180" s="25" t="str">
        <x:v>KPI_LATEST_CALCULATIONS.md#business-draft-offers-with-no-activity-since-creation</x:v>
      </x:c>
      <x:c r="I180" s="25" t="str">
        <x:v>Saved definition; runtime/acceptance pending</x:v>
      </x:c>
    </x:row>
    <x:row r="181" ht="111" customHeight="1">
      <x:c r="A181" s="25" t="str">
        <x:v>Draft Offers on Referrals Under Offer</x:v>
      </x:c>
      <x:c r="B181" s="25" t="str">
        <x:v>_Measures</x:v>
      </x:c>
      <x:c r="C181" s="25" t="str">
        <x:v>Business metric</x:v>
      </x:c>
      <x:c r="D181" s="25" t="str">
        <x:v>KPI-17</x:v>
      </x:c>
      <x:c r="E181" s="25" t="str">
        <x:v>No direct saved visual binding</x:v>
      </x:c>
      <x:c r="F181" s="25" t="str">
        <x:v>gold.fact_offer; gold.fact_referral</x:v>
      </x:c>
      <x:c r="G181" s="25" t="str">
        <x:v>CALCULATE (
			    [Offers in Draft],
			    FILTER (
			        'fact_referral',
			        'fact_referral'[is_open] = TRUE () &amp;&amp; 'fact_referral'[current_status] = "UNDER_OFFER"
			    )
			)</x:v>
      </x:c>
      <x:c r="H181" s="25" t="str">
        <x:v>KPI_LATEST_CALCULATIONS.md#business-draft-offers-on-referrals-under-offer</x:v>
      </x:c>
      <x:c r="I181" s="25" t="str">
        <x:v>Saved definition; runtime/acceptance pending</x:v>
      </x:c>
    </x:row>
    <x:row r="182" ht="33" customHeight="1">
      <x:c r="A182" s="25" t="str">
        <x:v>Drafts No Activity 14+ Days</x:v>
      </x:c>
      <x:c r="B182" s="25" t="str">
        <x:v>_Measures</x:v>
      </x:c>
      <x:c r="C182" s="25" t="str">
        <x:v>Business metric</x:v>
      </x:c>
      <x:c r="D182" s="25" t="str">
        <x:v>KPI-58; KPI-63</x:v>
      </x:c>
      <x:c r="E182" s="25" t="str">
        <x:v>No direct saved visual binding</x:v>
      </x:c>
      <x:c r="F182" s="25" t="str">
        <x:v>gold.fact_offer</x:v>
      </x:c>
      <x:c r="G182" s="25" t="str">
        <x:v>CALCULATE ( [Offers in Draft], KEEPFILTERS ( 'fact_offer'[offer_age_days] &gt;= 14 ) )</x:v>
      </x:c>
      <x:c r="H182" s="25" t="str">
        <x:v>KPI_LATEST_CALCULATIONS.md#business-drafts-no-activity-14-days</x:v>
      </x:c>
      <x:c r="I182" s="25" t="str">
        <x:v>Saved definition; runtime/acceptance pending</x:v>
      </x:c>
    </x:row>
    <x:row r="183" ht="137" customHeight="1">
      <x:c r="A183" s="25" t="str">
        <x:v>Drafts No Activity 14+ Days (Under Offer Referrals)</x:v>
      </x:c>
      <x:c r="B183" s="25" t="str">
        <x:v>_Measures</x:v>
      </x:c>
      <x:c r="C183" s="25" t="str">
        <x:v>Business metric</x:v>
      </x:c>
      <x:c r="D183" s="25" t="str">
        <x:v>GOLD-KPI-177</x:v>
      </x:c>
      <x:c r="E183" s="25" t="str">
        <x:v>No direct saved visual binding</x:v>
      </x:c>
      <x:c r="F183" s="25" t="str">
        <x:v>gold.fact_offer; gold.fact_referral</x:v>
      </x:c>
      <x:c r="G183" s="25" t="str">
        <x:v>CALCULATE (
				[Offers Submitted],
				'fact_offer'[is_draft_no_activity] = TRUE (),
				'fact_offer'[days_since_offer_activity] &gt;= 14,
				FILTER (
					'fact_referral',
					'fact_referral'[is_open] = TRUE () &amp;&amp; 'fact_referral'[current_status] = "UNDER_OFFER"
				)
			)</x:v>
      </x:c>
      <x:c r="H183" s="25" t="str">
        <x:v>KPI_LATEST_CALCULATIONS.md#business-drafts-no-activity-14-days-under-offer-referrals</x:v>
      </x:c>
      <x:c r="I183" s="25" t="str">
        <x:v>Saved definition; runtime/acceptance pending</x:v>
      </x:c>
    </x:row>
    <x:row r="184" ht="33" customHeight="1">
      <x:c r="A184" s="25" t="str">
        <x:v>Drafts With No Activity Since Creation (Under Offer) %</x:v>
      </x:c>
      <x:c r="B184" s="25" t="str">
        <x:v>_Measures</x:v>
      </x:c>
      <x:c r="C184" s="25" t="str">
        <x:v>Business metric</x:v>
      </x:c>
      <x:c r="D184" s="25" t="str">
        <x:v>GOLD-KPI-178</x:v>
      </x:c>
      <x:c r="E184" s="25" t="str">
        <x:v>No direct saved visual binding</x:v>
      </x:c>
      <x:c r="F184" s="25" t="str">
        <x:v>gold.fact_offer; gold.fact_referral</x:v>
      </x:c>
      <x:c r="G184" s="25" t="str">
        <x:v>DIVIDE ( [Draft No Activity Since Creation (Under Offer Referrals)], [Draft Offer Count (Under Offer Referrals)] )</x:v>
      </x:c>
      <x:c r="H184" s="25" t="str">
        <x:v>KPI_LATEST_CALCULATIONS.md#business-drafts-with-no-activity-since-creation-under-offer-percent</x:v>
      </x:c>
      <x:c r="I184" s="25" t="str">
        <x:v>Saved definition; runtime/acceptance pending</x:v>
      </x:c>
    </x:row>
    <x:row r="185" ht="24" customHeight="1">
      <x:c r="A185" s="25" t="str">
        <x:v>Emergency Placement Rate</x:v>
      </x:c>
      <x:c r="B185" s="25" t="str">
        <x:v>_Measures</x:v>
      </x:c>
      <x:c r="C185" s="25" t="str">
        <x:v>Business metric</x:v>
      </x:c>
      <x:c r="D185" s="25" t="str">
        <x:v>KPI-92 </x:v>
      </x:c>
      <x:c r="E185" s="25" t="str">
        <x:v>No direct saved visual binding</x:v>
      </x:c>
      <x:c r="F185" s="25" t="str">
        <x:v>gold.fact_referral</x:v>
      </x:c>
      <x:c r="G185" s="25" t="str">
        <x:v>DIVIDE ( [Emergency Referrals], [Total Referrals] )</x:v>
      </x:c>
      <x:c r="H185" s="25" t="str">
        <x:v>KPI_LATEST_CALCULATIONS.md#business-emergency-placement-rate</x:v>
      </x:c>
      <x:c r="I185" s="25" t="str">
        <x:v>Saved definition; runtime/acceptance pending</x:v>
      </x:c>
    </x:row>
    <x:row r="186" ht="46" customHeight="1">
      <x:c r="A186" s="25" t="str">
        <x:v>Emergency Referrals</x:v>
      </x:c>
      <x:c r="B186" s="25" t="str">
        <x:v>_Measures</x:v>
      </x:c>
      <x:c r="C186" s="25" t="str">
        <x:v>Business metric</x:v>
      </x:c>
      <x:c r="D186" s="25" t="str">
        <x:v>KPI-91 </x:v>
      </x:c>
      <x:c r="E186" s="25" t="str">
        <x:v>No direct saved visual binding</x:v>
      </x:c>
      <x:c r="F186" s="25" t="str">
        <x:v>gold.fact_referral</x:v>
      </x:c>
      <x:c r="G186" s="25" t="str">
        <x:v>CALCULATE ( [Total Referrals], KEEPFILTERS ( 'fact_referral'[current_status] IN { "OPEN", "UNDER_OFFER" } ), KEEPFILTERS ( 'fact_referral'[is_emergency_placement] = TRUE () ) )</x:v>
      </x:c>
      <x:c r="H186" s="25" t="str">
        <x:v>KPI_LATEST_CALCULATIONS.md#business-emergency-referrals</x:v>
      </x:c>
      <x:c r="I186" s="25" t="str">
        <x:v>Saved definition; runtime/acceptance pending</x:v>
      </x:c>
    </x:row>
    <x:row r="187" ht="59" customHeight="1">
      <x:c r="A187" s="25" t="str">
        <x:v>Estimated Active Weekly Cost</x:v>
      </x:c>
      <x:c r="B187" s="25" t="str">
        <x:v>_Measures</x:v>
      </x:c>
      <x:c r="C187" s="25" t="str">
        <x:v>Business metric</x:v>
      </x:c>
      <x:c r="D187" s="25" t="str">
        <x:v>KPI-107</x:v>
      </x:c>
      <x:c r="E187" s="25" t="str">
        <x:v>Overall Performance</x:v>
      </x:c>
      <x:c r="F187" s="25" t="str">
        <x:v>gold.fact_ipa</x:v>
      </x:c>
      <x:c r="G187" s="25" t="str">
        <x:v>CALCULATE (
			    SUM ( 'fact_ipa'[estimated_weekly_cost] ),
			    'fact_ipa'[is_placement_closed] = FALSE ()
			)</x:v>
      </x:c>
      <x:c r="H187" s="25" t="str">
        <x:v>KPI_LATEST_CALCULATIONS.md#business-estimated-active-weekly-cost</x:v>
      </x:c>
      <x:c r="I187" s="25" t="str">
        <x:v>Saved definition; runtime/acceptance pending</x:v>
      </x:c>
    </x:row>
    <x:row r="188" ht="189" customHeight="1">
      <x:c r="A188" s="25" t="str">
        <x:v>Explorer Gold accepted offers</x:v>
      </x:c>
      <x:c r="B188" s="25" t="str">
        <x:v>_Explorer KPI Measures</x:v>
      </x:c>
      <x:c r="C188" s="25" t="str">
        <x:v>Business metric</x:v>
      </x:c>
      <x:c r="D188" s="25" t="str">
        <x:v>GOLD-KPI-179</x:v>
      </x:c>
      <x:c r="E188" s="25" t="str">
        <x:v>No direct saved visual binding</x:v>
      </x:c>
      <x:c r="F188" s="25" t="str">
        <x:v>gold.dim_provider; gold.dim_provider_home; gold.dim_referral_provider_message; gold.fact_ipa; gold.fact_offer; gold.fact_provider_kpi_monthly; gold.fact_referral_provider</x:v>
      </x:c>
      <x:c r="G188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CALCULATE(SUM('fact_provider_kpi_monthly'[accepted_offer_count]), KEEPFILTERS(eligible))</x:v>
      </x:c>
      <x:c r="H188" s="25" t="str">
        <x:v>KPI_LATEST_CALCULATIONS.md#business-explorer-gold-accepted-offers</x:v>
      </x:c>
      <x:c r="I188" s="25" t="str">
        <x:v>Saved definition; runtime/acceptance pending</x:v>
      </x:c>
    </x:row>
    <x:row r="189" ht="189" customHeight="1">
      <x:c r="A189" s="25" t="str">
        <x:v>Explorer Gold average response minutes</x:v>
      </x:c>
      <x:c r="B189" s="25" t="str">
        <x:v>_Explorer KPI Measures</x:v>
      </x:c>
      <x:c r="C189" s="25" t="str">
        <x:v>Business metric</x:v>
      </x:c>
      <x:c r="D189" s="25" t="str">
        <x:v>GOLD-KPI-180</x:v>
      </x:c>
      <x:c r="E189" s="25" t="str">
        <x:v>No direct saved visual binding</x:v>
      </x:c>
      <x:c r="F189" s="25" t="str">
        <x:v>gold.dim_provider; gold.dim_provider_home; gold.dim_referral_provider_message; gold.fact_ipa; gold.fact_offer; gold.fact_provider_kpi_monthly; gold.fact_referral_provider</x:v>
      </x:c>
      <x:c r="G189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CALCULATE(IF(COUNTROWS('fact_provider_kpi_monthly') = 1, MAX('fact_provider_kpi_monthly'[average_response_minutes])), KEEPFILTERS(eligible))</x:v>
      </x:c>
      <x:c r="H189" s="25" t="str">
        <x:v>KPI_LATEST_CALCULATIONS.md#business-explorer-gold-average-response-minutes</x:v>
      </x:c>
      <x:c r="I189" s="25" t="str">
        <x:v>Saved definition; runtime/acceptance pending</x:v>
      </x:c>
    </x:row>
    <x:row r="190" ht="189" customHeight="1">
      <x:c r="A190" s="25" t="str">
        <x:v>Explorer Gold median response minutes</x:v>
      </x:c>
      <x:c r="B190" s="25" t="str">
        <x:v>_Explorer KPI Measures</x:v>
      </x:c>
      <x:c r="C190" s="25" t="str">
        <x:v>Business metric</x:v>
      </x:c>
      <x:c r="D190" s="25" t="str">
        <x:v>GOLD-KPI-181</x:v>
      </x:c>
      <x:c r="E190" s="25" t="str">
        <x:v>No direct saved visual binding</x:v>
      </x:c>
      <x:c r="F190" s="25" t="str">
        <x:v>gold.dim_provider; gold.dim_provider_home; gold.dim_referral_provider_message; gold.fact_ipa; gold.fact_offer; gold.fact_provider_kpi_monthly; gold.fact_referral_provider</x:v>
      </x:c>
      <x:c r="G190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CALCULATE(IF(COUNTROWS('fact_provider_kpi_monthly') = 1, MAX('fact_provider_kpi_monthly'[median_response_minutes])), KEEPFILTERS(eligible))</x:v>
      </x:c>
      <x:c r="H190" s="25" t="str">
        <x:v>KPI_LATEST_CALCULATIONS.md#business-explorer-gold-median-response-minutes</x:v>
      </x:c>
      <x:c r="I190" s="25" t="str">
        <x:v>Saved definition; runtime/acceptance pending</x:v>
      </x:c>
    </x:row>
    <x:row r="191" ht="59" customHeight="1">
      <x:c r="A191" s="25" t="str">
        <x:v>Explorer Gold offer acceptance rate</x:v>
      </x:c>
      <x:c r="B191" s="25" t="str">
        <x:v>_Explorer KPI Measures</x:v>
      </x:c>
      <x:c r="C191" s="25" t="str">
        <x:v>Business metric</x:v>
      </x:c>
      <x:c r="D191" s="25" t="str">
        <x:v>GOLD-KPI-182</x:v>
      </x:c>
      <x:c r="E191" s="25" t="str">
        <x:v>Provider Explorer</x:v>
      </x:c>
      <x:c r="F191" s="25" t="str">
        <x:v>gold.dim_provider; gold.dim_provider_home; gold.dim_referral_provider_message; gold.fact_ipa; gold.fact_offer; gold.fact_provider_kpi_monthly; gold.fact_referral_provider</x:v>
      </x:c>
      <x:c r="G191" s="25" t="str">
        <x:v>DIVIDE([Explorer Gold accepted offers],[Explorer Gold offers])</x:v>
      </x:c>
      <x:c r="H191" s="25" t="str">
        <x:v>KPI_LATEST_CALCULATIONS.md#business-explorer-gold-offer-acceptance-rate</x:v>
      </x:c>
      <x:c r="I191" s="25" t="str">
        <x:v>Saved definition; runtime/acceptance pending</x:v>
      </x:c>
    </x:row>
    <x:row r="192" ht="189" customHeight="1">
      <x:c r="A192" s="25" t="str">
        <x:v>Explorer Gold offers</x:v>
      </x:c>
      <x:c r="B192" s="25" t="str">
        <x:v>_Explorer KPI Measures</x:v>
      </x:c>
      <x:c r="C192" s="25" t="str">
        <x:v>Business metric</x:v>
      </x:c>
      <x:c r="D192" s="25" t="str">
        <x:v>GOLD-KPI-183</x:v>
      </x:c>
      <x:c r="E192" s="25" t="str">
        <x:v>No direct saved visual binding</x:v>
      </x:c>
      <x:c r="F192" s="25" t="str">
        <x:v>gold.dim_provider; gold.dim_provider_home; gold.dim_referral_provider_message; gold.fact_ipa; gold.fact_offer; gold.fact_provider_kpi_monthly; gold.fact_referral_provider</x:v>
      </x:c>
      <x:c r="G192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CALCULATE(SUM('fact_provider_kpi_monthly'[offers_submitted_count]), KEEPFILTERS(eligible))</x:v>
      </x:c>
      <x:c r="H192" s="25" t="str">
        <x:v>KPI_LATEST_CALCULATIONS.md#business-explorer-gold-offers</x:v>
      </x:c>
      <x:c r="I192" s="25" t="str">
        <x:v>Saved definition; runtime/acceptance pending</x:v>
      </x:c>
    </x:row>
    <x:row r="193" ht="189" customHeight="1">
      <x:c r="A193" s="25" t="str">
        <x:v>Explorer Gold opportunities</x:v>
      </x:c>
      <x:c r="B193" s="25" t="str">
        <x:v>_Explorer KPI Measures</x:v>
      </x:c>
      <x:c r="C193" s="25" t="str">
        <x:v>Business metric</x:v>
      </x:c>
      <x:c r="D193" s="25" t="str">
        <x:v>GOLD-KPI-184</x:v>
      </x:c>
      <x:c r="E193" s="25" t="str">
        <x:v>Provider Explorer</x:v>
      </x:c>
      <x:c r="F193" s="25" t="str">
        <x:v>gold.dim_provider; gold.dim_provider_home; gold.dim_referral_provider_message; gold.fact_ipa; gold.fact_offer; gold.fact_provider_kpi_monthly; gold.fact_referral_provider</x:v>
      </x:c>
      <x:c r="G193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CALCULATE(SUM('fact_provider_kpi_monthly'[response_opportunity_count]), KEEPFILTERS(eligible))</x:v>
      </x:c>
      <x:c r="H193" s="25" t="str">
        <x:v>KPI_LATEST_CALCULATIONS.md#business-explorer-gold-opportunities</x:v>
      </x:c>
      <x:c r="I193" s="25" t="str">
        <x:v>Saved definition; runtime/acceptance pending</x:v>
      </x:c>
    </x:row>
    <x:row r="194" ht="189" customHeight="1">
      <x:c r="A194" s="25" t="str">
        <x:v>Explorer Gold placed by target</x:v>
      </x:c>
      <x:c r="B194" s="25" t="str">
        <x:v>_Explorer KPI Measures</x:v>
      </x:c>
      <x:c r="C194" s="25" t="str">
        <x:v>Business metric</x:v>
      </x:c>
      <x:c r="D194" s="25" t="str">
        <x:v>GOLD-KPI-185</x:v>
      </x:c>
      <x:c r="E194" s="25" t="str">
        <x:v>No direct saved visual binding</x:v>
      </x:c>
      <x:c r="F194" s="25" t="str">
        <x:v>gold.dim_provider; gold.dim_provider_home; gold.dim_referral_provider_message; gold.fact_ipa; gold.fact_offer; gold.fact_provider_kpi_monthly; gold.fact_referral_provider</x:v>
      </x:c>
      <x:c r="G194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CALCULATE(SUM('fact_provider_kpi_monthly'[placed_by_target_count]), KEEPFILTERS(eligible))</x:v>
      </x:c>
      <x:c r="H194" s="25" t="str">
        <x:v>KPI_LATEST_CALCULATIONS.md#business-explorer-gold-placed-by-target</x:v>
      </x:c>
      <x:c r="I194" s="25" t="str">
        <x:v>Saved definition; runtime/acceptance pending</x:v>
      </x:c>
    </x:row>
    <x:row r="195" ht="59" customHeight="1">
      <x:c r="A195" s="25" t="str">
        <x:v>Explorer Gold response rate</x:v>
      </x:c>
      <x:c r="B195" s="25" t="str">
        <x:v>_Explorer KPI Measures</x:v>
      </x:c>
      <x:c r="C195" s="25" t="str">
        <x:v>Business metric</x:v>
      </x:c>
      <x:c r="D195" s="25" t="str">
        <x:v>GOLD-KPI-186</x:v>
      </x:c>
      <x:c r="E195" s="25" t="str">
        <x:v>Provider Explorer</x:v>
      </x:c>
      <x:c r="F195" s="25" t="str">
        <x:v>gold.dim_provider; gold.dim_provider_home; gold.dim_referral_provider_message; gold.fact_ipa; gold.fact_offer; gold.fact_provider_kpi_monthly; gold.fact_referral_provider</x:v>
      </x:c>
      <x:c r="G195" s="25" t="str">
        <x:v>DIVIDE([Explorer Gold responses],[Explorer Gold opportunities])</x:v>
      </x:c>
      <x:c r="H195" s="25" t="str">
        <x:v>KPI_LATEST_CALCULATIONS.md#business-explorer-gold-response-rate</x:v>
      </x:c>
      <x:c r="I195" s="25" t="str">
        <x:v>Saved definition; runtime/acceptance pending</x:v>
      </x:c>
    </x:row>
    <x:row r="196" ht="189" customHeight="1">
      <x:c r="A196" s="25" t="str">
        <x:v>Explorer Gold responses</x:v>
      </x:c>
      <x:c r="B196" s="25" t="str">
        <x:v>_Explorer KPI Measures</x:v>
      </x:c>
      <x:c r="C196" s="25" t="str">
        <x:v>Business metric</x:v>
      </x:c>
      <x:c r="D196" s="25" t="str">
        <x:v>GOLD-KPI-187</x:v>
      </x:c>
      <x:c r="E196" s="25" t="str">
        <x:v>No direct saved visual binding</x:v>
      </x:c>
      <x:c r="F196" s="25" t="str">
        <x:v>gold.dim_provider; gold.dim_provider_home; gold.dim_referral_provider_message; gold.fact_ipa; gold.fact_offer; gold.fact_provider_kpi_monthly; gold.fact_referral_provider</x:v>
      </x:c>
      <x:c r="G196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CALCULATE(SUM('fact_provider_kpi_monthly'[qualifying_response_count]), KEEPFILTERS(eligible))</x:v>
      </x:c>
      <x:c r="H196" s="25" t="str">
        <x:v>KPI_LATEST_CALCULATIONS.md#business-explorer-gold-responses</x:v>
      </x:c>
      <x:c r="I196" s="25" t="str">
        <x:v>Saved definition; runtime/acceptance pending</x:v>
      </x:c>
    </x:row>
    <x:row r="197" ht="189" customHeight="1">
      <x:c r="A197" s="25" t="str">
        <x:v>Explorer Gold successful referrals</x:v>
      </x:c>
      <x:c r="B197" s="25" t="str">
        <x:v>_Explorer KPI Measures</x:v>
      </x:c>
      <x:c r="C197" s="25" t="str">
        <x:v>Business metric</x:v>
      </x:c>
      <x:c r="D197" s="25" t="str">
        <x:v>GOLD-KPI-188</x:v>
      </x:c>
      <x:c r="E197" s="25" t="str">
        <x:v>No direct saved visual binding</x:v>
      </x:c>
      <x:c r="F197" s="25" t="str">
        <x:v>gold.dim_provider; gold.dim_provider_home; gold.dim_referral_provider_message; gold.fact_ipa; gold.fact_offer; gold.fact_provider_kpi_monthly; gold.fact_referral_provider</x:v>
      </x:c>
      <x:c r="G197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CALCULATE(SUM('fact_provider_kpi_monthly'[successful_referral_count]), KEEPFILTERS(eligible))</x:v>
      </x:c>
      <x:c r="H197" s="25" t="str">
        <x:v>KPI_LATEST_CALCULATIONS.md#business-explorer-gold-successful-referrals</x:v>
      </x:c>
      <x:c r="I197" s="25" t="str">
        <x:v>Saved definition; runtime/acceptance pending</x:v>
      </x:c>
    </x:row>
    <x:row r="198" ht="59" customHeight="1">
      <x:c r="A198" s="25" t="str">
        <x:v>Explorer Gold target placement rate</x:v>
      </x:c>
      <x:c r="B198" s="25" t="str">
        <x:v>_Explorer KPI Measures</x:v>
      </x:c>
      <x:c r="C198" s="25" t="str">
        <x:v>Business metric</x:v>
      </x:c>
      <x:c r="D198" s="25" t="str">
        <x:v>GOLD-KPI-189</x:v>
      </x:c>
      <x:c r="E198" s="25" t="str">
        <x:v>No direct saved visual binding</x:v>
      </x:c>
      <x:c r="F198" s="25" t="str">
        <x:v>gold.dim_provider; gold.dim_provider_home; gold.dim_referral_provider_message; gold.fact_ipa; gold.fact_offer; gold.fact_provider_kpi_monthly; gold.fact_referral_provider</x:v>
      </x:c>
      <x:c r="G198" s="25" t="str">
        <x:v>DIVIDE([Explorer Gold placed by target],[Explorer Gold successful referrals])</x:v>
      </x:c>
      <x:c r="H198" s="25" t="str">
        <x:v>KPI_LATEST_CALCULATIONS.md#business-explorer-gold-target-placement-rate</x:v>
      </x:c>
      <x:c r="I198" s="25" t="str">
        <x:v>Saved definition; runtime/acceptance pending</x:v>
      </x:c>
    </x:row>
    <x:row r="199" ht="202" customHeight="1">
      <x:c r="A199" s="25" t="str">
        <x:v>Explorer provider IPAs</x:v>
      </x:c>
      <x:c r="B199" s="25" t="str">
        <x:v>_Explorer KPI Measures</x:v>
      </x:c>
      <x:c r="C199" s="25" t="str">
        <x:v>Business metric</x:v>
      </x:c>
      <x:c r="D199" s="25" t="str">
        <x:v>GOLD-KPI-198</x:v>
      </x:c>
      <x:c r="E199" s="25" t="str">
        <x:v>Provider Explorer</x:v>
      </x:c>
      <x:c r="F199" s="25" t="str">
        <x:v>gold.dim_provider; gold.dim_provider_home; gold.dim_referral_provider_message; gold.fact_ipa; gold.fact_offer; gold.fact_referral_provider</x:v>
      </x:c>
      <x:c r="G199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 VAR homes = VALUES('dim_provider_home'[provider_home_id]) VAR offers = CALCULATE
[EXCERPT; complete logic in KPI_LATEST_CALCULATIONS.md]</x:v>
      </x:c>
      <x:c r="H199" s="25" t="str">
        <x:v>KPI_LATEST_CALCULATIONS.md#business-explorer-provider-ipas</x:v>
      </x:c>
      <x:c r="I199" s="25" t="str">
        <x:v>Saved definition; runtime/acceptance pending</x:v>
      </x:c>
    </x:row>
    <x:row r="200" ht="215" customHeight="1">
      <x:c r="A200" s="25" t="str">
        <x:v>Explorer provider accepted offers</x:v>
      </x:c>
      <x:c r="B200" s="25" t="str">
        <x:v>_Explorer KPI Measures</x:v>
      </x:c>
      <x:c r="C200" s="25" t="str">
        <x:v>Business metric</x:v>
      </x:c>
      <x:c r="D200" s="25" t="str">
        <x:v>GOLD-KPI-190</x:v>
      </x:c>
      <x:c r="E200" s="25" t="str">
        <x:v>Provider Detail (Drillthrough)</x:v>
      </x:c>
      <x:c r="F200" s="25" t="str">
        <x:v>gold.dim_provider; gold.dim_provider_home; gold.dim_referral_provider_message; gold.fact_ipa; gold.fact_offer; gold.fact_referral_provider</x:v>
      </x:c>
      <x:c r="G200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
			VAR homes = VALUES('dim_provider_home'[provider_home_id])
			RETURN CALCULATE
[EXCERPT; complete logic in KPI_LATEST_CALCULATIONS.md]</x:v>
      </x:c>
      <x:c r="H200" s="25" t="str">
        <x:v>KPI_LATEST_CALCULATIONS.md#business-explorer-provider-accepted-offers</x:v>
      </x:c>
      <x:c r="I200" s="25" t="str">
        <x:v>Saved definition; runtime/acceptance pending</x:v>
      </x:c>
    </x:row>
    <x:row r="201" ht="189" customHeight="1">
      <x:c r="A201" s="25" t="str">
        <x:v>Explorer provider assigned referrals</x:v>
      </x:c>
      <x:c r="B201" s="25" t="str">
        <x:v>_Explorer KPI Measures</x:v>
      </x:c>
      <x:c r="C201" s="25" t="str">
        <x:v>Business metric</x:v>
      </x:c>
      <x:c r="D201" s="25" t="str">
        <x:v>GOLD-KPI-191</x:v>
      </x:c>
      <x:c r="E201" s="25" t="str">
        <x:v>No direct saved visual binding</x:v>
      </x:c>
      <x:c r="F201" s="25" t="str">
        <x:v>gold.dim_provider; gold.dim_provider_home; gold.dim_referral_provider_message; gold.fact_ipa; gold.fact_offer; gold.fact_referral_provider</x:v>
      </x:c>
      <x:c r="G201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CALCULATE(COALESCE(DISTINCTCOUNTNOBLANK('fact_referral_provider'[referral_id]),0), KEEPFILTERS(eligible))</x:v>
      </x:c>
      <x:c r="H201" s="25" t="str">
        <x:v>KPI_LATEST_CALCULATIONS.md#business-explorer-provider-assigned-referrals</x:v>
      </x:c>
      <x:c r="I201" s="25" t="str">
        <x:v>Saved definition; runtime/acceptance pending</x:v>
      </x:c>
    </x:row>
    <x:row r="202" ht="46" customHeight="1">
      <x:c r="A202" s="25" t="str">
        <x:v>Explorer provider assignment row visible</x:v>
      </x:c>
      <x:c r="B202" s="25" t="str">
        <x:v>_Explorer KPI Measures</x:v>
      </x:c>
      <x:c r="C202" s="25" t="str">
        <x:v>Filter/context helper</x:v>
      </x:c>
      <x:c r="D202" s="25" t="str">
        <x:v>Helper/context; not registered as an additional KPI</x:v>
      </x:c>
      <x:c r="E202" s="25" t="str">
        <x:v>Provider Explorer</x:v>
      </x:c>
      <x:c r="F202" s="25" t="str">
        <x:v>gold.dim_provider; gold.dim_provider_home; gold.dim_referral_provider_message; gold.fact_ipa; gold.fact_offer; gold.fact_referral_provider</x:v>
      </x:c>
      <x:c r="G202" s="25" t="str">
        <x:v>IF([Explorer provider row visible] = 1 &amp;&amp; COUNTROWS('fact_referral_provider') &gt; 0, 1, BLANK())</x:v>
      </x:c>
      <x:c r="H202" s="25" t="str">
        <x:v>KPI_LATEST_CALCULATIONS.md#business-explorer-provider-assignment-row-visible</x:v>
      </x:c>
      <x:c r="I202" s="25" t="str">
        <x:v>Saved definition; runtime/acceptance pending</x:v>
      </x:c>
    </x:row>
    <x:row r="203" ht="241" customHeight="1">
      <x:c r="A203" s="25" t="str">
        <x:v>Explorer provider assignment table title</x:v>
      </x:c>
      <x:c r="B203" s="25" t="str">
        <x:v>_Explorer KPI Measures</x:v>
      </x:c>
      <x:c r="C203" s="25" t="str">
        <x:v>Filter/context helper</x:v>
      </x:c>
      <x:c r="D203" s="25" t="str">
        <x:v>Helper/context; not registered as an additional KPI</x:v>
      </x:c>
      <x:c r="E203" s="25" t="str">
        <x:v>Provider Explorer</x:v>
      </x:c>
      <x:c r="F203" s="25" t="str">
        <x:v>gold.dim_provider; gold.dim_provider_home; gold.dim_referral_provider_message; gold.fact_ipa; gold.fact_offer; gold.fact_referral; gold.fact_referral_provider</x:v>
      </x:c>
      <x:c r="G203" s="25" t="str">
        <x:v>VAR visibleRows = FILTER(
			    SUMMARIZE(
			        'fact_referral_provider',
			        'fact_referral'[referral_id],
			        'dim_provider'[provider_id],
			        'dim_provider'[provider_name],
			        'fact_referral_provider'[referral_id],
			        'fact_referral_provider'[provider_response_status],
			        'fact_referral_provider'[assigned_at],
			        'fact_referral_provider'[first_qualifying_response_at],
			        'fact_referral_provider'[response_elapsed_minutes],
			        'fact_referral_provider'[is_engaged]
			    ),
			    CALCULATE([Explorer provider assignment row visible]) = 1
			)
			VAR providerJourney = IF(HASONEVALUE('dim_provider'[provider_id]), [Rail provider cohort lab
[EXCERPT; complete logic in KPI_LATEST_CALCULATIONS.md]</x:v>
      </x:c>
      <x:c r="H203" s="25" t="str">
        <x:v>KPI_LATEST_CALCULATIONS.md#business-explorer-provider-assignment-table-title</x:v>
      </x:c>
      <x:c r="I203" s="25" t="str">
        <x:v>Saved definition; runtime/acceptance pending</x:v>
      </x:c>
    </x:row>
    <x:row r="204" ht="189" customHeight="1">
      <x:c r="A204" s="25" t="str">
        <x:v>Explorer provider assignments</x:v>
      </x:c>
      <x:c r="B204" s="25" t="str">
        <x:v>_Explorer KPI Measures</x:v>
      </x:c>
      <x:c r="C204" s="25" t="str">
        <x:v>Business metric</x:v>
      </x:c>
      <x:c r="D204" s="25" t="str">
        <x:v>GOLD-KPI-192</x:v>
      </x:c>
      <x:c r="E204" s="25" t="str">
        <x:v>No direct saved visual binding</x:v>
      </x:c>
      <x:c r="F204" s="25" t="str">
        <x:v>gold.dim_provider; gold.dim_provider_home; gold.dim_referral_provider_message; gold.fact_ipa; gold.fact_offer; gold.fact_referral_provider</x:v>
      </x:c>
      <x:c r="G204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CALCULATE(COALESCE(DISTINCTCOUNTNOBLANK('fact_referral_provider'[referral_provider_id]),0), KEEPFILTERS(eligible))</x:v>
      </x:c>
      <x:c r="H204" s="25" t="str">
        <x:v>KPI_LATEST_CALCULATIONS.md#business-explorer-provider-assignments</x:v>
      </x:c>
      <x:c r="I204" s="25" t="str">
        <x:v>Saved definition; runtime/acceptance pending</x:v>
      </x:c>
    </x:row>
    <x:row r="205" ht="189" customHeight="1">
      <x:c r="A205" s="25" t="str">
        <x:v>Explorer provider average response minutes</x:v>
      </x:c>
      <x:c r="B205" s="25" t="str">
        <x:v>_Explorer KPI Measures</x:v>
      </x:c>
      <x:c r="C205" s="25" t="str">
        <x:v>Business metric</x:v>
      </x:c>
      <x:c r="D205" s="25" t="str">
        <x:v>GOLD-KPI-193</x:v>
      </x:c>
      <x:c r="E205" s="25" t="str">
        <x:v>No direct saved visual binding</x:v>
      </x:c>
      <x:c r="F205" s="25" t="str">
        <x:v>gold.dim_provider; gold.dim_provider_home; gold.dim_referral_provider_message; gold.fact_ipa; gold.fact_offer; gold.fact_referral_provider</x:v>
      </x:c>
      <x:c r="G205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CALCULATE(AVERAGE('fact_referral_provider'[response_elapsed_minutes]), KEEPFILTERS(eligible))</x:v>
      </x:c>
      <x:c r="H205" s="25" t="str">
        <x:v>KPI_LATEST_CALCULATIONS.md#business-explorer-provider-average-response-minutes</x:v>
      </x:c>
      <x:c r="I205" s="25" t="str">
        <x:v>Saved definition; runtime/acceptance pending</x:v>
      </x:c>
    </x:row>
    <x:row r="206" ht="189" customHeight="1">
      <x:c r="A206" s="25" t="str">
        <x:v>Explorer provider beds</x:v>
      </x:c>
      <x:c r="B206" s="25" t="str">
        <x:v>_Explorer KPI Measures</x:v>
      </x:c>
      <x:c r="C206" s="25" t="str">
        <x:v>Business metric</x:v>
      </x:c>
      <x:c r="D206" s="25" t="str">
        <x:v>GOLD-KPI-194</x:v>
      </x:c>
      <x:c r="E206" s="25" t="str">
        <x:v>No direct saved visual binding</x:v>
      </x:c>
      <x:c r="F206" s="25" t="str">
        <x:v>gold.dim_provider; gold.dim_provider_home; gold.dim_referral_provider_message; gold.fact_ipa; gold.fact_offer; gold.fact_referral_provider</x:v>
      </x:c>
      <x:c r="G206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CALCULATE(SUM('dim_provider_home'[registered_beds]), KEEPFILTERS(eligible))</x:v>
      </x:c>
      <x:c r="H206" s="25" t="str">
        <x:v>KPI_LATEST_CALCULATIONS.md#business-explorer-provider-beds</x:v>
      </x:c>
      <x:c r="I206" s="25" t="str">
        <x:v>Saved definition; runtime/acceptance pending</x:v>
      </x:c>
    </x:row>
    <x:row r="207" ht="202" customHeight="1">
      <x:c r="A207" s="25" t="str">
        <x:v>Explorer provider completed IPAs</x:v>
      </x:c>
      <x:c r="B207" s="25" t="str">
        <x:v>_Explorer KPI Measures</x:v>
      </x:c>
      <x:c r="C207" s="25" t="str">
        <x:v>Business metric</x:v>
      </x:c>
      <x:c r="D207" s="25" t="str">
        <x:v>GOLD-KPI-195</x:v>
      </x:c>
      <x:c r="E207" s="25" t="str">
        <x:v>Provider Explorer</x:v>
      </x:c>
      <x:c r="F207" s="25" t="str">
        <x:v>gold.dim_provider; gold.dim_provider_home; gold.dim_referral_provider_message; gold.fact_ipa; gold.fact_offer; gold.fact_referral_provider</x:v>
      </x:c>
      <x:c r="G207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 VAR homes = VALUES('dim_provider_home'[provider_home_id]) VAR offers = CALCULATE
[EXCERPT; complete logic in KPI_LATEST_CALCULATIONS.md]</x:v>
      </x:c>
      <x:c r="H207" s="25" t="str">
        <x:v>KPI_LATEST_CALCULATIONS.md#business-explorer-provider-completed-ipas</x:v>
      </x:c>
      <x:c r="I207" s="25" t="str">
        <x:v>Saved definition; runtime/acceptance pending</x:v>
      </x:c>
    </x:row>
    <x:row r="208" ht="59" customHeight="1">
      <x:c r="A208" s="25" t="str">
        <x:v>Explorer provider documents</x:v>
      </x:c>
      <x:c r="B208" s="25" t="str">
        <x:v>_Explorer KPI Measures</x:v>
      </x:c>
      <x:c r="C208" s="25" t="str">
        <x:v>Business metric</x:v>
      </x:c>
      <x:c r="D208" s="25" t="str">
        <x:v>GOLD-KPI-327</x:v>
      </x:c>
      <x:c r="E208" s="25" t="str">
        <x:v>No direct saved visual binding</x:v>
      </x:c>
      <x:c r="F208" s="25" t="str">
        <x:v>gold.dim_provider_submission_document</x:v>
      </x:c>
      <x:c r="G208" s="25" t="str">
        <x:v>VAR eligible = FILTER(VALUES('dim_provider'[provider_id]),
			    NOT ISBLANK('dim_provider'[provider_id]) &amp;&amp; CALCULATE([Explorer provider row visible]) = 1)
			RETURN CALCULATE([Provider Submission Documents], KEEPFILTERS(eligible))</x:v>
      </x:c>
      <x:c r="H208" s="25" t="str">
        <x:v>KPI_LATEST_CALCULATIONS.md#business-explorer-provider-documents</x:v>
      </x:c>
      <x:c r="I208" s="25" t="str">
        <x:v>Saved definition; refresh/UAT pending</x:v>
      </x:c>
    </x:row>
    <x:row r="209" ht="59" customHeight="1">
      <x:c r="A209" s="25" t="str">
        <x:v>Explorer provider documents expired</x:v>
      </x:c>
      <x:c r="B209" s="25" t="str">
        <x:v>_Explorer KPI Measures</x:v>
      </x:c>
      <x:c r="C209" s="25" t="str">
        <x:v>Business metric</x:v>
      </x:c>
      <x:c r="D209" s="25" t="str">
        <x:v>GOLD-KPI-328</x:v>
      </x:c>
      <x:c r="E209" s="25" t="str">
        <x:v>No direct saved visual binding</x:v>
      </x:c>
      <x:c r="F209" s="25" t="str">
        <x:v>gold.dim_provider_submission_document</x:v>
      </x:c>
      <x:c r="G209" s="25" t="str">
        <x:v>VAR eligible = FILTER(VALUES('dim_provider'[provider_id]),
			    NOT ISBLANK('dim_provider'[provider_id]) &amp;&amp; CALCULATE([Explorer provider row visible]) = 1)
			RETURN CALCULATE([Documents Expired], KEEPFILTERS(eligible))</x:v>
      </x:c>
      <x:c r="H209" s="25" t="str">
        <x:v>KPI_LATEST_CALCULATIONS.md#business-explorer-provider-documents-expired</x:v>
      </x:c>
      <x:c r="I209" s="25" t="str">
        <x:v>Saved definition; refresh/UAT pending</x:v>
      </x:c>
    </x:row>
    <x:row r="210" ht="72" customHeight="1">
      <x:c r="A210" s="25" t="str">
        <x:v>Explorer provider documents expiring 30 days</x:v>
      </x:c>
      <x:c r="B210" s="25" t="str">
        <x:v>_Explorer KPI Measures</x:v>
      </x:c>
      <x:c r="C210" s="25" t="str">
        <x:v>Business metric</x:v>
      </x:c>
      <x:c r="D210" s="25" t="str">
        <x:v>GOLD-KPI-329</x:v>
      </x:c>
      <x:c r="E210" s="25" t="str">
        <x:v>No direct saved visual binding</x:v>
      </x:c>
      <x:c r="F210" s="25" t="str">
        <x:v>gold.dim_provider_submission_document</x:v>
      </x:c>
      <x:c r="G210" s="25" t="str">
        <x:v>VAR eligible = FILTER(VALUES('dim_provider'[provider_id]),
			    NOT ISBLANK('dim_provider'[provider_id]) &amp;&amp; CALCULATE([Explorer provider row visible]) = 1)
			RETURN CALCULATE([Documents Expiring Next 30 Days], KEEPFILTERS(eligible))</x:v>
      </x:c>
      <x:c r="H210" s="25" t="str">
        <x:v>KPI_LATEST_CALCULATIONS.md#business-explorer-provider-documents-expiring-30-days</x:v>
      </x:c>
      <x:c r="I210" s="25" t="str">
        <x:v>Saved definition; refresh/UAT pending</x:v>
      </x:c>
    </x:row>
    <x:row r="211" ht="215" customHeight="1">
      <x:c r="A211" s="25" t="str">
        <x:v>Explorer provider drafts</x:v>
      </x:c>
      <x:c r="B211" s="25" t="str">
        <x:v>_Explorer KPI Measures</x:v>
      </x:c>
      <x:c r="C211" s="25" t="str">
        <x:v>Business metric</x:v>
      </x:c>
      <x:c r="D211" s="25" t="str">
        <x:v>GOLD-KPI-196</x:v>
      </x:c>
      <x:c r="E211" s="25" t="str">
        <x:v>No direct saved visual binding</x:v>
      </x:c>
      <x:c r="F211" s="25" t="str">
        <x:v>gold.dim_provider; gold.dim_provider_home; gold.dim_referral_provider_message; gold.fact_ipa; gold.fact_offer; gold.fact_referral_provider</x:v>
      </x:c>
      <x:c r="G211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
			VAR homes = VALUES('dim_provider_home'[provider_home_id])
			RETURN CALCULATE
[EXCERPT; complete logic in KPI_LATEST_CALCULATIONS.md]</x:v>
      </x:c>
      <x:c r="H211" s="25" t="str">
        <x:v>KPI_LATEST_CALCULATIONS.md#business-explorer-provider-drafts</x:v>
      </x:c>
      <x:c r="I211" s="25" t="str">
        <x:v>Saved definition; runtime/acceptance pending</x:v>
      </x:c>
    </x:row>
    <x:row r="212" ht="189" customHeight="1">
      <x:c r="A212" s="25" t="str">
        <x:v>Explorer provider homes</x:v>
      </x:c>
      <x:c r="B212" s="25" t="str">
        <x:v>_Explorer KPI Measures</x:v>
      </x:c>
      <x:c r="C212" s="25" t="str">
        <x:v>Business metric</x:v>
      </x:c>
      <x:c r="D212" s="25" t="str">
        <x:v>GOLD-KPI-197</x:v>
      </x:c>
      <x:c r="E212" s="25" t="str">
        <x:v>Provider Detail (Drillthrough); Provider Explorer</x:v>
      </x:c>
      <x:c r="F212" s="25" t="str">
        <x:v>gold.dim_provider; gold.dim_provider_home; gold.dim_referral_provider_message; gold.fact_ipa; gold.fact_offer; gold.fact_referral_provider</x:v>
      </x:c>
      <x:c r="G212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CALCULATE(COALESCE(DISTINCTCOUNTNOBLANK('dim_provider_home'[provider_home_id]),0), KEEPFILTERS(eligible))</x:v>
      </x:c>
      <x:c r="H212" s="25" t="str">
        <x:v>KPI_LATEST_CALCULATIONS.md#business-explorer-provider-homes</x:v>
      </x:c>
      <x:c r="I212" s="25" t="str">
        <x:v>Saved definition; runtime/acceptance pending</x:v>
      </x:c>
    </x:row>
    <x:row r="213" ht="72" customHeight="1">
      <x:c r="A213" s="25" t="str">
        <x:v>Explorer provider homes with expired documents</x:v>
      </x:c>
      <x:c r="B213" s="25" t="str">
        <x:v>_Explorer KPI Measures</x:v>
      </x:c>
      <x:c r="C213" s="25" t="str">
        <x:v>Business metric</x:v>
      </x:c>
      <x:c r="D213" s="25" t="str">
        <x:v>GOLD-KPI-330</x:v>
      </x:c>
      <x:c r="E213" s="25" t="str">
        <x:v>No direct saved visual binding</x:v>
      </x:c>
      <x:c r="F213" s="25" t="str">
        <x:v>gold.dim_provider_submission_document</x:v>
      </x:c>
      <x:c r="G213" s="25" t="str">
        <x:v>VAR eligible = FILTER(VALUES('dim_provider'[provider_id]),
			    NOT ISBLANK('dim_provider'[provider_id]) &amp;&amp; CALCULATE([Explorer provider row visible]) = 1)
			RETURN CALCULATE([Provider Homes With Expired Documents], KEEPFILTERS(eligible))</x:v>
      </x:c>
      <x:c r="H213" s="25" t="str">
        <x:v>KPI_LATEST_CALCULATIONS.md#business-explorer-provider-homes-with-expired-documents</x:v>
      </x:c>
      <x:c r="I213" s="25" t="str">
        <x:v>Saved definition; refresh/UAT pending</x:v>
      </x:c>
    </x:row>
    <x:row r="214" ht="189" customHeight="1">
      <x:c r="A214" s="25" t="str">
        <x:v>Explorer provider median response minutes</x:v>
      </x:c>
      <x:c r="B214" s="25" t="str">
        <x:v>_Explorer KPI Measures</x:v>
      </x:c>
      <x:c r="C214" s="25" t="str">
        <x:v>Business metric</x:v>
      </x:c>
      <x:c r="D214" s="25" t="str">
        <x:v>GOLD-KPI-199</x:v>
      </x:c>
      <x:c r="E214" s="25" t="str">
        <x:v>No direct saved visual binding</x:v>
      </x:c>
      <x:c r="F214" s="25" t="str">
        <x:v>gold.dim_provider; gold.dim_provider_home; gold.dim_referral_provider_message; gold.fact_ipa; gold.fact_offer; gold.fact_referral_provider</x:v>
      </x:c>
      <x:c r="G214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CALCULATE(MEDIAN('fact_referral_provider'[response_elapsed_minutes]), KEEPFILTERS(eligible))</x:v>
      </x:c>
      <x:c r="H214" s="25" t="str">
        <x:v>KPI_LATEST_CALCULATIONS.md#business-explorer-provider-median-response-minutes</x:v>
      </x:c>
      <x:c r="I214" s="25" t="str">
        <x:v>Saved definition; runtime/acceptance pending</x:v>
      </x:c>
    </x:row>
    <x:row r="215" ht="46" customHeight="1">
      <x:c r="A215" s="25" t="str">
        <x:v>Explorer provider message row visible</x:v>
      </x:c>
      <x:c r="B215" s="25" t="str">
        <x:v>_Explorer KPI Measures</x:v>
      </x:c>
      <x:c r="C215" s="25" t="str">
        <x:v>Filter/context helper</x:v>
      </x:c>
      <x:c r="D215" s="25" t="str">
        <x:v>Helper/context; not registered as an additional KPI</x:v>
      </x:c>
      <x:c r="E215" s="25" t="str">
        <x:v>Provider Explorer</x:v>
      </x:c>
      <x:c r="F215" s="25" t="str">
        <x:v>gold.dim_provider; gold.dim_provider_home; gold.dim_referral_provider_message; gold.fact_ipa; gold.fact_offer; gold.fact_referral_provider</x:v>
      </x:c>
      <x:c r="G215" s="25" t="str">
        <x:v>IF([Explorer provider row visible] = 1 &amp;&amp; COUNTROWS('dim_referral_provider_message') &gt; 0, 1, BLANK())</x:v>
      </x:c>
      <x:c r="H215" s="25" t="str">
        <x:v>KPI_LATEST_CALCULATIONS.md#business-explorer-provider-message-row-visible</x:v>
      </x:c>
      <x:c r="I215" s="25" t="str">
        <x:v>Saved definition; runtime/acceptance pending</x:v>
      </x:c>
    </x:row>
    <x:row r="216" ht="189" customHeight="1">
      <x:c r="A216" s="25" t="str">
        <x:v>Explorer provider messages</x:v>
      </x:c>
      <x:c r="B216" s="25" t="str">
        <x:v>_Explorer KPI Measures</x:v>
      </x:c>
      <x:c r="C216" s="25" t="str">
        <x:v>Business metric</x:v>
      </x:c>
      <x:c r="D216" s="25" t="str">
        <x:v>GOLD-KPI-200</x:v>
      </x:c>
      <x:c r="E216" s="25" t="str">
        <x:v>Provider Explorer</x:v>
      </x:c>
      <x:c r="F216" s="25" t="str">
        <x:v>gold.dim_provider; gold.dim_provider_home; gold.dim_referral_provider_message; gold.fact_ipa; gold.fact_offer; gold.fact_referral_provider</x:v>
      </x:c>
      <x:c r="G216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CALCULATE(COALESCE(DISTINCTCOUNTNOBLANK('dim_referral_provider_message'[message_id]),0), KEEPFILTERS(eligible))</x:v>
      </x:c>
      <x:c r="H216" s="25" t="str">
        <x:v>KPI_LATEST_CALCULATIONS.md#business-explorer-provider-messages</x:v>
      </x:c>
      <x:c r="I216" s="25" t="str">
        <x:v>Saved definition; runtime/acceptance pending</x:v>
      </x:c>
    </x:row>
    <x:row r="217" ht="59" customHeight="1">
      <x:c r="A217" s="25" t="str">
        <x:v>Explorer provider monthly row visible</x:v>
      </x:c>
      <x:c r="B217" s="25" t="str">
        <x:v>_Explorer KPI Measures</x:v>
      </x:c>
      <x:c r="C217" s="25" t="str">
        <x:v>Filter/context helper</x:v>
      </x:c>
      <x:c r="D217" s="25" t="str">
        <x:v>Helper/context; not registered as an additional KPI</x:v>
      </x:c>
      <x:c r="E217" s="25" t="str">
        <x:v>Provider Detail (Drillthrough); Provider Explorer</x:v>
      </x:c>
      <x:c r="F217" s="25" t="str">
        <x:v>gold.dim_provider; gold.dim_provider_home; gold.dim_referral_provider_message; gold.fact_ipa; gold.fact_offer; gold.fact_provider_kpi_monthly; gold.fact_referral_provider</x:v>
      </x:c>
      <x:c r="G217" s="25" t="str">
        <x:v>IF([Explorer provider row visible] = 1 &amp;&amp; COUNTROWS('fact_provider_kpi_monthly') &gt; 0, 1, BLANK())</x:v>
      </x:c>
      <x:c r="H217" s="25" t="str">
        <x:v>KPI_LATEST_CALCULATIONS.md#business-explorer-provider-monthly-row-visible</x:v>
      </x:c>
      <x:c r="I217" s="25" t="str">
        <x:v>Saved definition; runtime/acceptance pending</x:v>
      </x:c>
    </x:row>
    <x:row r="218" ht="46" customHeight="1">
      <x:c r="A218" s="25" t="str">
        <x:v>Explorer provider offer acceptance rate</x:v>
      </x:c>
      <x:c r="B218" s="25" t="str">
        <x:v>_Explorer KPI Measures</x:v>
      </x:c>
      <x:c r="C218" s="25" t="str">
        <x:v>Business metric</x:v>
      </x:c>
      <x:c r="D218" s="25" t="str">
        <x:v>GOLD-KPI-201</x:v>
      </x:c>
      <x:c r="E218" s="25" t="str">
        <x:v>Provider Explorer</x:v>
      </x:c>
      <x:c r="F218" s="25" t="str">
        <x:v>gold.dim_provider; gold.dim_provider_home; gold.dim_referral_provider_message; gold.fact_ipa; gold.fact_offer; gold.fact_referral_provider</x:v>
      </x:c>
      <x:c r="G218" s="25" t="str">
        <x:v>DIVIDE([Explorer provider accepted offers],[Explorer provider offers made])</x:v>
      </x:c>
      <x:c r="H218" s="25" t="str">
        <x:v>KPI_LATEST_CALCULATIONS.md#business-explorer-provider-offer-acceptance-rate</x:v>
      </x:c>
      <x:c r="I218" s="25" t="str">
        <x:v>Saved definition; runtime/acceptance pending</x:v>
      </x:c>
    </x:row>
    <x:row r="219" ht="124" customHeight="1">
      <x:c r="A219" s="25" t="str">
        <x:v>Explorer provider offer row visible</x:v>
      </x:c>
      <x:c r="B219" s="25" t="str">
        <x:v>_Explorer KPI Measures</x:v>
      </x:c>
      <x:c r="C219" s="25" t="str">
        <x:v>Filter/context helper</x:v>
      </x:c>
      <x:c r="D219" s="25" t="str">
        <x:v>Helper/context; not registered as an additional KPI</x:v>
      </x:c>
      <x:c r="E219" s="25" t="str">
        <x:v>Provider Explorer</x:v>
      </x:c>
      <x:c r="F219" s="25" t="str">
        <x:v>gold.dim_provider; gold.dim_provider_home; gold.dim_referral_provider_message; gold.fact_ipa; gold.fact_offer; gold.fact_referral_provider</x:v>
      </x:c>
      <x:c r="G219" s="25" t="str">
        <x:v>IF (
			    COUNTROWS ( 'fact_offer' ) &gt; 0,
			    IF (
			        [Explorer provider row visible] = 1,
			        1,
			        BLANK ()
			    ),
			    BLANK ()
			)</x:v>
      </x:c>
      <x:c r="H219" s="25" t="str">
        <x:v>KPI_LATEST_CALCULATIONS.md#business-explorer-provider-offer-row-visible</x:v>
      </x:c>
      <x:c r="I219" s="25" t="str">
        <x:v>Saved definition; runtime/acceptance pending</x:v>
      </x:c>
    </x:row>
    <x:row r="220" ht="280" customHeight="1">
      <x:c r="A220" s="25" t="str">
        <x:v>Explorer provider offer table title</x:v>
      </x:c>
      <x:c r="B220" s="25" t="str">
        <x:v>_Explorer KPI Measures</x:v>
      </x:c>
      <x:c r="C220" s="25" t="str">
        <x:v>Filter/context helper</x:v>
      </x:c>
      <x:c r="D220" s="25" t="str">
        <x:v>Helper/context; not registered as an additional KPI</x:v>
      </x:c>
      <x:c r="E220" s="25" t="str">
        <x:v>Provider Explorer</x:v>
      </x:c>
      <x:c r="F220" s="25" t="str">
        <x:v>gold.dim_provider; gold.dim_provider_home; gold.dim_referral_provider_message; gold.fact_ipa; gold.fact_offer; gold.fact_referral; gold.fact_referral_provider</x:v>
      </x:c>
      <x:c r="G220" s="25" t="str">
        <x:v>VAR visibleRows = FILTER(
			    SUMMARIZE(
			        'fact_offer',
			        'fact_referral'[referral_id],
			        'dim_provider'[provider_id],
			        'dim_provider'[provider_name],
			        'fact_offer'[referral_id],
			        'fact_offer'[offer_id],
			        'fact_offer'[offer_status],
			        'fact_offer'[offer_submitted_date],
			        'fact_offer'[offer_decision_date],
			        'fact_offer'[estimated_weekly_cost],
			        'dim_provider_home (offer)'[home_name]
			    ),
			    CALCULATE([Explorer provider offer row visible]) = 1
			)
			VAR providerJourney = IF(HASONEVALUE('dim_provider'[provider_id]), [Rail provider cohort label])
			RETURN "Offer records and proposed homes" &amp; SWITCH(TRUE(), ISEMPTY(visibleRows), " - No rows to return", NOT ISBLANK(providerJourney), " - " &amp; providerJourney, "")</x:v>
      </x:c>
      <x:c r="H220" s="25" t="str">
        <x:v>KPI_LATEST_CALCULATIONS.md#business-explorer-provider-offer-table-title</x:v>
      </x:c>
      <x:c r="I220" s="25" t="str">
        <x:v>Saved definition; runtime/acceptance pending</x:v>
      </x:c>
    </x:row>
    <x:row r="221" ht="215" customHeight="1">
      <x:c r="A221" s="25" t="str">
        <x:v>Explorer provider offers</x:v>
      </x:c>
      <x:c r="B221" s="25" t="str">
        <x:v>_Explorer KPI Measures</x:v>
      </x:c>
      <x:c r="C221" s="25" t="str">
        <x:v>Business metric</x:v>
      </x:c>
      <x:c r="D221" s="25" t="str">
        <x:v>GOLD-KPI-202</x:v>
      </x:c>
      <x:c r="E221" s="25" t="str">
        <x:v>Provider Detail (Drillthrough)</x:v>
      </x:c>
      <x:c r="F221" s="25" t="str">
        <x:v>gold.dim_provider; gold.dim_provider_home; gold.dim_referral_provider_message; gold.fact_ipa; gold.fact_offer; gold.fact_referral_provider</x:v>
      </x:c>
      <x:c r="G221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
			VAR homes = VALUES('dim_provider_home'[provider_home_id])
			RETURN CALCULATE
[EXCERPT; complete logic in KPI_LATEST_CALCULATIONS.md]</x:v>
      </x:c>
      <x:c r="H221" s="25" t="str">
        <x:v>KPI_LATEST_CALCULATIONS.md#business-explorer-provider-offers</x:v>
      </x:c>
      <x:c r="I221" s="25" t="str">
        <x:v>Saved definition; runtime/acceptance pending</x:v>
      </x:c>
    </x:row>
    <x:row r="222" ht="215" customHeight="1">
      <x:c r="A222" s="25" t="str">
        <x:v>Explorer provider offers made</x:v>
      </x:c>
      <x:c r="B222" s="25" t="str">
        <x:v>_Explorer KPI Measures</x:v>
      </x:c>
      <x:c r="C222" s="25" t="str">
        <x:v>Business metric</x:v>
      </x:c>
      <x:c r="D222" s="25" t="str">
        <x:v>GOLD-KPI-203</x:v>
      </x:c>
      <x:c r="E222" s="25" t="str">
        <x:v>Provider Detail (Drillthrough); Provider Explorer</x:v>
      </x:c>
      <x:c r="F222" s="25" t="str">
        <x:v>gold.dim_provider; gold.dim_provider_home; gold.dim_referral_provider_message; gold.fact_ipa; gold.fact_offer; gold.fact_referral_provider</x:v>
      </x:c>
      <x:c r="G222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
			VAR homes = VALUES('dim_provider_home'[provider_home_id])
			RETURN CALCULATE
[EXCERPT; complete logic in KPI_LATEST_CALCULATIONS.md]</x:v>
      </x:c>
      <x:c r="H222" s="25" t="str">
        <x:v>KPI_LATEST_CALCULATIONS.md#business-explorer-provider-offers-made</x:v>
      </x:c>
      <x:c r="I222" s="25" t="str">
        <x:v>Saved definition; runtime/acceptance pending</x:v>
      </x:c>
    </x:row>
    <x:row r="223" ht="215" customHeight="1">
      <x:c r="A223" s="25" t="str">
        <x:v>Explorer provider pending offers</x:v>
      </x:c>
      <x:c r="B223" s="25" t="str">
        <x:v>_Explorer KPI Measures</x:v>
      </x:c>
      <x:c r="C223" s="25" t="str">
        <x:v>Business metric</x:v>
      </x:c>
      <x:c r="D223" s="25" t="str">
        <x:v>GOLD-KPI-204</x:v>
      </x:c>
      <x:c r="E223" s="25" t="str">
        <x:v>Provider Explorer</x:v>
      </x:c>
      <x:c r="F223" s="25" t="str">
        <x:v>gold.dim_provider; gold.dim_provider_home; gold.dim_referral_provider_message; gold.fact_ipa; gold.fact_offer; gold.fact_referral_provider</x:v>
      </x:c>
      <x:c r="G223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
			VAR homes = VALUES('dim_provider_home'[provider_home_id])
			RETURN CALCULATE
[EXCERPT; complete logic in KPI_LATEST_CALCULATIONS.md]</x:v>
      </x:c>
      <x:c r="H223" s="25" t="str">
        <x:v>KPI_LATEST_CALCULATIONS.md#business-explorer-provider-pending-offers</x:v>
      </x:c>
      <x:c r="I223" s="25" t="str">
        <x:v>Saved definition; runtime/acceptance pending</x:v>
      </x:c>
    </x:row>
    <x:row r="224" ht="202" customHeight="1">
      <x:c r="A224" s="25" t="str">
        <x:v>Explorer provider qualifying responses</x:v>
      </x:c>
      <x:c r="B224" s="25" t="str">
        <x:v>_Explorer KPI Measures</x:v>
      </x:c>
      <x:c r="C224" s="25" t="str">
        <x:v>Business metric</x:v>
      </x:c>
      <x:c r="D224" s="25" t="str">
        <x:v>GOLD-KPI-205</x:v>
      </x:c>
      <x:c r="E224" s="25" t="str">
        <x:v>No direct saved visual binding</x:v>
      </x:c>
      <x:c r="F224" s="25" t="str">
        <x:v>gold.dim_provider; gold.dim_provider_home; gold.dim_referral_provider_message; gold.fact_ipa; gold.fact_offer; gold.fact_referral_provider</x:v>
      </x:c>
      <x:c r="G224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CALCULATE(CALCULATE(COALESCE(DISTINCTCOUNTNOBLANK('fact_referral_provider'[referral_provider_id]),0), KEEPFILTERS('fact_referral_provider'[has_qualifying_response] == TRUE())), KEEPFILTERS(eligible))</x:v>
      </x:c>
      <x:c r="H224" s="25" t="str">
        <x:v>KPI_LATEST_CALCULATIONS.md#business-explorer-provider-qualifying-responses</x:v>
      </x:c>
      <x:c r="I224" s="25" t="str">
        <x:v>Saved definition; runtime/acceptance pending</x:v>
      </x:c>
    </x:row>
    <x:row r="225" ht="46" customHeight="1">
      <x:c r="A225" s="25" t="str">
        <x:v>Explorer provider response rate</x:v>
      </x:c>
      <x:c r="B225" s="25" t="str">
        <x:v>_Explorer KPI Measures</x:v>
      </x:c>
      <x:c r="C225" s="25" t="str">
        <x:v>Business metric</x:v>
      </x:c>
      <x:c r="D225" s="25" t="str">
        <x:v>GOLD-KPI-206</x:v>
      </x:c>
      <x:c r="E225" s="25" t="str">
        <x:v>No direct saved visual binding</x:v>
      </x:c>
      <x:c r="F225" s="25" t="str">
        <x:v>gold.dim_provider; gold.dim_provider_home; gold.dim_referral_provider_message; gold.fact_ipa; gold.fact_offer; gold.fact_referral_provider</x:v>
      </x:c>
      <x:c r="G225" s="25" t="str">
        <x:v>DIVIDE([Explorer provider qualifying responses],[Explorer provider assignments])</x:v>
      </x:c>
      <x:c r="H225" s="25" t="str">
        <x:v>KPI_LATEST_CALCULATIONS.md#business-explorer-provider-response-rate</x:v>
      </x:c>
      <x:c r="I225" s="25" t="str">
        <x:v>Saved definition; runtime/acceptance pending</x:v>
      </x:c>
    </x:row>
    <x:row r="226" ht="98" customHeight="1">
      <x:c r="A226" s="25" t="str">
        <x:v>Explorer provider row visible</x:v>
      </x:c>
      <x:c r="B226" s="25" t="str">
        <x:v>_Explorer KPI Measures</x:v>
      </x:c>
      <x:c r="C226" s="25" t="str">
        <x:v>Filter/context helper</x:v>
      </x:c>
      <x:c r="D226" s="25" t="str">
        <x:v>Helper/context; not registered as an additional KPI</x:v>
      </x:c>
      <x:c r="E226" s="25" t="str">
        <x:v>Provider Explorer</x:v>
      </x:c>
      <x:c r="F226" s="25" t="str">
        <x:v>gold.dim_provider; gold.dim_provider_home; gold.dim_referral_provider_message; gold.fact_ipa; gold.fact_offer; gold.fact_referral_provider</x:v>
      </x:c>
      <x:c r="G226" s="25" t="str">
        <x:v>VAR providerKey = SELECTEDVALUE('dim_provider'[provider_id])
			VAR homeFilter = ISFILTERED('dim_provider_home')
			VAR matchingHomes = CALCULATE(COUNTROWS('dim_provider_home'))
			VAR stage = SELECTEDVALUE('Journey Provider Selection'[Stage], -1)
			RETURN IF(NOT ISBLANK(providerKey) &amp;&amp; (NOT homeFilter || matchingHomes &gt; 0) &amp;&amp; [Provider matches offer status] = 1 &amp;&amp; (stage = -1 || [Journey provider stage] == stage), 1, BLANK())</x:v>
      </x:c>
      <x:c r="H226" s="25" t="str">
        <x:v>KPI_LATEST_CALCULATIONS.md#business-explorer-provider-row-visible</x:v>
      </x:c>
      <x:c r="I226" s="25" t="str">
        <x:v>Saved definition; runtime/acceptance pending</x:v>
      </x:c>
    </x:row>
    <x:row r="227" ht="202" customHeight="1">
      <x:c r="A227" s="25" t="str">
        <x:v>Explorer provider signed IPAs</x:v>
      </x:c>
      <x:c r="B227" s="25" t="str">
        <x:v>_Explorer KPI Measures</x:v>
      </x:c>
      <x:c r="C227" s="25" t="str">
        <x:v>Business metric</x:v>
      </x:c>
      <x:c r="D227" s="25" t="str">
        <x:v>GOLD-KPI-207</x:v>
      </x:c>
      <x:c r="E227" s="25" t="str">
        <x:v>No direct saved visual binding</x:v>
      </x:c>
      <x:c r="F227" s="25" t="str">
        <x:v>gold.dim_provider; gold.dim_provider_home; gold.dim_referral_provider_message; gold.fact_ipa; gold.fact_offer; gold.fact_referral_provider</x:v>
      </x:c>
      <x:c r="G227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homeFilter = ISFILTERED('dim_provider_home') VAR homes = VALUES('dim_provider_home'[provider_home_id]) VAR offers = CALCULATE
[EXCERPT; complete logic in KPI_LATEST_CALCULATIONS.md]</x:v>
      </x:c>
      <x:c r="H227" s="25" t="str">
        <x:v>KPI_LATEST_CALCULATIONS.md#business-explorer-provider-signed-ipas</x:v>
      </x:c>
      <x:c r="I227" s="25" t="str">
        <x:v>Saved definition; runtime/acceptance pending</x:v>
      </x:c>
    </x:row>
    <x:row r="228" ht="189" customHeight="1">
      <x:c r="A228" s="25" t="str">
        <x:v>Explorer providers</x:v>
      </x:c>
      <x:c r="B228" s="25" t="str">
        <x:v>_Explorer KPI Measures</x:v>
      </x:c>
      <x:c r="C228" s="25" t="str">
        <x:v>Business metric</x:v>
      </x:c>
      <x:c r="D228" s="25" t="str">
        <x:v>GOLD-KPI-208</x:v>
      </x:c>
      <x:c r="E228" s="25" t="str">
        <x:v>Provider Explorer</x:v>
      </x:c>
      <x:c r="F228" s="25" t="str">
        <x:v>gold.dim_provider; gold.dim_provider_home; gold.dim_referral_provider_message; gold.fact_ipa; gold.fact_offer; gold.fact_referral_provider</x:v>
      </x:c>
      <x:c r="G228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CALCULATE(COALESCE(DISTINCTCOUNTNOBLANK('dim_provider'[provider_id]),0), KEEPFILTERS(eligible))</x:v>
      </x:c>
      <x:c r="H228" s="25" t="str">
        <x:v>KPI_LATEST_CALCULATIONS.md#business-explorer-providers</x:v>
      </x:c>
      <x:c r="I228" s="25" t="str">
        <x:v>Saved definition; runtime/acceptance pending</x:v>
      </x:c>
    </x:row>
    <x:row r="229" ht="189" customHeight="1">
      <x:c r="A229" s="25" t="str">
        <x:v>Explorer providers without offers</x:v>
      </x:c>
      <x:c r="B229" s="25" t="str">
        <x:v>_Explorer KPI Measures</x:v>
      </x:c>
      <x:c r="C229" s="25" t="str">
        <x:v>Business metric</x:v>
      </x:c>
      <x:c r="D229" s="25" t="str">
        <x:v>GOLD-KPI-209</x:v>
      </x:c>
      <x:c r="E229" s="25" t="str">
        <x:v>No direct saved visual binding</x:v>
      </x:c>
      <x:c r="F229" s="25" t="str">
        <x:v>gold.dim_provider; gold.dim_provider_home; gold.dim_referral_provider_message; gold.fact_ipa; gold.fact_offer; gold.fact_referral_provider</x:v>
      </x:c>
      <x:c r="G229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CALCULATE(COUNTROWS(FILTER(VALUES('dim_provider'[provider_id]), CALCULATE([Explorer provider offers]) = 0)), KEEPFILTERS(eligible))</x:v>
      </x:c>
      <x:c r="H229" s="25" t="str">
        <x:v>KPI_LATEST_CALCULATIONS.md#business-explorer-providers-without-offers</x:v>
      </x:c>
      <x:c r="I229" s="25" t="str">
        <x:v>Saved definition; runtime/acceptance pending</x:v>
      </x:c>
    </x:row>
    <x:row r="230" ht="176" customHeight="1">
      <x:c r="A230" s="25" t="str">
        <x:v>Explorer referral IPAs</x:v>
      </x:c>
      <x:c r="B230" s="25" t="str">
        <x:v>_Explorer KPI Measures</x:v>
      </x:c>
      <x:c r="C230" s="25" t="str">
        <x:v>Business metric</x:v>
      </x:c>
      <x:c r="D230" s="25" t="str">
        <x:v>GOLD-KPI-213</x:v>
      </x:c>
      <x:c r="E230" s="25" t="str">
        <x:v>No direct saved visual binding</x:v>
      </x:c>
      <x:c r="F230" s="25" t="str">
        <x:v>gold.bridge_referral_framework_category; gold.dim_framework_category; gold.fact_ipa; gold.fact_offer; gold.fact_referral</x:v>
      </x:c>
      <x:c r="G230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0" s="25" t="str">
        <x:v>KPI_LATEST_CALCULATIONS.md#business-explorer-referral-ipas</x:v>
      </x:c>
      <x:c r="I230" s="25" t="str">
        <x:v>Saved definition; runtime/acceptance pending</x:v>
      </x:c>
    </x:row>
    <x:row r="231" ht="176" customHeight="1">
      <x:c r="A231" s="25" t="str">
        <x:v>Explorer referral accepted offers</x:v>
      </x:c>
      <x:c r="B231" s="25" t="str">
        <x:v>_Explorer KPI Measures</x:v>
      </x:c>
      <x:c r="C231" s="25" t="str">
        <x:v>Business metric</x:v>
      </x:c>
      <x:c r="D231" s="25" t="str">
        <x:v>GOLD-KPI-210</x:v>
      </x:c>
      <x:c r="E231" s="25" t="str">
        <x:v>No direct saved visual binding</x:v>
      </x:c>
      <x:c r="F231" s="25" t="str">
        <x:v>gold.bridge_referral_framework_category; gold.dim_framework_category; gold.fact_offer; gold.fact_referral</x:v>
      </x:c>
      <x:c r="G231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1" s="25" t="str">
        <x:v>KPI_LATEST_CALCULATIONS.md#business-explorer-referral-accepted-offers</x:v>
      </x:c>
      <x:c r="I231" s="25" t="str">
        <x:v>Saved definition; runtime/acceptance pending</x:v>
      </x:c>
    </x:row>
    <x:row r="232" ht="176" customHeight="1">
      <x:c r="A232" s="25" t="str">
        <x:v>Explorer referral assignments</x:v>
      </x:c>
      <x:c r="B232" s="25" t="str">
        <x:v>_Explorer KPI Measures</x:v>
      </x:c>
      <x:c r="C232" s="25" t="str">
        <x:v>Business metric</x:v>
      </x:c>
      <x:c r="D232" s="25" t="str">
        <x:v>GOLD-KPI-211</x:v>
      </x:c>
      <x:c r="E232" s="25" t="str">
        <x:v>Referral Explorer</x:v>
      </x:c>
      <x:c r="F232" s="25" t="str">
        <x:v>gold.bridge_referral_framework_category; gold.dim_framework_category; gold.fact_offer; gold.fact_referral; gold.fact_referral_provider</x:v>
      </x:c>
      <x:c r="G232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2" s="25" t="str">
        <x:v>KPI_LATEST_CALCULATIONS.md#business-explorer-referral-assignments</x:v>
      </x:c>
      <x:c r="I232" s="25" t="str">
        <x:v>Saved definition; runtime/acceptance pending</x:v>
      </x:c>
    </x:row>
    <x:row r="233" ht="176" customHeight="1">
      <x:c r="A233" s="25" t="str">
        <x:v>Explorer referral completed IPAs</x:v>
      </x:c>
      <x:c r="B233" s="25" t="str">
        <x:v>_Explorer KPI Measures</x:v>
      </x:c>
      <x:c r="C233" s="25" t="str">
        <x:v>Business metric</x:v>
      </x:c>
      <x:c r="D233" s="25" t="str">
        <x:v>GOLD-KPI-212</x:v>
      </x:c>
      <x:c r="E233" s="25" t="str">
        <x:v>Referral Explorer</x:v>
      </x:c>
      <x:c r="F233" s="25" t="str">
        <x:v>gold.bridge_referral_framework_category; gold.dim_framework_category; gold.fact_ipa; gold.fact_offer; gold.fact_referral</x:v>
      </x:c>
      <x:c r="G233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3" s="25" t="str">
        <x:v>KPI_LATEST_CALCULATIONS.md#business-explorer-referral-completed-ipas</x:v>
      </x:c>
      <x:c r="I233" s="25" t="str">
        <x:v>Saved definition; runtime/acceptance pending</x:v>
      </x:c>
    </x:row>
    <x:row r="234" ht="176" customHeight="1">
      <x:c r="A234" s="25" t="str">
        <x:v>Explorer referral messages</x:v>
      </x:c>
      <x:c r="B234" s="25" t="str">
        <x:v>_Explorer KPI Measures</x:v>
      </x:c>
      <x:c r="C234" s="25" t="str">
        <x:v>Business metric</x:v>
      </x:c>
      <x:c r="D234" s="25" t="str">
        <x:v>GOLD-KPI-214</x:v>
      </x:c>
      <x:c r="E234" s="25" t="str">
        <x:v>Referral Explorer</x:v>
      </x:c>
      <x:c r="F234" s="25" t="str">
        <x:v>gold.bridge_referral_framework_category; gold.dim_framework_category; gold.dim_referral_provider_message; gold.fact_offer; gold.fact_referral</x:v>
      </x:c>
      <x:c r="G234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4" s="25" t="str">
        <x:v>KPI_LATEST_CALCULATIONS.md#business-explorer-referral-messages</x:v>
      </x:c>
      <x:c r="I234" s="25" t="str">
        <x:v>Saved definition; runtime/acceptance pending</x:v>
      </x:c>
    </x:row>
    <x:row r="235" ht="46" customHeight="1">
      <x:c r="A235" s="25" t="str">
        <x:v>Explorer referral offer coverage</x:v>
      </x:c>
      <x:c r="B235" s="25" t="str">
        <x:v>_Explorer KPI Measures</x:v>
      </x:c>
      <x:c r="C235" s="25" t="str">
        <x:v>Business metric</x:v>
      </x:c>
      <x:c r="D235" s="25" t="str">
        <x:v>GOLD-KPI-215</x:v>
      </x:c>
      <x:c r="E235" s="25" t="str">
        <x:v>No direct saved visual binding</x:v>
      </x:c>
      <x:c r="F235" s="25" t="str">
        <x:v>gold.bridge_referral_framework_category; gold.dim_framework_category; gold.fact_offer; gold.fact_referral</x:v>
      </x:c>
      <x:c r="G235" s="25" t="str">
        <x:v>DIVIDE([Explorer referrals with offers],[Explorer referrals])</x:v>
      </x:c>
      <x:c r="H235" s="25" t="str">
        <x:v>KPI_LATEST_CALCULATIONS.md#business-explorer-referral-offer-coverage</x:v>
      </x:c>
      <x:c r="I235" s="25" t="str">
        <x:v>Saved definition; runtime/acceptance pending</x:v>
      </x:c>
    </x:row>
    <x:row r="236" ht="176" customHeight="1">
      <x:c r="A236" s="25" t="str">
        <x:v>Explorer referral offers</x:v>
      </x:c>
      <x:c r="B236" s="25" t="str">
        <x:v>_Explorer KPI Measures</x:v>
      </x:c>
      <x:c r="C236" s="25" t="str">
        <x:v>Business metric</x:v>
      </x:c>
      <x:c r="D236" s="25" t="str">
        <x:v>GOLD-KPI-216</x:v>
      </x:c>
      <x:c r="E236" s="25" t="str">
        <x:v>Referral Explorer</x:v>
      </x:c>
      <x:c r="F236" s="25" t="str">
        <x:v>gold.bridge_referral_framework_category; gold.dim_framework_category; gold.fact_offer; gold.fact_referral</x:v>
      </x:c>
      <x:c r="G236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6" s="25" t="str">
        <x:v>KPI_LATEST_CALCULATIONS.md#business-explorer-referral-offers</x:v>
      </x:c>
      <x:c r="I236" s="25" t="str">
        <x:v>Saved definition; runtime/acceptance pending</x:v>
      </x:c>
    </x:row>
    <x:row r="237" ht="176" customHeight="1">
      <x:c r="A237" s="25" t="str">
        <x:v>Explorer referral row visible</x:v>
      </x:c>
      <x:c r="B237" s="25" t="str">
        <x:v>_Explorer KPI Measures</x:v>
      </x:c>
      <x:c r="C237" s="25" t="str">
        <x:v>Filter/context helper</x:v>
      </x:c>
      <x:c r="D237" s="25" t="str">
        <x:v>Helper/context; not registered as an additional KPI</x:v>
      </x:c>
      <x:c r="E237" s="25" t="str">
        <x:v>Offer Locations; Referral Detail (Drillthrough); Referral Explorer</x:v>
      </x:c>
      <x:c r="F237" s="25" t="str">
        <x:v>gold.bridge_referral_framework_category; gold.dim_framework_category; gold.fact_offer; gold.fact_referral</x:v>
      </x:c>
      <x:c r="G237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7" s="25" t="str">
        <x:v>KPI_LATEST_CALCULATIONS.md#business-explorer-referral-row-visible</x:v>
      </x:c>
      <x:c r="I237" s="25" t="str">
        <x:v>Saved definition; runtime/acceptance pending</x:v>
      </x:c>
    </x:row>
    <x:row r="238" ht="176" customHeight="1">
      <x:c r="A238" s="25" t="str">
        <x:v>Explorer referrals</x:v>
      </x:c>
      <x:c r="B238" s="25" t="str">
        <x:v>_Explorer KPI Measures</x:v>
      </x:c>
      <x:c r="C238" s="25" t="str">
        <x:v>Business metric</x:v>
      </x:c>
      <x:c r="D238" s="25" t="str">
        <x:v>GOLD-KPI-217</x:v>
      </x:c>
      <x:c r="E238" s="25" t="str">
        <x:v>Referral Explorer</x:v>
      </x:c>
      <x:c r="F238" s="25" t="str">
        <x:v>gold.bridge_referral_framework_category; gold.dim_framework_category; gold.fact_offer; gold.fact_referral</x:v>
      </x:c>
      <x:c r="G238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8" s="25" t="str">
        <x:v>KPI_LATEST_CALCULATIONS.md#business-explorer-referrals</x:v>
      </x:c>
      <x:c r="I238" s="25" t="str">
        <x:v>Saved definition; runtime/acceptance pending</x:v>
      </x:c>
    </x:row>
    <x:row r="239" ht="176" customHeight="1">
      <x:c r="A239" s="25" t="str">
        <x:v>Explorer referrals closed</x:v>
      </x:c>
      <x:c r="B239" s="25" t="str">
        <x:v>_Explorer KPI Measures</x:v>
      </x:c>
      <x:c r="C239" s="25" t="str">
        <x:v>Business metric</x:v>
      </x:c>
      <x:c r="D239" s="25" t="str">
        <x:v>GOLD-KPI-218</x:v>
      </x:c>
      <x:c r="E239" s="25" t="str">
        <x:v>No direct saved visual binding</x:v>
      </x:c>
      <x:c r="F239" s="25" t="str">
        <x:v>gold.bridge_referral_framework_category; gold.dim_framework_category; gold.fact_offer; gold.fact_referral</x:v>
      </x:c>
      <x:c r="G239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39" s="25" t="str">
        <x:v>KPI_LATEST_CALCULATIONS.md#business-explorer-referrals-closed</x:v>
      </x:c>
      <x:c r="I239" s="25" t="str">
        <x:v>Saved definition; runtime/acceptance pending</x:v>
      </x:c>
    </x:row>
    <x:row r="240" ht="176" customHeight="1">
      <x:c r="A240" s="25" t="str">
        <x:v>Explorer referrals open</x:v>
      </x:c>
      <x:c r="B240" s="25" t="str">
        <x:v>_Explorer KPI Measures</x:v>
      </x:c>
      <x:c r="C240" s="25" t="str">
        <x:v>Business metric</x:v>
      </x:c>
      <x:c r="D240" s="25" t="str">
        <x:v>GOLD-KPI-219</x:v>
      </x:c>
      <x:c r="E240" s="25" t="str">
        <x:v>No direct saved visual binding</x:v>
      </x:c>
      <x:c r="F240" s="25" t="str">
        <x:v>gold.bridge_referral_framework_category; gold.dim_framework_category; gold.fact_offer; gold.fact_referral</x:v>
      </x:c>
      <x:c r="G240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40" s="25" t="str">
        <x:v>KPI_LATEST_CALCULATIONS.md#business-explorer-referrals-open</x:v>
      </x:c>
      <x:c r="I240" s="25" t="str">
        <x:v>Saved definition; runtime/acceptance pending</x:v>
      </x:c>
    </x:row>
    <x:row r="241" ht="176" customHeight="1">
      <x:c r="A241" s="25" t="str">
        <x:v>Explorer referrals open overdue</x:v>
      </x:c>
      <x:c r="B241" s="25" t="str">
        <x:v>_Explorer KPI Measures</x:v>
      </x:c>
      <x:c r="C241" s="25" t="str">
        <x:v>Business metric</x:v>
      </x:c>
      <x:c r="D241" s="25" t="str">
        <x:v>GOLD-KPI-220</x:v>
      </x:c>
      <x:c r="E241" s="25" t="str">
        <x:v>Referral Explorer</x:v>
      </x:c>
      <x:c r="F241" s="25" t="str">
        <x:v>gold.bridge_referral_framework_category; gold.dim_framework_category; gold.fact_offer; gold.fact_referral</x:v>
      </x:c>
      <x:c r="G241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41" s="25" t="str">
        <x:v>KPI_LATEST_CALCULATIONS.md#business-explorer-referrals-open-overdue</x:v>
      </x:c>
      <x:c r="I241" s="25" t="str">
        <x:v>Saved definition; runtime/acceptance pending</x:v>
      </x:c>
    </x:row>
    <x:row r="242" ht="176" customHeight="1">
      <x:c r="A242" s="25" t="str">
        <x:v>Explorer referrals with offers</x:v>
      </x:c>
      <x:c r="B242" s="25" t="str">
        <x:v>_Explorer KPI Measures</x:v>
      </x:c>
      <x:c r="C242" s="25" t="str">
        <x:v>Business metric</x:v>
      </x:c>
      <x:c r="D242" s="25" t="str">
        <x:v>GOLD-KPI-221</x:v>
      </x:c>
      <x:c r="E242" s="25" t="str">
        <x:v>No direct saved visual binding</x:v>
      </x:c>
      <x:c r="F242" s="25" t="str">
        <x:v>gold.bridge_referral_framework_category; gold.dim_framework_category; gold.fact_offer; gold.fact_referral</x:v>
      </x:c>
      <x:c r="G242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242" s="25" t="str">
        <x:v>KPI_LATEST_CALCULATIONS.md#business-explorer-referrals-with-offers</x:v>
      </x:c>
      <x:c r="I242" s="25" t="str">
        <x:v>Saved definition; runtime/acceptance pending</x:v>
      </x:c>
    </x:row>
    <x:row r="243" ht="46" customHeight="1">
      <x:c r="A243" s="25" t="str">
        <x:v>Explorer referrals without offers</x:v>
      </x:c>
      <x:c r="B243" s="25" t="str">
        <x:v>_Explorer KPI Measures</x:v>
      </x:c>
      <x:c r="C243" s="25" t="str">
        <x:v>Business metric</x:v>
      </x:c>
      <x:c r="D243" s="25" t="str">
        <x:v>GOLD-KPI-222</x:v>
      </x:c>
      <x:c r="E243" s="25" t="str">
        <x:v>No direct saved visual binding</x:v>
      </x:c>
      <x:c r="F243" s="25" t="str">
        <x:v>gold.bridge_referral_framework_category; gold.dim_framework_category; gold.fact_offer; gold.fact_referral</x:v>
      </x:c>
      <x:c r="G243" s="25" t="str">
        <x:v>[Explorer referrals] - [Explorer referrals with offers]</x:v>
      </x:c>
      <x:c r="H243" s="25" t="str">
        <x:v>KPI_LATEST_CALCULATIONS.md#business-explorer-referrals-without-offers</x:v>
      </x:c>
      <x:c r="I243" s="25" t="str">
        <x:v>Saved definition; runtime/acceptance pending</x:v>
      </x:c>
    </x:row>
    <x:row r="244" ht="24" customHeight="1">
      <x:c r="A244" s="25" t="str">
        <x:v>Female Referrals</x:v>
      </x:c>
      <x:c r="B244" s="25" t="str">
        <x:v>_Measures</x:v>
      </x:c>
      <x:c r="C244" s="25" t="str">
        <x:v>Business metric</x:v>
      </x:c>
      <x:c r="D244" s="25" t="str">
        <x:v>KPI-05; GOLD-KPI-111</x:v>
      </x:c>
      <x:c r="E244" s="25" t="str">
        <x:v>Referrals</x:v>
      </x:c>
      <x:c r="F244" s="25" t="str">
        <x:v>gold.dim_person; gold.fact_referral</x:v>
      </x:c>
      <x:c r="G244" s="25" t="str">
        <x:v>CALCULATE ( [Total Referrals], 'dim_person'[gender_clean] = "Female" )</x:v>
      </x:c>
      <x:c r="H244" s="25" t="str">
        <x:v>KPI_LATEST_CALCULATIONS.md#business-female-referrals</x:v>
      </x:c>
      <x:c r="I244" s="25" t="str">
        <x:v>Saved definition; runtime/acceptance pending</x:v>
      </x:c>
    </x:row>
    <x:row r="245" ht="33" customHeight="1">
      <x:c r="A245" s="25" t="str">
        <x:v>Fostering Homes</x:v>
      </x:c>
      <x:c r="B245" s="25" t="str">
        <x:v>_Measures</x:v>
      </x:c>
      <x:c r="C245" s="25" t="str">
        <x:v>Business metric</x:v>
      </x:c>
      <x:c r="D245" s="25" t="str">
        <x:v>GOLD-KPI-083</x:v>
      </x:c>
      <x:c r="E245" s="25" t="str">
        <x:v>No direct saved visual binding</x:v>
      </x:c>
      <x:c r="F245" s="25" t="str">
        <x:v>gold.dim_provider; gold.dim_provider_home</x:v>
      </x:c>
      <x:c r="G245" s="25" t="str">
        <x:v>CALCULATE ( [Provider Homes Registered], 'dim_provider_home'[service_type] = "Fostering" )</x:v>
      </x:c>
      <x:c r="H245" s="25" t="str">
        <x:v>KPI_LATEST_CALCULATIONS.md#business-fostering-homes</x:v>
      </x:c>
      <x:c r="I245" s="25" t="str">
        <x:v>Saved definition; runtime/acceptance pending</x:v>
      </x:c>
    </x:row>
    <x:row r="246" ht="98" customHeight="1">
      <x:c r="A246" s="25" t="str">
        <x:v>Framework Offers (Under Offer Referrals)</x:v>
      </x:c>
      <x:c r="B246" s="25" t="str">
        <x:v>_Measures</x:v>
      </x:c>
      <x:c r="C246" s="25" t="str">
        <x:v>Business metric</x:v>
      </x:c>
      <x:c r="D246" s="25" t="str">
        <x:v>KPI-38</x:v>
      </x:c>
      <x:c r="E246" s="25" t="str">
        <x:v>Offers Overview</x:v>
      </x:c>
      <x:c r="F246" s="25" t="str">
        <x:v>gold.dim_provider_home; gold.fact_offer; gold.fact_referral</x:v>
      </x:c>
      <x:c r="G246" s="25" t="str">
        <x:v>// Preserve the original non-Spot fallback for blank/unmatched home flags.
			// These offers are not evidence of affirmative framework membership.
			VAR qualifyingOffers = [Offers on Referrals Under Offer]
			VAR spotOffers = COALESCE ( [Spot Offers on Referrals Under Offer], 0 )
			RETURN
			    IF ( ISBLANK ( qualifyingOffers ), BLANK (), qualifyingOffers - spotOffers )</x:v>
      </x:c>
      <x:c r="H246" s="25" t="str">
        <x:v>KPI_LATEST_CALCULATIONS.md#business-framework-offers-under-offer-referrals</x:v>
      </x:c>
      <x:c r="I246" s="25" t="str">
        <x:v>Saved definition; runtime/acceptance pending</x:v>
      </x:c>
    </x:row>
    <x:row r="247" ht="111" customHeight="1">
      <x:c r="A247" s="25" t="str">
        <x:v>Framework Offers on Referrals Under Offer</x:v>
      </x:c>
      <x:c r="B247" s="25" t="str">
        <x:v>_Measures</x:v>
      </x:c>
      <x:c r="C247" s="25" t="str">
        <x:v>Business metric</x:v>
      </x:c>
      <x:c r="D247" s="25" t="str">
        <x:v>GOLD-KPI-223</x:v>
      </x:c>
      <x:c r="E247" s="25" t="str">
        <x:v>No direct saved visual binding</x:v>
      </x:c>
      <x:c r="F247" s="25" t="str">
        <x:v>gold.dim_provider_home; gold.fact_offer; gold.fact_referral</x:v>
      </x:c>
      <x:c r="G247" s="25" t="str">
        <x:v>CALCULATE (
			    [Non-Spot Offers],
			    FILTER (
			        'fact_referral',
			        'fact_referral'[is_open] = TRUE () &amp;&amp; 'fact_referral'[current_status] = "UNDER_OFFER"
			    )
			)</x:v>
      </x:c>
      <x:c r="H247" s="25" t="str">
        <x:v>KPI_LATEST_CALCULATIONS.md#business-framework-offers-on-referrals-under-offer</x:v>
      </x:c>
      <x:c r="I247" s="25" t="str">
        <x:v>Saved definition; runtime/acceptance pending</x:v>
      </x:c>
    </x:row>
    <x:row r="248" ht="24" customHeight="1">
      <x:c r="A248" s="25" t="str">
        <x:v>Framework Providers</x:v>
      </x:c>
      <x:c r="B248" s="25" t="str">
        <x:v>_Measures</x:v>
      </x:c>
      <x:c r="C248" s="25" t="str">
        <x:v>Business metric</x:v>
      </x:c>
      <x:c r="D248" s="25" t="str">
        <x:v>KPI-45</x:v>
      </x:c>
      <x:c r="E248" s="25" t="str">
        <x:v>No direct saved visual binding</x:v>
      </x:c>
      <x:c r="F248" s="25" t="str">
        <x:v>gold.bridge_provider_framework</x:v>
      </x:c>
      <x:c r="G248" s="25" t="str">
        <x:v>DISTINCTCOUNT(bridge_provider_framework[provider_id])</x:v>
      </x:c>
      <x:c r="H248" s="25" t="str">
        <x:v>KPI_LATEST_CALCULATIONS.md#business-framework-providers</x:v>
      </x:c>
      <x:c r="I248" s="25" t="str">
        <x:v>Saved definition; runtime/acceptance pending</x:v>
      </x:c>
    </x:row>
    <x:row r="249" ht="124" customHeight="1">
      <x:c r="A249" s="25" t="str">
        <x:v>Gold Model Last Refreshed</x:v>
      </x:c>
      <x:c r="B249" s="25" t="str">
        <x:v>_Measures</x:v>
      </x:c>
      <x:c r="C249" s="25" t="str">
        <x:v>Business metric</x:v>
      </x:c>
      <x:c r="D249" s="25" t="str">
        <x:v>KPI-87</x:v>
      </x:c>
      <x:c r="E249" s="25" t="str">
        <x:v>Draft Offers; IPA Overview; Offer Locations; Offers Overview; Overall Performance; Provider &amp; Placement Supply; Provider Detail (Drillthrough); Provider Explorer; Provider Registry Extract; Referral Detail (Drillthrough); Referral Explorer; Referral Geography; Referrals; Requirement Matrix Overview; Target &amp; Urgency Performance; WMPP Homepage</x:v>
      </x:c>
      <x:c r="F249" s="25" t="str">
        <x:v>gold.fact_referral</x:v>
      </x:c>
      <x:c r="G249" s="25" t="str">
        <x:v>MAX ( 'fact_referral'[gold_modelled_at] )</x:v>
      </x:c>
      <x:c r="H249" s="25" t="str">
        <x:v>KPI_LATEST_CALCULATIONS.md#business-gold-model-last-refreshed</x:v>
      </x:c>
      <x:c r="I249" s="25" t="str">
        <x:v>Saved definition; runtime/acceptance pending</x:v>
      </x:c>
    </x:row>
    <x:row r="250" ht="46" customHeight="1">
      <x:c r="A250" s="25" t="str">
        <x:v>Homes Offered</x:v>
      </x:c>
      <x:c r="B250" s="25" t="str">
        <x:v>_Design Measures</x:v>
      </x:c>
      <x:c r="C250" s="25" t="str">
        <x:v>Business metric</x:v>
      </x:c>
      <x:c r="D250" s="25" t="str">
        <x:v>GOLD-KPI-143</x:v>
      </x:c>
      <x:c r="E250" s="25" t="str">
        <x:v>Provider &amp; Placement Supply; Referrals</x:v>
      </x:c>
      <x:c r="F250" s="25" t="str">
        <x:v>gold.fact_offer</x:v>
      </x:c>
      <x:c r="G250" s="25" t="str">
        <x:v>CALCULATE ( DISTINCTCOUNT ( 'fact_offer'[provider_home_id] ),
			    KEEPFILTERS ( FILTER ( 'fact_offer', NOT ISBLANK ( 'fact_offer'[provider_home_id] ) &amp;&amp; 'fact_offer'[provider_home_id] &lt;&gt; "" ) ) )</x:v>
      </x:c>
      <x:c r="H250" s="25" t="str">
        <x:v>KPI_LATEST_CALCULATIONS.md#business-homes-offered</x:v>
      </x:c>
      <x:c r="I250" s="25" t="str">
        <x:v>Saved definition; runtime/acceptance pending</x:v>
      </x:c>
    </x:row>
    <x:row r="251" ht="33" customHeight="1">
      <x:c r="A251" s="25" t="str">
        <x:v>IPA Complete referral</x:v>
      </x:c>
      <x:c r="B251" s="25" t="str">
        <x:v>_Explore Measures</x:v>
      </x:c>
      <x:c r="C251" s="25" t="str">
        <x:v>Filter/context helper</x:v>
      </x:c>
      <x:c r="D251" s="25" t="str">
        <x:v>Helper/context; not registered as an additional KPI</x:v>
      </x:c>
      <x:c r="E251" s="25" t="str">
        <x:v>No direct saved visual binding</x:v>
      </x:c>
      <x:c r="F251" s="25" t="str">
        <x:v>gold.bridge_referral_framework_category; gold.dim_framework_category; gold.fact_referral</x:v>
      </x:c>
      <x:c r="G251" s="25" t="str">
        <x:v>CALCULATE([Referrals], KEEPFILTERS ( fact_referral[ipa_2_signatures] = TRUE () ) )</x:v>
      </x:c>
      <x:c r="H251" s="25" t="str">
        <x:v>KPI_LATEST_CALCULATIONS.md#business-ipa-complete-referral</x:v>
      </x:c>
      <x:c r="I251" s="25" t="str">
        <x:v>Saved definition; runtime/acceptance pending</x:v>
      </x:c>
    </x:row>
    <x:row r="252" ht="33" customHeight="1">
      <x:c r="A252" s="25" t="str">
        <x:v>IPA Completed</x:v>
      </x:c>
      <x:c r="B252" s="25" t="str">
        <x:v>_Measures</x:v>
      </x:c>
      <x:c r="C252" s="25" t="str">
        <x:v>Business metric</x:v>
      </x:c>
      <x:c r="D252" s="25" t="str">
        <x:v>KPI-77; GOLD-KPI-114</x:v>
      </x:c>
      <x:c r="E252" s="25" t="str">
        <x:v>IPA Overview; Referral Explorer</x:v>
      </x:c>
      <x:c r="F252" s="25" t="str">
        <x:v>gold.fact_ipa</x:v>
      </x:c>
      <x:c r="G252" s="25" t="str">
        <x:v>CALCULATE ( [IPAs Created], KEEPFILTERS ( 'fact_ipa'[is_ipa_completed] = TRUE () ) )</x:v>
      </x:c>
      <x:c r="H252" s="25" t="str">
        <x:v>KPI_LATEST_CALCULATIONS.md#business-ipa-completed</x:v>
      </x:c>
      <x:c r="I252" s="25" t="str">
        <x:v>Saved definition; runtime/acceptance pending</x:v>
      </x:c>
    </x:row>
    <x:row r="253" ht="24" customHeight="1">
      <x:c r="A253" s="25" t="str">
        <x:v>IPA Created to Completion %</x:v>
      </x:c>
      <x:c r="B253" s="25" t="str">
        <x:v>_Measures</x:v>
      </x:c>
      <x:c r="C253" s="25" t="str">
        <x:v>Business metric</x:v>
      </x:c>
      <x:c r="D253" s="25" t="str">
        <x:v>KPI-85</x:v>
      </x:c>
      <x:c r="E253" s="25" t="str">
        <x:v>IPA Overview</x:v>
      </x:c>
      <x:c r="F253" s="25" t="str">
        <x:v>gold.fact_ipa</x:v>
      </x:c>
      <x:c r="G253" s="25" t="str">
        <x:v>DIVIDE ( [IPA Completed], [IPAs Created] )</x:v>
      </x:c>
      <x:c r="H253" s="25" t="str">
        <x:v>KPI_LATEST_CALCULATIONS.md#business-ipa-created-to-completion-percent</x:v>
      </x:c>
      <x:c r="I253" s="25" t="str">
        <x:v>Saved definition; runtime/acceptance pending</x:v>
      </x:c>
    </x:row>
    <x:row r="254" ht="111" customHeight="1">
      <x:c r="A254" s="25" t="str">
        <x:v>IPA Exists</x:v>
      </x:c>
      <x:c r="B254" s="25" t="str">
        <x:v>_Measures</x:v>
      </x:c>
      <x:c r="C254" s="25" t="str">
        <x:v>Display/filter helper</x:v>
      </x:c>
      <x:c r="D254" s="25" t="str">
        <x:v>KPI-73</x:v>
      </x:c>
      <x:c r="E254" s="25" t="str">
        <x:v>No direct saved visual binding</x:v>
      </x:c>
      <x:c r="F254" s="25" t="str">
        <x:v>gold.fact_ipa; gold.fact_offer</x:v>
      </x:c>
      <x:c r="G254" s="25" t="str">
        <x:v>IF (
			    ISINSCOPE ( 'fact_offer'[offer_id] ) || ( HASONEVALUE ( 'fact_offer'[offer_id] ) &amp;&amp; NOT ISINSCOPE ( 'fact_ipa'[ipa_id] ) ),
			    VAR offer_ids = VALUES ( 'fact_offer'[offer_id] )
			    RETURN IF ( CALCULATE ( [IPAs Created], KEEPFILTERS ( TREATAS ( offer_ids, 'fact_ipa'[accepted_offer_id] ) ) ) &gt; 0, "Yes", "No" ),
			    IF ( [IPAs Created] &gt; 0, "Yes", "No" )
			)</x:v>
      </x:c>
      <x:c r="H254" s="25" t="str">
        <x:v>KPI_LATEST_CALCULATIONS.md#business-ipa-exists</x:v>
      </x:c>
      <x:c r="I254" s="25" t="str">
        <x:v>Saved definition; runtime/acceptance pending</x:v>
      </x:c>
    </x:row>
    <x:row r="255" ht="33" customHeight="1">
      <x:c r="A255" s="25" t="str">
        <x:v>IPA Signature Completion Rate</x:v>
      </x:c>
      <x:c r="B255" s="25" t="str">
        <x:v>_Measures</x:v>
      </x:c>
      <x:c r="C255" s="25" t="str">
        <x:v>Business metric</x:v>
      </x:c>
      <x:c r="D255" s="25" t="str">
        <x:v>KPI-114</x:v>
      </x:c>
      <x:c r="E255" s="25" t="str">
        <x:v>No direct saved visual binding</x:v>
      </x:c>
      <x:c r="F255" s="25" t="str">
        <x:v>gold.fact_ipa</x:v>
      </x:c>
      <x:c r="G255" s="25" t="str">
        <x:v>DIVIDE ( [IPA Completed], [IPAs Created] )</x:v>
      </x:c>
      <x:c r="H255" s="25" t="str">
        <x:v>KPI_LATEST_CALCULATIONS.md#business-ipa-signature-completion-rate</x:v>
      </x:c>
      <x:c r="I255" s="25" t="str">
        <x:v>Saved definition; runtime/acceptance pending</x:v>
      </x:c>
    </x:row>
    <x:row r="256" ht="24" customHeight="1">
      <x:c r="A256" s="25" t="str">
        <x:v>IPA Signature Pending Rate</x:v>
      </x:c>
      <x:c r="B256" s="25" t="str">
        <x:v>_Measures</x:v>
      </x:c>
      <x:c r="C256" s="25" t="str">
        <x:v>Business metric</x:v>
      </x:c>
      <x:c r="D256" s="25" t="str">
        <x:v>GOLD-KPI-224</x:v>
      </x:c>
      <x:c r="E256" s="25" t="str">
        <x:v>No direct saved visual binding</x:v>
      </x:c>
      <x:c r="F256" s="25" t="str">
        <x:v>gold.fact_ipa</x:v>
      </x:c>
      <x:c r="G256" s="25" t="str">
        <x:v>DIVIDE ( [IPAs Pending Completion], [IPAs Created] )</x:v>
      </x:c>
      <x:c r="H256" s="25" t="str">
        <x:v>KPI_LATEST_CALCULATIONS.md#business-ipa-signature-pending-rate</x:v>
      </x:c>
      <x:c r="I256" s="25" t="str">
        <x:v>Saved definition; runtime/acceptance pending</x:v>
      </x:c>
    </x:row>
    <x:row r="257" ht="24" customHeight="1">
      <x:c r="A257" s="25" t="str">
        <x:v>IPAs Created</x:v>
      </x:c>
      <x:c r="B257" s="25" t="str">
        <x:v>_Measures</x:v>
      </x:c>
      <x:c r="C257" s="25" t="str">
        <x:v>Business metric</x:v>
      </x:c>
      <x:c r="D257" s="25" t="str">
        <x:v>KPI-76</x:v>
      </x:c>
      <x:c r="E257" s="25" t="str">
        <x:v>IPA Overview</x:v>
      </x:c>
      <x:c r="F257" s="25" t="str">
        <x:v>gold.fact_ipa</x:v>
      </x:c>
      <x:c r="G257" s="25" t="str">
        <x:v>DISTINCTCOUNT ( 'fact_ipa'[ipa_id] )</x:v>
      </x:c>
      <x:c r="H257" s="25" t="str">
        <x:v>KPI_LATEST_CALCULATIONS.md#business-ipas-created</x:v>
      </x:c>
      <x:c r="I257" s="25" t="str">
        <x:v>Saved definition; runtime/acceptance pending</x:v>
      </x:c>
    </x:row>
    <x:row r="258" ht="150" customHeight="1">
      <x:c r="A258" s="25" t="str">
        <x:v>IPAs Issued This Month</x:v>
      </x:c>
      <x:c r="B258" s="25" t="str">
        <x:v>_Measures</x:v>
      </x:c>
      <x:c r="C258" s="25" t="str">
        <x:v>Business metric</x:v>
      </x:c>
      <x:c r="D258" s="25" t="str">
        <x:v>GOLD-KPI-095</x:v>
      </x:c>
      <x:c r="E258" s="25" t="str">
        <x:v>No direct saved visual binding</x:v>
      </x:c>
      <x:c r="F258" s="25" t="str">
        <x:v>gold.dim_date; gold.fact_ipa; gold.fact_referral</x:v>
      </x:c>
      <x:c r="G258" s="25" t="str">
        <x:v>VAR as_of = MAX ( 'fact_ipa'[as_of_date] )
			RETURN IF ( NOT ISBLANK ( as_of ),
			    CALCULATE ( [IPAs Created],
			        CROSSFILTER ( 'dim_date'[date], 'fact_referral'[referral_created_date], NONE ),
			        USERELATIONSHIP ( 'dim_date'[date], 'fact_ipa'[ipa_issued_date] ),
			        DATESBETWEEN ( 'dim_date'[date], DATE ( YEAR ( as_of ), MONTH ( as_of ), 1 ), as_of )
			    )
			)</x:v>
      </x:c>
      <x:c r="H258" s="25" t="str">
        <x:v>KPI_LATEST_CALCULATIONS.md#business-ipas-issued-this-month</x:v>
      </x:c>
      <x:c r="I258" s="25" t="str">
        <x:v>Saved definition; runtime/acceptance pending</x:v>
      </x:c>
    </x:row>
    <x:row r="259" ht="46" customHeight="1">
      <x:c r="A259" s="25" t="str">
        <x:v>IPAs Pending Completion</x:v>
      </x:c>
      <x:c r="B259" s="25" t="str">
        <x:v>_Measures</x:v>
      </x:c>
      <x:c r="C259" s="25" t="str">
        <x:v>Business metric</x:v>
      </x:c>
      <x:c r="D259" s="25" t="str">
        <x:v>KPI-78; GOLD-KPI-115</x:v>
      </x:c>
      <x:c r="E259" s="25" t="str">
        <x:v>Draft Offers; IPA Overview; Offers Overview; Referral Detail (Drillthrough); Referral Explorer (Original)</x:v>
      </x:c>
      <x:c r="F259" s="25" t="str">
        <x:v>gold.fact_ipa</x:v>
      </x:c>
      <x:c r="G259" s="25" t="str">
        <x:v>CALCULATE ( [IPAs Created], KEEPFILTERS ( 'fact_ipa'[is_ipa_pending] = TRUE () ) )</x:v>
      </x:c>
      <x:c r="H259" s="25" t="str">
        <x:v>KPI_LATEST_CALCULATIONS.md#business-ipas-pending-completion</x:v>
      </x:c>
      <x:c r="I259" s="25" t="str">
        <x:v>Saved definition; runtime/acceptance pending</x:v>
      </x:c>
    </x:row>
    <x:row r="260" ht="33" customHeight="1">
      <x:c r="A260" s="25" t="str">
        <x:v>IPAs Signed by Local Authority</x:v>
      </x:c>
      <x:c r="B260" s="25" t="str">
        <x:v>_Measures</x:v>
      </x:c>
      <x:c r="C260" s="25" t="str">
        <x:v>Business metric</x:v>
      </x:c>
      <x:c r="D260" s="25" t="str">
        <x:v>GOLD-KPI-117</x:v>
      </x:c>
      <x:c r="E260" s="25" t="str">
        <x:v>No direct saved visual binding</x:v>
      </x:c>
      <x:c r="F260" s="25" t="str">
        <x:v>gold.fact_ipa</x:v>
      </x:c>
      <x:c r="G260" s="25" t="str">
        <x:v>CALCULATE ( [IPAs Created], KEEPFILTERS ( 'fact_ipa'[signed_by_local_authority] = TRUE () ) )</x:v>
      </x:c>
      <x:c r="H260" s="25" t="str">
        <x:v>KPI_LATEST_CALCULATIONS.md#business-ipas-signed-by-local-authority</x:v>
      </x:c>
      <x:c r="I260" s="25" t="str">
        <x:v>Saved definition; runtime/acceptance pending</x:v>
      </x:c>
    </x:row>
    <x:row r="261" ht="33" customHeight="1">
      <x:c r="A261" s="25" t="str">
        <x:v>IPAs Signed by Provider</x:v>
      </x:c>
      <x:c r="B261" s="25" t="str">
        <x:v>_Measures</x:v>
      </x:c>
      <x:c r="C261" s="25" t="str">
        <x:v>Business metric</x:v>
      </x:c>
      <x:c r="D261" s="25" t="str">
        <x:v>GOLD-KPI-116</x:v>
      </x:c>
      <x:c r="E261" s="25" t="str">
        <x:v>No direct saved visual binding</x:v>
      </x:c>
      <x:c r="F261" s="25" t="str">
        <x:v>gold.fact_ipa</x:v>
      </x:c>
      <x:c r="G261" s="25" t="str">
        <x:v>CALCULATE ( [IPAs Created], KEEPFILTERS ( 'fact_ipa'[signed_by_provider] = TRUE () ) )</x:v>
      </x:c>
      <x:c r="H261" s="25" t="str">
        <x:v>KPI_LATEST_CALCULATIONS.md#business-ipas-signed-by-provider</x:v>
      </x:c>
      <x:c r="I261" s="25" t="str">
        <x:v>Saved definition; runtime/acceptance pending</x:v>
      </x:c>
    </x:row>
    <x:row r="262" ht="33" customHeight="1">
      <x:c r="A262" s="25" t="str">
        <x:v>Is Awaiting IPA Creation</x:v>
      </x:c>
      <x:c r="B262" s="25" t="str">
        <x:v>_Measures</x:v>
      </x:c>
      <x:c r="C262" s="25" t="str">
        <x:v>Display/filter helper</x:v>
      </x:c>
      <x:c r="D262" s="25" t="str">
        <x:v>KPI-81</x:v>
      </x:c>
      <x:c r="E262" s="25" t="str">
        <x:v>IPA Overview</x:v>
      </x:c>
      <x:c r="F262" s="25" t="str">
        <x:v>gold.fact_offer</x:v>
      </x:c>
      <x:c r="G262" s="25" t="str">
        <x:v>IF ( COALESCE ( SELECTEDVALUE ( 'fact_offer'[is_awaiting_ipa_creation] ), FALSE () ), 1, 0 )</x:v>
      </x:c>
      <x:c r="H262" s="25" t="str">
        <x:v>KPI_LATEST_CALCULATIONS.md#business-is-awaiting-ipa-creation</x:v>
      </x:c>
      <x:c r="I262" s="25" t="str">
        <x:v>Saved definition; runtime/acceptance pending</x:v>
      </x:c>
    </x:row>
    <x:row r="263" ht="137" customHeight="1">
      <x:c r="A263" s="25" t="str">
        <x:v>Is IPA Completed</x:v>
      </x:c>
      <x:c r="B263" s="25" t="str">
        <x:v>_Measures</x:v>
      </x:c>
      <x:c r="C263" s="25" t="str">
        <x:v>Display/filter helper</x:v>
      </x:c>
      <x:c r="D263" s="25" t="str">
        <x:v>KPI-82</x:v>
      </x:c>
      <x:c r="E263" s="25" t="str">
        <x:v>IPA Overview; Referral Detail (Drillthrough); Referral Explorer (Original)</x:v>
      </x:c>
      <x:c r="F263" s="25" t="str">
        <x:v>gold.fact_ipa; gold.fact_offer</x:v>
      </x:c>
      <x:c r="G263" s="25" t="str">
        <x:v>IF (
			    ISINSCOPE ( 'fact_offer'[offer_id] ) || ( HASONEVALUE ( 'fact_offer'[offer_id] ) &amp;&amp; NOT ISINSCOPE ( 'fact_ipa'[ipa_id] ) ),
			    VAR offer_ids = VALUES ( 'fact_offer'[offer_id] )
			    RETURN IF ( CALCULATE ( [IPAs Created], KEEPFILTERS ( TREATAS ( offer_ids, 'fact_ipa'[accepted_offer_id] ) ), 'fact_ipa'[is_ipa_completed] = TRUE () ) &gt; 0, 1, 0 ),
			    IF ( SELECTEDVALUE ( 'fact_ipa'[is_ipa_completed], FALSE () ), 1, 0 )
			)</x:v>
      </x:c>
      <x:c r="H263" s="25" t="str">
        <x:v>KPI_LATEST_CALCULATIONS.md#business-is-ipa-completed</x:v>
      </x:c>
      <x:c r="I263" s="25" t="str">
        <x:v>Saved definition; runtime/acceptance pending</x:v>
      </x:c>
    </x:row>
    <x:row r="264" ht="124" customHeight="1">
      <x:c r="A264" s="25" t="str">
        <x:v>Is IPA Pending</x:v>
      </x:c>
      <x:c r="B264" s="25" t="str">
        <x:v>_Measures</x:v>
      </x:c>
      <x:c r="C264" s="25" t="str">
        <x:v>Display/filter helper</x:v>
      </x:c>
      <x:c r="D264" s="25" t="str">
        <x:v>KPI-80</x:v>
      </x:c>
      <x:c r="E264" s="25" t="str">
        <x:v>IPA Overview; Referral Detail (Drillthrough); Referral Explorer (Original)</x:v>
      </x:c>
      <x:c r="F264" s="25" t="str">
        <x:v>gold.fact_ipa; gold.fact_offer</x:v>
      </x:c>
      <x:c r="G264" s="25" t="str">
        <x:v>IF (
			    ISINSCOPE ( 'fact_offer'[offer_id] ) || ( HASONEVALUE ( 'fact_offer'[offer_id] ) &amp;&amp; NOT ISINSCOPE ( 'fact_ipa'[ipa_id] ) ),
			    VAR offer_ids = VALUES ( 'fact_offer'[offer_id] )
			    RETURN IF ( CALCULATE ( [IPAs Created], KEEPFILTERS ( TREATAS ( offer_ids, 'fact_ipa'[accepted_offer_id] ) ), 'fact_ipa'[is_ipa_pending] = TRUE () ) &gt; 0, 1, 0 ),
			    IF ( SELECTEDVALUE ( 'fact_ipa'[is_ipa_pending], FALSE () ), 1, 0 )
			)</x:v>
      </x:c>
      <x:c r="H264" s="25" t="str">
        <x:v>KPI_LATEST_CALCULATIONS.md#business-is-ipa-pending</x:v>
      </x:c>
      <x:c r="I264" s="25" t="str">
        <x:v>Saved definition; runtime/acceptance pending</x:v>
      </x:c>
    </x:row>
    <x:row r="265" ht="85" customHeight="1">
      <x:c r="A265" s="25" t="str">
        <x:v>Is In Accepted KPI</x:v>
      </x:c>
      <x:c r="B265" s="25" t="str">
        <x:v>_Measures</x:v>
      </x:c>
      <x:c r="C265" s="25" t="str">
        <x:v>Display/filter helper</x:v>
      </x:c>
      <x:c r="D265" s="25" t="str">
        <x:v>KPI-74</x:v>
      </x:c>
      <x:c r="E265" s="25" t="str">
        <x:v>No direct saved visual binding</x:v>
      </x:c>
      <x:c r="F265" s="25" t="str">
        <x:v>gold.fact_offer</x:v>
      </x:c>
      <x:c r="G265" s="25" t="str">
        <x:v>IF (
			    LOWER ( COALESCE ( SELECTEDVALUE ( 'fact_offer'[offer_status] ), "" ) ) IN { "accepted", "approved", "selected", "offer_successful" },
			    "Yes",
			    "No"
			)</x:v>
      </x:c>
      <x:c r="H265" s="25" t="str">
        <x:v>KPI_LATEST_CALCULATIONS.md#business-is-in-accepted-kpi</x:v>
      </x:c>
      <x:c r="I265" s="25" t="str">
        <x:v>Saved definition; runtime/acceptance pending</x:v>
      </x:c>
    </x:row>
    <x:row r="266" ht="24" customHeight="1">
      <x:c r="A266" s="25" t="str">
        <x:v>Is Non Framework Provider</x:v>
      </x:c>
      <x:c r="B266" s="25" t="str">
        <x:v>_Measures</x:v>
      </x:c>
      <x:c r="C266" s="25" t="str">
        <x:v>Display/filter helper</x:v>
      </x:c>
      <x:c r="D266" s="25" t="str">
        <x:v>KPI-47</x:v>
      </x:c>
      <x:c r="E266" s="25" t="str">
        <x:v>No direct saved visual binding</x:v>
      </x:c>
      <x:c r="F266" s="25" t="str">
        <x:v>gold.bridge_provider_framework</x:v>
      </x:c>
      <x:c r="G266" s="25" t="str">
        <x:v>IF ( CALCULATE ( COUNTROWS ( 'bridge_provider_framework' ) ) = 0, 1, 0 )</x:v>
      </x:c>
      <x:c r="H266" s="25" t="str">
        <x:v>KPI_LATEST_CALCULATIONS.md#business-is-non-framework-provider</x:v>
      </x:c>
      <x:c r="I266" s="25" t="str">
        <x:v>Saved definition; runtime/acceptance pending</x:v>
      </x:c>
    </x:row>
    <x:row r="267" ht="72" customHeight="1">
      <x:c r="A267" s="25" t="str">
        <x:v>Journey current position</x:v>
      </x:c>
      <x:c r="B267" s="25" t="str">
        <x:v>_Journey Measures</x:v>
      </x:c>
      <x:c r="C267" s="25" t="str">
        <x:v>Display/filter helper</x:v>
      </x:c>
      <x:c r="D267" s="25" t="str">
        <x:v>Helper/context; not registered as an additional KPI</x:v>
      </x:c>
      <x:c r="E267" s="25" t="str">
        <x:v>Referral Detail (Drillthrough)</x:v>
      </x:c>
      <x:c r="F267" s="25" t="str">
        <x:v>gold.fact_referral</x:v>
      </x:c>
      <x:c r="G267" s="25" t="str">
        <x:v>IF(NOT HASONEVALUE('fact_referral'[referral_id]), "Select one referral to see its journey",
			"Current position: " &amp; SELECTEDVALUE('fact_referral'[Journey stage]) &amp;
			IF(SELECTEDVALUE('fact_referral'[is_open_overdue]) == TRUE(), " | Overdue", ""))</x:v>
      </x:c>
      <x:c r="H267" s="25" t="str">
        <x:v>KPI_LATEST_CALCULATIONS.md#business-journey-current-position</x:v>
      </x:c>
      <x:c r="I267" s="25" t="str">
        <x:v>Saved definition; runtime/acceptance pending</x:v>
      </x:c>
    </x:row>
    <x:row r="268" ht="33" customHeight="1">
      <x:c r="A268" s="25" t="str">
        <x:v>Journey detail colour 1</x:v>
      </x:c>
      <x:c r="B268" s="25" t="str">
        <x:v>_Journey Measures</x:v>
      </x:c>
      <x:c r="C268" s="25" t="str">
        <x:v>Display/filter helper</x:v>
      </x:c>
      <x:c r="D268" s="25" t="str">
        <x:v>Helper/context; not registered as an additional KPI</x:v>
      </x:c>
      <x:c r="E268" s="25" t="str">
        <x:v>Referral Detail (Drillthrough)</x:v>
      </x:c>
      <x:c r="F268" s="25" t="str">
        <x:v>gold.fact_referral</x:v>
      </x:c>
      <x:c r="G268" s="25" t="str">
        <x:v>IF([Journey selected stage] = 1, "#FCA356", IF([Journey detail evidence 1] = 1, "#E4F1E9", "#F0EBE7"))</x:v>
      </x:c>
      <x:c r="H268" s="25" t="str">
        <x:v>KPI_LATEST_CALCULATIONS.md#business-journey-detail-colour-1</x:v>
      </x:c>
      <x:c r="I268" s="25" t="str">
        <x:v>Saved definition; runtime/acceptance pending</x:v>
      </x:c>
    </x:row>
    <x:row r="269" ht="33" customHeight="1">
      <x:c r="A269" s="25" t="str">
        <x:v>Journey detail colour 2</x:v>
      </x:c>
      <x:c r="B269" s="25" t="str">
        <x:v>_Journey Measures</x:v>
      </x:c>
      <x:c r="C269" s="25" t="str">
        <x:v>Display/filter helper</x:v>
      </x:c>
      <x:c r="D269" s="25" t="str">
        <x:v>Helper/context; not registered as an additional KPI</x:v>
      </x:c>
      <x:c r="E269" s="25" t="str">
        <x:v>Referral Detail (Drillthrough)</x:v>
      </x:c>
      <x:c r="F269" s="25" t="str">
        <x:v>gold.fact_referral; gold.fact_referral_provider</x:v>
      </x:c>
      <x:c r="G269" s="25" t="str">
        <x:v>IF([Journey selected stage] = 2, "#FCA356", IF([Journey detail evidence 2] = 1, "#E4F1E9", "#F0EBE7"))</x:v>
      </x:c>
      <x:c r="H269" s="25" t="str">
        <x:v>KPI_LATEST_CALCULATIONS.md#business-journey-detail-colour-2</x:v>
      </x:c>
      <x:c r="I269" s="25" t="str">
        <x:v>Saved definition; runtime/acceptance pending</x:v>
      </x:c>
    </x:row>
    <x:row r="270" ht="33" customHeight="1">
      <x:c r="A270" s="25" t="str">
        <x:v>Journey detail colour 3</x:v>
      </x:c>
      <x:c r="B270" s="25" t="str">
        <x:v>_Journey Measures</x:v>
      </x:c>
      <x:c r="C270" s="25" t="str">
        <x:v>Display/filter helper</x:v>
      </x:c>
      <x:c r="D270" s="25" t="str">
        <x:v>Helper/context; not registered as an additional KPI</x:v>
      </x:c>
      <x:c r="E270" s="25" t="str">
        <x:v>Referral Detail (Drillthrough)</x:v>
      </x:c>
      <x:c r="F270" s="25" t="str">
        <x:v>gold.fact_offer; gold.fact_referral</x:v>
      </x:c>
      <x:c r="G270" s="25" t="str">
        <x:v>IF([Journey selected stage] = 3, "#FCA356", IF([Journey detail evidence 3] = 1, "#E4F1E9", "#F0EBE7"))</x:v>
      </x:c>
      <x:c r="H270" s="25" t="str">
        <x:v>KPI_LATEST_CALCULATIONS.md#business-journey-detail-colour-3</x:v>
      </x:c>
      <x:c r="I270" s="25" t="str">
        <x:v>Saved definition; runtime/acceptance pending</x:v>
      </x:c>
    </x:row>
    <x:row r="271" ht="33" customHeight="1">
      <x:c r="A271" s="25" t="str">
        <x:v>Journey detail colour 4</x:v>
      </x:c>
      <x:c r="B271" s="25" t="str">
        <x:v>_Journey Measures</x:v>
      </x:c>
      <x:c r="C271" s="25" t="str">
        <x:v>Display/filter helper</x:v>
      </x:c>
      <x:c r="D271" s="25" t="str">
        <x:v>Helper/context; not registered as an additional KPI</x:v>
      </x:c>
      <x:c r="E271" s="25" t="str">
        <x:v>Referral Detail (Drillthrough)</x:v>
      </x:c>
      <x:c r="F271" s="25" t="str">
        <x:v>gold.fact_offer; gold.fact_referral</x:v>
      </x:c>
      <x:c r="G271" s="25" t="str">
        <x:v>IF([Journey selected stage] = 4, "#FCA356", IF([Journey detail evidence 4] = 1, "#E4F1E9", "#F0EBE7"))</x:v>
      </x:c>
      <x:c r="H271" s="25" t="str">
        <x:v>KPI_LATEST_CALCULATIONS.md#business-journey-detail-colour-4</x:v>
      </x:c>
      <x:c r="I271" s="25" t="str">
        <x:v>Saved definition; runtime/acceptance pending</x:v>
      </x:c>
    </x:row>
    <x:row r="272" ht="33" customHeight="1">
      <x:c r="A272" s="25" t="str">
        <x:v>Journey detail colour 5</x:v>
      </x:c>
      <x:c r="B272" s="25" t="str">
        <x:v>_Journey Measures</x:v>
      </x:c>
      <x:c r="C272" s="25" t="str">
        <x:v>Display/filter helper</x:v>
      </x:c>
      <x:c r="D272" s="25" t="str">
        <x:v>Helper/context; not registered as an additional KPI</x:v>
      </x:c>
      <x:c r="E272" s="25" t="str">
        <x:v>Referral Detail (Drillthrough)</x:v>
      </x:c>
      <x:c r="F272" s="25" t="str">
        <x:v>gold.fact_ipa; gold.fact_referral</x:v>
      </x:c>
      <x:c r="G272" s="25" t="str">
        <x:v>IF([Journey selected stage] = 5, "#FCA356", IF([Journey detail evidence 5] = 1, "#E4F1E9", "#F0EBE7"))</x:v>
      </x:c>
      <x:c r="H272" s="25" t="str">
        <x:v>KPI_LATEST_CALCULATIONS.md#business-journey-detail-colour-5</x:v>
      </x:c>
      <x:c r="I272" s="25" t="str">
        <x:v>Saved definition; runtime/acceptance pending</x:v>
      </x:c>
    </x:row>
    <x:row r="273" ht="33" customHeight="1">
      <x:c r="A273" s="25" t="str">
        <x:v>Journey detail colour 6</x:v>
      </x:c>
      <x:c r="B273" s="25" t="str">
        <x:v>_Journey Measures</x:v>
      </x:c>
      <x:c r="C273" s="25" t="str">
        <x:v>Display/filter helper</x:v>
      </x:c>
      <x:c r="D273" s="25" t="str">
        <x:v>Helper/context; not registered as an additional KPI</x:v>
      </x:c>
      <x:c r="E273" s="25" t="str">
        <x:v>Referral Detail (Drillthrough)</x:v>
      </x:c>
      <x:c r="F273" s="25" t="str">
        <x:v>gold.fact_ipa; gold.fact_referral</x:v>
      </x:c>
      <x:c r="G273" s="25" t="str">
        <x:v>IF([Journey selected stage] = 6, "#FCA356", IF([Journey detail evidence 6] = 1, "#E4F1E9", "#F0EBE7"))</x:v>
      </x:c>
      <x:c r="H273" s="25" t="str">
        <x:v>KPI_LATEST_CALCULATIONS.md#business-journey-detail-colour-6</x:v>
      </x:c>
      <x:c r="I273" s="25" t="str">
        <x:v>Saved definition; runtime/acceptance pending</x:v>
      </x:c>
    </x:row>
    <x:row r="274" ht="33" customHeight="1">
      <x:c r="A274" s="25" t="str">
        <x:v>Journey detail evidence 1</x:v>
      </x:c>
      <x:c r="B274" s="25" t="str">
        <x:v>_Journey Measures</x:v>
      </x:c>
      <x:c r="C274" s="25" t="str">
        <x:v>Display/filter helper</x:v>
      </x:c>
      <x:c r="D274" s="25" t="str">
        <x:v>Helper/context; not registered as an additional KPI</x:v>
      </x:c>
      <x:c r="E274" s="25" t="str">
        <x:v>No direct saved visual binding</x:v>
      </x:c>
      <x:c r="F274" s="25" t="str">
        <x:v>gold.fact_referral</x:v>
      </x:c>
      <x:c r="G274" s="25" t="str">
        <x:v>IF(HASONEVALUE('fact_referral'[referral_id]), IF(NOT ISBLANK(SELECTEDVALUE('fact_referral'[referral_created_date])), 1, 0))</x:v>
      </x:c>
      <x:c r="H274" s="25" t="str">
        <x:v>KPI_LATEST_CALCULATIONS.md#business-journey-detail-evidence-1</x:v>
      </x:c>
      <x:c r="I274" s="25" t="str">
        <x:v>Saved definition; runtime/acceptance pending</x:v>
      </x:c>
    </x:row>
    <x:row r="275" ht="33" customHeight="1">
      <x:c r="A275" s="25" t="str">
        <x:v>Journey detail evidence 2</x:v>
      </x:c>
      <x:c r="B275" s="25" t="str">
        <x:v>_Journey Measures</x:v>
      </x:c>
      <x:c r="C275" s="25" t="str">
        <x:v>Display/filter helper</x:v>
      </x:c>
      <x:c r="D275" s="25" t="str">
        <x:v>Helper/context; not registered as an additional KPI</x:v>
      </x:c>
      <x:c r="E275" s="25" t="str">
        <x:v>No direct saved visual binding</x:v>
      </x:c>
      <x:c r="F275" s="25" t="str">
        <x:v>gold.fact_referral; gold.fact_referral_provider</x:v>
      </x:c>
      <x:c r="G275" s="25" t="str">
        <x:v>IF(HASONEVALUE('fact_referral'[referral_id]), IF(COUNTROWS('fact_referral_provider') &gt; 0, 1, 0))</x:v>
      </x:c>
      <x:c r="H275" s="25" t="str">
        <x:v>KPI_LATEST_CALCULATIONS.md#business-journey-detail-evidence-2</x:v>
      </x:c>
      <x:c r="I275" s="25" t="str">
        <x:v>Saved definition; runtime/acceptance pending</x:v>
      </x:c>
    </x:row>
    <x:row r="276" ht="85" customHeight="1">
      <x:c r="A276" s="25" t="str">
        <x:v>Journey detail evidence 3</x:v>
      </x:c>
      <x:c r="B276" s="25" t="str">
        <x:v>_Journey Measures</x:v>
      </x:c>
      <x:c r="C276" s="25" t="str">
        <x:v>Display/filter helper</x:v>
      </x:c>
      <x:c r="D276" s="25" t="str">
        <x:v>Helper/context; not registered as an additional KPI</x:v>
      </x:c>
      <x:c r="E276" s="25" t="str">
        <x:v>No direct saved visual binding</x:v>
      </x:c>
      <x:c r="F276" s="25" t="str">
        <x:v>gold.fact_offer; gold.fact_referral</x:v>
      </x:c>
      <x:c r="G276" s="25" t="str">
        <x:v>IF(HASONEVALUE('fact_referral'[referral_id]), IF(COUNTROWS(FILTER('fact_offer', LOWER(TRIM('fact_offer'[offer_status])) IN {"accepted", "approved", "selected", "offer_successful", "pending", "submitted", "offered", "offer_made", "offer_pending", "under_review", "under review", "awaiting", "awaiting_decision", "awaiting decision", "declined", "rejected", "withdrawn", "closed", "cancelled", "canceled", "offer_unsuccessful", "unsuccessful"})) &gt; 0, 1, 0))</x:v>
      </x:c>
      <x:c r="H276" s="25" t="str">
        <x:v>KPI_LATEST_CALCULATIONS.md#business-journey-detail-evidence-3</x:v>
      </x:c>
      <x:c r="I276" s="25" t="str">
        <x:v>Saved definition; runtime/acceptance pending</x:v>
      </x:c>
    </x:row>
    <x:row r="277" ht="46" customHeight="1">
      <x:c r="A277" s="25" t="str">
        <x:v>Journey detail evidence 4</x:v>
      </x:c>
      <x:c r="B277" s="25" t="str">
        <x:v>_Journey Measures</x:v>
      </x:c>
      <x:c r="C277" s="25" t="str">
        <x:v>Display/filter helper</x:v>
      </x:c>
      <x:c r="D277" s="25" t="str">
        <x:v>Helper/context; not registered as an additional KPI</x:v>
      </x:c>
      <x:c r="E277" s="25" t="str">
        <x:v>No direct saved visual binding</x:v>
      </x:c>
      <x:c r="F277" s="25" t="str">
        <x:v>gold.fact_offer; gold.fact_referral</x:v>
      </x:c>
      <x:c r="G277" s="25" t="str">
        <x:v>IF(HASONEVALUE('fact_referral'[referral_id]), IF(COUNTROWS(FILTER('fact_offer', LOWER(TRIM('fact_offer'[offer_status])) IN {"accepted", "approved", "selected", "offer_successful"})) &gt; 0, 1, 0))</x:v>
      </x:c>
      <x:c r="H277" s="25" t="str">
        <x:v>KPI_LATEST_CALCULATIONS.md#business-journey-detail-evidence-4</x:v>
      </x:c>
      <x:c r="I277" s="25" t="str">
        <x:v>Saved definition; runtime/acceptance pending</x:v>
      </x:c>
    </x:row>
    <x:row r="278" ht="33" customHeight="1">
      <x:c r="A278" s="25" t="str">
        <x:v>Journey detail evidence 5</x:v>
      </x:c>
      <x:c r="B278" s="25" t="str">
        <x:v>_Journey Measures</x:v>
      </x:c>
      <x:c r="C278" s="25" t="str">
        <x:v>Display/filter helper</x:v>
      </x:c>
      <x:c r="D278" s="25" t="str">
        <x:v>Helper/context; not registered as an additional KPI</x:v>
      </x:c>
      <x:c r="E278" s="25" t="str">
        <x:v>No direct saved visual binding</x:v>
      </x:c>
      <x:c r="F278" s="25" t="str">
        <x:v>gold.fact_ipa; gold.fact_referral</x:v>
      </x:c>
      <x:c r="G278" s="25" t="str">
        <x:v>IF(HASONEVALUE('fact_referral'[referral_id]), IF(COUNTROWS('fact_ipa') &gt; 0, 1, 0))</x:v>
      </x:c>
      <x:c r="H278" s="25" t="str">
        <x:v>KPI_LATEST_CALCULATIONS.md#business-journey-detail-evidence-5</x:v>
      </x:c>
      <x:c r="I278" s="25" t="str">
        <x:v>Saved definition; runtime/acceptance pending</x:v>
      </x:c>
    </x:row>
    <x:row r="279" ht="46" customHeight="1">
      <x:c r="A279" s="25" t="str">
        <x:v>Journey detail evidence 6</x:v>
      </x:c>
      <x:c r="B279" s="25" t="str">
        <x:v>_Journey Measures</x:v>
      </x:c>
      <x:c r="C279" s="25" t="str">
        <x:v>Display/filter helper</x:v>
      </x:c>
      <x:c r="D279" s="25" t="str">
        <x:v>Helper/context; not registered as an additional KPI</x:v>
      </x:c>
      <x:c r="E279" s="25" t="str">
        <x:v>No direct saved visual binding</x:v>
      </x:c>
      <x:c r="F279" s="25" t="str">
        <x:v>gold.fact_ipa; gold.fact_referral</x:v>
      </x:c>
      <x:c r="G279" s="25" t="str">
        <x:v>IF(HASONEVALUE('fact_referral'[referral_id]), IF(COUNTROWS(FILTER('fact_ipa', 'fact_ipa'[signed_by_provider] == TRUE() &amp;&amp; 'fact_ipa'[signed_by_local_authority] == TRUE())) &gt; 0, 1, 0))</x:v>
      </x:c>
      <x:c r="H279" s="25" t="str">
        <x:v>KPI_LATEST_CALCULATIONS.md#business-journey-detail-evidence-6</x:v>
      </x:c>
      <x:c r="I279" s="25" t="str">
        <x:v>Saved definition; runtime/acceptance pending</x:v>
      </x:c>
    </x:row>
    <x:row r="280" ht="111" customHeight="1">
      <x:c r="A280" s="25" t="str">
        <x:v>Journey detail label 1</x:v>
      </x:c>
      <x:c r="B280" s="25" t="str">
        <x:v>_Journey Measures</x:v>
      </x:c>
      <x:c r="C280" s="25" t="str">
        <x:v>Display/filter helper</x:v>
      </x:c>
      <x:c r="D280" s="25" t="str">
        <x:v>Helper/context; not registered as an additional KPI</x:v>
      </x:c>
      <x:c r="E280" s="25" t="str">
        <x:v>Referral Detail (Drillthrough)</x:v>
      </x:c>
      <x:c r="F280" s="25" t="str">
        <x:v>gold.fact_referral</x:v>
      </x:c>
      <x:c r="G280" s="25" t="str">
        <x:v>VAR stage = [Journey selected stage]
			VAR evidence = [Journey detail evidence 1]
			VAR stamp = SELECTEDVALUE('fact_referral'[referral_created_date])
			RETURN IF(ISBLANK(stage), "Select one referral",
			IF(evidence = 1,
			IF(stage = 1, "Current", "Recorded") &amp; " | " &amp; IF(ISBLANK(stamp), "Date unknown", FORMAT(stamp, "dd MMM yyyy")),
			"Not evidenced"))</x:v>
      </x:c>
      <x:c r="H280" s="25" t="str">
        <x:v>KPI_LATEST_CALCULATIONS.md#business-journey-detail-label-1</x:v>
      </x:c>
      <x:c r="I280" s="25" t="str">
        <x:v>Saved definition; runtime/acceptance pending</x:v>
      </x:c>
    </x:row>
    <x:row r="281" ht="111" customHeight="1">
      <x:c r="A281" s="25" t="str">
        <x:v>Journey detail label 2</x:v>
      </x:c>
      <x:c r="B281" s="25" t="str">
        <x:v>_Journey Measures</x:v>
      </x:c>
      <x:c r="C281" s="25" t="str">
        <x:v>Display/filter helper</x:v>
      </x:c>
      <x:c r="D281" s="25" t="str">
        <x:v>Helper/context; not registered as an additional KPI</x:v>
      </x:c>
      <x:c r="E281" s="25" t="str">
        <x:v>Referral Detail (Drillthrough)</x:v>
      </x:c>
      <x:c r="F281" s="25" t="str">
        <x:v>gold.fact_referral; gold.fact_referral_provider</x:v>
      </x:c>
      <x:c r="G281" s="25" t="str">
        <x:v>VAR stage = [Journey selected stage]
			VAR evidence = [Journey detail evidence 2]
			VAR stamp = BLANK()
			RETURN IF(ISBLANK(stage), "Select one referral",
			IF(evidence = 1,
			IF(stage = 2, "Current", "Recorded") &amp; " | " &amp; IF(ISBLANK(stamp), "Date unknown", FORMAT(stamp, "dd MMM yyyy")),
			"Not evidenced"))</x:v>
      </x:c>
      <x:c r="H281" s="25" t="str">
        <x:v>KPI_LATEST_CALCULATIONS.md#business-journey-detail-label-2</x:v>
      </x:c>
      <x:c r="I281" s="25" t="str">
        <x:v>Saved definition; runtime/acceptance pending</x:v>
      </x:c>
    </x:row>
    <x:row r="282" ht="176" customHeight="1">
      <x:c r="A282" s="25" t="str">
        <x:v>Journey detail label 3</x:v>
      </x:c>
      <x:c r="B282" s="25" t="str">
        <x:v>_Journey Measures</x:v>
      </x:c>
      <x:c r="C282" s="25" t="str">
        <x:v>Display/filter helper</x:v>
      </x:c>
      <x:c r="D282" s="25" t="str">
        <x:v>Helper/context; not registered as an additional KPI</x:v>
      </x:c>
      <x:c r="E282" s="25" t="str">
        <x:v>Referral Detail (Drillthrough)</x:v>
      </x:c>
      <x:c r="F282" s="25" t="str">
        <x:v>gold.fact_offer; gold.fact_referral</x:v>
      </x:c>
      <x:c r="G282" s="25" t="str">
        <x:v>VAR stage = [Journey selected stage]
			VAR evidence = [Journey detail evidence 3]
			VAR stamp = MINX(FILTER('fact_offer', LOWER(TRIM('fact_offer'[offer_status])) IN {"accepted", "approved", "selected", "offer_successful", "pending", "submitted", "offered", "offer_made", "offer_pending", "under_review", "under review", "awaiting", "awaiting_decision", "awaiting decision", "declined", "rejected", "withdrawn", "closed", "cancelled", "canceled", "offer_unsuccessful", "unsuccessful"}), 'fact_offer'[offer_submitted_date])
			RETURN IF(ISBLANK(stage), "Select one referral",
			IF(evidence = 1,
			IF(stage = 3, "Current", "Recorded") &amp; " | " &amp; IF(ISBLANK(stamp), "Date unknown", FORMAT(stamp, "dd MMM yyyy")),
			"Not evidenced"))</x:v>
      </x:c>
      <x:c r="H282" s="25" t="str">
        <x:v>KPI_LATEST_CALCULATIONS.md#business-journey-detail-label-3</x:v>
      </x:c>
      <x:c r="I282" s="25" t="str">
        <x:v>Saved definition; runtime/acceptance pending</x:v>
      </x:c>
    </x:row>
    <x:row r="283" ht="111" customHeight="1">
      <x:c r="A283" s="25" t="str">
        <x:v>Journey detail label 4</x:v>
      </x:c>
      <x:c r="B283" s="25" t="str">
        <x:v>_Journey Measures</x:v>
      </x:c>
      <x:c r="C283" s="25" t="str">
        <x:v>Display/filter helper</x:v>
      </x:c>
      <x:c r="D283" s="25" t="str">
        <x:v>Helper/context; not registered as an additional KPI</x:v>
      </x:c>
      <x:c r="E283" s="25" t="str">
        <x:v>Referral Detail (Drillthrough)</x:v>
      </x:c>
      <x:c r="F283" s="25" t="str">
        <x:v>gold.fact_offer; gold.fact_referral</x:v>
      </x:c>
      <x:c r="G283" s="25" t="str">
        <x:v>VAR stage = [Journey selected stage]
			VAR evidence = [Journey detail evidence 4]
			VAR stamp = SELECTEDVALUE('fact_referral'[offer_accepted_date])
			RETURN IF(ISBLANK(stage), "Select one referral",
			IF(evidence = 1,
			IF(stage = 4, "Current", "Recorded") &amp; " | " &amp; IF(ISBLANK(stamp), "Date unknown", FORMAT(stamp, "dd MMM yyyy") &amp; " (proxy)"),
			"Not evidenced"))</x:v>
      </x:c>
      <x:c r="H283" s="25" t="str">
        <x:v>KPI_LATEST_CALCULATIONS.md#business-journey-detail-label-4</x:v>
      </x:c>
      <x:c r="I283" s="25" t="str">
        <x:v>Saved definition; runtime/acceptance pending</x:v>
      </x:c>
    </x:row>
    <x:row r="284" ht="111" customHeight="1">
      <x:c r="A284" s="25" t="str">
        <x:v>Journey detail label 5</x:v>
      </x:c>
      <x:c r="B284" s="25" t="str">
        <x:v>_Journey Measures</x:v>
      </x:c>
      <x:c r="C284" s="25" t="str">
        <x:v>Display/filter helper</x:v>
      </x:c>
      <x:c r="D284" s="25" t="str">
        <x:v>Helper/context; not registered as an additional KPI</x:v>
      </x:c>
      <x:c r="E284" s="25" t="str">
        <x:v>Referral Detail (Drillthrough)</x:v>
      </x:c>
      <x:c r="F284" s="25" t="str">
        <x:v>gold.fact_ipa; gold.fact_referral</x:v>
      </x:c>
      <x:c r="G284" s="25" t="str">
        <x:v>VAR stage = [Journey selected stage]
			VAR evidence = [Journey detail evidence 5]
			VAR stamp = MIN('fact_ipa'[ipa_issued_date])
			RETURN IF(ISBLANK(stage), "Select one referral",
			IF(evidence = 1,
			IF(stage = 5, "Current", "Recorded") &amp; " | " &amp; IF(ISBLANK(stamp), "Date unknown", FORMAT(stamp, "dd MMM yyyy")),
			"Not evidenced"))</x:v>
      </x:c>
      <x:c r="H284" s="25" t="str">
        <x:v>KPI_LATEST_CALCULATIONS.md#business-journey-detail-label-5</x:v>
      </x:c>
      <x:c r="I284" s="25" t="str">
        <x:v>Saved definition; runtime/acceptance pending</x:v>
      </x:c>
    </x:row>
    <x:row r="285" ht="111" customHeight="1">
      <x:c r="A285" s="25" t="str">
        <x:v>Journey detail label 6</x:v>
      </x:c>
      <x:c r="B285" s="25" t="str">
        <x:v>_Journey Measures</x:v>
      </x:c>
      <x:c r="C285" s="25" t="str">
        <x:v>Display/filter helper</x:v>
      </x:c>
      <x:c r="D285" s="25" t="str">
        <x:v>Helper/context; not registered as an additional KPI</x:v>
      </x:c>
      <x:c r="E285" s="25" t="str">
        <x:v>Referral Detail (Drillthrough)</x:v>
      </x:c>
      <x:c r="F285" s="25" t="str">
        <x:v>gold.fact_ipa; gold.fact_referral</x:v>
      </x:c>
      <x:c r="G285" s="25" t="str">
        <x:v>VAR stage = [Journey selected stage]
			VAR evidence = [Journey detail evidence 6]
			VAR stamp = BLANK()
			RETURN IF(ISBLANK(stage), "Select one referral",
			IF(evidence = 1,
			IF(stage = 6, "Current", "Recorded") &amp; " | " &amp; IF(ISBLANK(stamp), "Date unknown", FORMAT(stamp, "dd MMM yyyy")),
			"Not evidenced"))</x:v>
      </x:c>
      <x:c r="H285" s="25" t="str">
        <x:v>KPI_LATEST_CALCULATIONS.md#business-journey-detail-label-6</x:v>
      </x:c>
      <x:c r="I285" s="25" t="str">
        <x:v>Saved definition; runtime/acceptance pending</x:v>
      </x:c>
    </x:row>
    <x:row r="286" ht="202" customHeight="1">
      <x:c r="A286" s="25" t="str">
        <x:v>Journey next action</x:v>
      </x:c>
      <x:c r="B286" s="25" t="str">
        <x:v>_Journey Measures</x:v>
      </x:c>
      <x:c r="C286" s="25" t="str">
        <x:v>Display/filter helper</x:v>
      </x:c>
      <x:c r="D286" s="25" t="str">
        <x:v>Helper/context; not registered as an additional KPI</x:v>
      </x:c>
      <x:c r="E286" s="25" t="str">
        <x:v>No direct saved visual binding</x:v>
      </x:c>
      <x:c r="F286" s="25" t="str">
        <x:v>gold.fact_referral</x:v>
      </x:c>
      <x:c r="G286" s="25" t="str">
        <x:v>SWITCH([Journey selected stage],
			1,"Next: assign providers and begin the search.",
			2,"Next: seek suitable offers; declined or withdrawn offers remain in the activity history.",
			3,"Next: review the available offers and record the decision.",
			4,"Next: prepare the IPA for the selected offer.",
			5,"Next: complete provider and local-authority signatures on the same IPA.",
			6,"Next: confirm admission separately. A planned admission date is not proof of placement start.",
			7,"Referral closed: retain its recorded reason and milestone evidence; closure does not prove placement.",
			8,"Review missing or unrecognised status evidence before assigning a stage.",
			"The pathway requires a single referral selection.")</x:v>
      </x:c>
      <x:c r="H286" s="25" t="str">
        <x:v>KPI_LATEST_CALCULATIONS.md#business-journey-next-action</x:v>
      </x:c>
      <x:c r="I286" s="25" t="str">
        <x:v>Saved definition; runtime/acceptance pending</x:v>
      </x:c>
    </x:row>
    <x:row r="287" ht="46" customHeight="1">
      <x:c r="A287" s="25" t="str">
        <x:v>Journey provider coverage</x:v>
      </x:c>
      <x:c r="B287" s="25" t="str">
        <x:v>_Journey Measures</x:v>
      </x:c>
      <x:c r="C287" s="25" t="str">
        <x:v>Display/filter helper</x:v>
      </x:c>
      <x:c r="D287" s="25" t="str">
        <x:v>Helper/context; not registered as an additional KPI</x:v>
      </x:c>
      <x:c r="E287" s="25" t="str">
        <x:v>Provider Explorer</x:v>
      </x:c>
      <x:c r="F287" s="25" t="str">
        <x:v>gold.dim_provider; gold.dim_provider_home; gold.dim_referral_provider_message; gold.fact_ipa; gold.fact_offer; gold.fact_referral_provider</x:v>
      </x:c>
      <x:c r="G287" s="25" t="str">
        <x:v>"Assigned / draft / unclear: " &amp; FORMAT([Journey providers 0], "#,0") &amp; "     |     Both parties signed (subset): " &amp; FORMAT([Journey providers both signed], "#,0")</x:v>
      </x:c>
      <x:c r="H287" s="25" t="str">
        <x:v>KPI_LATEST_CALCULATIONS.md#business-journey-provider-coverage</x:v>
      </x:c>
      <x:c r="I287" s="25" t="str">
        <x:v>Saved definition; runtime/acceptance pending</x:v>
      </x:c>
    </x:row>
    <x:row r="288" ht="46" customHeight="1">
      <x:c r="A288" s="25" t="str">
        <x:v>Journey provider label</x:v>
      </x:c>
      <x:c r="B288" s="25" t="str">
        <x:v>_Journey Measures</x:v>
      </x:c>
      <x:c r="C288" s="25" t="str">
        <x:v>Display/filter helper</x:v>
      </x:c>
      <x:c r="D288" s="25" t="str">
        <x:v>Helper/context; not registered as an additional KPI</x:v>
      </x:c>
      <x:c r="E288" s="25" t="str">
        <x:v>No direct saved visual binding</x:v>
      </x:c>
      <x:c r="F288" s="25" t="str">
        <x:v>gold.dim_provider; gold.dim_provider_home; gold.dim_referral_provider_message; gold.fact_ipa; gold.fact_offer; gold.fact_referral_provider</x:v>
      </x:c>
      <x:c r="G288" s="25" t="str">
        <x:v>VAR stage = [Journey provider stage] RETURN IF(ISBLANK(stage), BLANK(), SWITCH(stage, 0,"Assigned / draft / unclear",1,"Message activity only",2,"Offers made",3,"Offer accepted",5,"Provider signed",BLANK()))</x:v>
      </x:c>
      <x:c r="H288" s="25" t="str">
        <x:v>KPI_LATEST_CALCULATIONS.md#business-journey-provider-label</x:v>
      </x:c>
      <x:c r="I288" s="25" t="str">
        <x:v>Saved definition; runtime/acceptance pending</x:v>
      </x:c>
    </x:row>
    <x:row r="289" ht="202" customHeight="1">
      <x:c r="A289" s="25" t="str">
        <x:v>Journey provider stage</x:v>
      </x:c>
      <x:c r="B289" s="25" t="str">
        <x:v>_Journey Measures</x:v>
      </x:c>
      <x:c r="C289" s="25" t="str">
        <x:v>Display/filter helper</x:v>
      </x:c>
      <x:c r="D289" s="25" t="str">
        <x:v>Helper/context; not registered as an additional KPI</x:v>
      </x:c>
      <x:c r="E289" s="25" t="str">
        <x:v>No direct saved visual binding</x:v>
      </x:c>
      <x:c r="F289" s="25" t="str">
        <x:v>gold.dim_provider; gold.dim_provider_home; gold.dim_referral_provider_message; gold.fact_ipa; gold.fact_offer; gold.fact_referral_provider</x:v>
      </x:c>
      <x:c r="G289" s="25" t="str">
        <x:v>VAR homeScope = ISFILTERED('dim_provider_home')
			VAR matchingHomes = CALCULATE(COUNTROWS('dim_provider_home'), KEEPFILTERS(TREATAS(VALUES('dim_provider'[provider_id]), 'dim_provider_home'[provider_id])))
			VAR assignments = COUNTROWS('fact_referral_provider')
			VAR messages = COUNTROWS('dim_referral_provider_message')
			VAR offers = FILTER('fact_offer', NOT ISBLANK('fact_offer'[provider_id]))
			VAR offerIDs = SELECTCOLUMNS(offers, "OfferKey", 'fact_offer'[offer_id])
			VAR ipas = CALCULATETABLE('fact_ipa', KEEPFILTERS(TREATAS(offerIDs, 'fact_ipa'[accepted_offer_id])))
			VAR signed = COUNTROWS(FILTER(ipas, 'fact_ipa'[signed_by_provider] == TRUE())) &gt; 0
			VAR accepted = COUNTROWS(FILTER(offers, LOWER(TRIM
[EXCERPT; complete logic in KPI_LATEST_CALCULATIONS.md]</x:v>
      </x:c>
      <x:c r="H289" s="25" t="str">
        <x:v>KPI_LATEST_CALCULATIONS.md#business-journey-provider-stage</x:v>
      </x:c>
      <x:c r="I289" s="25" t="str">
        <x:v>Saved definition; runtime/acceptance pending</x:v>
      </x:c>
    </x:row>
    <x:row r="290" ht="46" customHeight="1">
      <x:c r="A290" s="25" t="str">
        <x:v>Journey providers 0</x:v>
      </x:c>
      <x:c r="B290" s="25" t="str">
        <x:v>_Journey Measures</x:v>
      </x:c>
      <x:c r="C290" s="25" t="str">
        <x:v>Business metric</x:v>
      </x:c>
      <x:c r="D290" s="25" t="str">
        <x:v>GOLD-KPI-131</x:v>
      </x:c>
      <x:c r="E290" s="25" t="str">
        <x:v>No direct saved visual binding</x:v>
      </x:c>
      <x:c r="F290" s="25" t="str">
        <x:v>gold.dim_provider; gold.dim_provider_home; gold.dim_referral_provider_message; gold.fact_ipa; gold.fact_offer; gold.fact_referral_provider</x:v>
      </x:c>
      <x:c r="G290" s="25" t="str">
        <x:v>COALESCE(COUNTROWS(FILTER(VALUES('dim_provider'[provider_id]), NOT ISBLANK('dim_provider'[provider_id]) &amp;&amp; CALCULATE([Provider matches offer status]) = 1 &amp;&amp; CALCULATE([Journey provider stage]) == 0)), 0)</x:v>
      </x:c>
      <x:c r="H290" s="25" t="str">
        <x:v>KPI_LATEST_CALCULATIONS.md#business-journey-providers-0</x:v>
      </x:c>
      <x:c r="I290" s="25" t="str">
        <x:v>Saved definition; runtime/acceptance pending</x:v>
      </x:c>
    </x:row>
    <x:row r="291" ht="46" customHeight="1">
      <x:c r="A291" s="25" t="str">
        <x:v>Journey providers 1</x:v>
      </x:c>
      <x:c r="B291" s="25" t="str">
        <x:v>_Journey Measures</x:v>
      </x:c>
      <x:c r="C291" s="25" t="str">
        <x:v>Business metric</x:v>
      </x:c>
      <x:c r="D291" s="25" t="str">
        <x:v>GOLD-KPI-132</x:v>
      </x:c>
      <x:c r="E291" s="25" t="str">
        <x:v>Provider Explorer</x:v>
      </x:c>
      <x:c r="F291" s="25" t="str">
        <x:v>gold.dim_provider; gold.dim_provider_home; gold.dim_referral_provider_message; gold.fact_ipa; gold.fact_offer; gold.fact_referral_provider</x:v>
      </x:c>
      <x:c r="G291" s="25" t="str">
        <x:v>COALESCE(COUNTROWS(FILTER(VALUES('dim_provider'[provider_id]), NOT ISBLANK('dim_provider'[provider_id]) &amp;&amp; CALCULATE([Provider matches offer status]) = 1 &amp;&amp; CALCULATE([Journey provider stage]) == 1)), 0)</x:v>
      </x:c>
      <x:c r="H291" s="25" t="str">
        <x:v>KPI_LATEST_CALCULATIONS.md#business-journey-providers-1</x:v>
      </x:c>
      <x:c r="I291" s="25" t="str">
        <x:v>Saved definition; runtime/acceptance pending</x:v>
      </x:c>
    </x:row>
    <x:row r="292" ht="46" customHeight="1">
      <x:c r="A292" s="25" t="str">
        <x:v>Journey providers 2</x:v>
      </x:c>
      <x:c r="B292" s="25" t="str">
        <x:v>_Journey Measures</x:v>
      </x:c>
      <x:c r="C292" s="25" t="str">
        <x:v>Business metric</x:v>
      </x:c>
      <x:c r="D292" s="25" t="str">
        <x:v>GOLD-KPI-133</x:v>
      </x:c>
      <x:c r="E292" s="25" t="str">
        <x:v>Provider Explorer</x:v>
      </x:c>
      <x:c r="F292" s="25" t="str">
        <x:v>gold.dim_provider; gold.dim_provider_home; gold.dim_referral_provider_message; gold.fact_ipa; gold.fact_offer; gold.fact_referral_provider</x:v>
      </x:c>
      <x:c r="G292" s="25" t="str">
        <x:v>COALESCE(COUNTROWS(FILTER(VALUES('dim_provider'[provider_id]), NOT ISBLANK('dim_provider'[provider_id]) &amp;&amp; CALCULATE([Provider matches offer status]) = 1 &amp;&amp; CALCULATE([Journey provider stage]) == 2)), 0)</x:v>
      </x:c>
      <x:c r="H292" s="25" t="str">
        <x:v>KPI_LATEST_CALCULATIONS.md#business-journey-providers-2</x:v>
      </x:c>
      <x:c r="I292" s="25" t="str">
        <x:v>Saved definition; runtime/acceptance pending</x:v>
      </x:c>
    </x:row>
    <x:row r="293" ht="46" customHeight="1">
      <x:c r="A293" s="25" t="str">
        <x:v>Journey providers 3</x:v>
      </x:c>
      <x:c r="B293" s="25" t="str">
        <x:v>_Journey Measures</x:v>
      </x:c>
      <x:c r="C293" s="25" t="str">
        <x:v>Business metric</x:v>
      </x:c>
      <x:c r="D293" s="25" t="str">
        <x:v>GOLD-KPI-134</x:v>
      </x:c>
      <x:c r="E293" s="25" t="str">
        <x:v>Provider Explorer</x:v>
      </x:c>
      <x:c r="F293" s="25" t="str">
        <x:v>gold.dim_provider; gold.dim_provider_home; gold.dim_referral_provider_message; gold.fact_ipa; gold.fact_offer; gold.fact_referral_provider</x:v>
      </x:c>
      <x:c r="G293" s="25" t="str">
        <x:v>COALESCE(COUNTROWS(FILTER(VALUES('dim_provider'[provider_id]), NOT ISBLANK('dim_provider'[provider_id]) &amp;&amp; CALCULATE([Provider matches offer status]) = 1 &amp;&amp; CALCULATE([Journey provider stage]) == 3)), 0)</x:v>
      </x:c>
      <x:c r="H293" s="25" t="str">
        <x:v>KPI_LATEST_CALCULATIONS.md#business-journey-providers-3</x:v>
      </x:c>
      <x:c r="I293" s="25" t="str">
        <x:v>Saved definition; runtime/acceptance pending</x:v>
      </x:c>
    </x:row>
    <x:row r="294" ht="33" customHeight="1">
      <x:c r="A294" s="25" t="str">
        <x:v>Journey providers 4</x:v>
      </x:c>
      <x:c r="B294" s="25" t="str">
        <x:v>_Journey Measures</x:v>
      </x:c>
      <x:c r="C294" s="25" t="str">
        <x:v>Display/filter helper</x:v>
      </x:c>
      <x:c r="D294" s="25" t="str">
        <x:v>Helper/context; not registered as an additional KPI</x:v>
      </x:c>
      <x:c r="E294" s="25" t="str">
        <x:v>Provider Explorer</x:v>
      </x:c>
      <x:c r="F294" s="25" t="str"/>
      <x:c r="G294" s="25" t="str">
        <x:v>"Not captured"</x:v>
      </x:c>
      <x:c r="H294" s="25" t="str">
        <x:v>KPI_LATEST_CALCULATIONS.md#business-journey-providers-4</x:v>
      </x:c>
      <x:c r="I294" s="25" t="str">
        <x:v>Saved definition; runtime/acceptance pending</x:v>
      </x:c>
    </x:row>
    <x:row r="295" ht="46" customHeight="1">
      <x:c r="A295" s="25" t="str">
        <x:v>Journey providers 5</x:v>
      </x:c>
      <x:c r="B295" s="25" t="str">
        <x:v>_Journey Measures</x:v>
      </x:c>
      <x:c r="C295" s="25" t="str">
        <x:v>Business metric</x:v>
      </x:c>
      <x:c r="D295" s="25" t="str">
        <x:v>GOLD-KPI-135</x:v>
      </x:c>
      <x:c r="E295" s="25" t="str">
        <x:v>Provider Explorer</x:v>
      </x:c>
      <x:c r="F295" s="25" t="str">
        <x:v>gold.dim_provider; gold.dim_provider_home; gold.dim_referral_provider_message; gold.fact_ipa; gold.fact_offer; gold.fact_referral_provider</x:v>
      </x:c>
      <x:c r="G295" s="25" t="str">
        <x:v>COALESCE(COUNTROWS(FILTER(VALUES('dim_provider'[provider_id]), NOT ISBLANK('dim_provider'[provider_id]) &amp;&amp; CALCULATE([Provider matches offer status]) = 1 &amp;&amp; CALCULATE([Journey provider stage]) == 5)), 0)</x:v>
      </x:c>
      <x:c r="H295" s="25" t="str">
        <x:v>KPI_LATEST_CALCULATIONS.md#business-journey-providers-5</x:v>
      </x:c>
      <x:c r="I295" s="25" t="str">
        <x:v>Saved definition; runtime/acceptance pending</x:v>
      </x:c>
    </x:row>
    <x:row r="296" ht="111" customHeight="1">
      <x:c r="A296" s="25" t="str">
        <x:v>Journey providers both signed</x:v>
      </x:c>
      <x:c r="B296" s="25" t="str">
        <x:v>_Journey Measures</x:v>
      </x:c>
      <x:c r="C296" s="25" t="str">
        <x:v>Display/filter helper</x:v>
      </x:c>
      <x:c r="D296" s="25" t="str">
        <x:v>GOLD-KPI-136</x:v>
      </x:c>
      <x:c r="E296" s="25" t="str">
        <x:v>No direct saved visual binding</x:v>
      </x:c>
      <x:c r="F296" s="25" t="str">
        <x:v>gold.dim_provider; gold.dim_provider_home; gold.fact_ipa; gold.fact_offer</x:v>
      </x:c>
      <x:c r="G296" s="25" t="str">
        <x:v>COALESCE(COUNTROWS(FILTER(VALUES('dim_provider'[provider_id]),
			VAR offerIDs = CALCULATETABLE(VALUES('fact_offer'[offer_id]))
			VAR signedIPAs = CALCULATETABLE('fact_ipa', KEEPFILTERS(TREATAS(offerIDs, 'fact_ipa'[accepted_offer_id])))
			RETURN NOT ISBLANK('dim_provider'[provider_id]) &amp;&amp; CALCULATE([Provider matches offer status]) = 1 &amp;&amp; COUNTROWS(FILTER(signedIPAs, 'fact_ipa'[signed_by_provider] == TRUE() &amp;&amp; 'fact_ipa'[signed_by_local_authority] == TRUE())) &gt; 0)),0)</x:v>
      </x:c>
      <x:c r="H296" s="25" t="str">
        <x:v>KPI_LATEST_CALCULATIONS.md#business-journey-providers-both-signed</x:v>
      </x:c>
      <x:c r="I296" s="25" t="str">
        <x:v>Saved definition; runtime/acceptance pending</x:v>
      </x:c>
    </x:row>
    <x:row r="297" ht="46" customHeight="1">
      <x:c r="A297" s="25" t="str">
        <x:v>Journey referral exceptions</x:v>
      </x:c>
      <x:c r="B297" s="25" t="str">
        <x:v>_Journey Measures</x:v>
      </x:c>
      <x:c r="C297" s="25" t="str">
        <x:v>Display/filter helper</x:v>
      </x:c>
      <x:c r="D297" s="25" t="str">
        <x:v>Helper/context; not registered as an additional KPI</x:v>
      </x:c>
      <x:c r="E297" s="25" t="str">
        <x:v>No direct saved visual binding</x:v>
      </x:c>
      <x:c r="F297" s="25" t="str">
        <x:v>gold.bridge_referral_framework_category; gold.dim_framework_category; gold.fact_offer; gold.fact_referral</x:v>
      </x:c>
      <x:c r="G297" s="25" t="str">
        <x:v>"Closed / cancelled / withdrawn: " &amp; FORMAT([Journey referrals 7], "#,0") &amp; "     |     Needs review: " &amp; FORMAT([Journey referrals 8], "#,0") &amp; "     |     Matching referrals: " &amp; FORMAT(COALESCE([Matching referrals],0), "#,0")</x:v>
      </x:c>
      <x:c r="H297" s="25" t="str">
        <x:v>KPI_LATEST_CALCULATIONS.md#business-journey-referral-exceptions</x:v>
      </x:c>
      <x:c r="I297" s="25" t="str">
        <x:v>Saved definition; runtime/acceptance pending</x:v>
      </x:c>
    </x:row>
    <x:row r="298" ht="46" customHeight="1">
      <x:c r="A298" s="25" t="str">
        <x:v>Journey referral reconciliation</x:v>
      </x:c>
      <x:c r="B298" s="25" t="str">
        <x:v>_Journey Measures</x:v>
      </x:c>
      <x:c r="C298" s="25" t="str">
        <x:v>Business metric</x:v>
      </x:c>
      <x:c r="D298" s="25" t="str">
        <x:v>GOLD-KPI-225</x:v>
      </x:c>
      <x:c r="E298" s="25" t="str">
        <x:v>No direct saved visual binding</x:v>
      </x:c>
      <x:c r="F298" s="25" t="str">
        <x:v>gold.bridge_referral_framework_category; gold.dim_framework_category; gold.fact_offer; gold.fact_referral</x:v>
      </x:c>
      <x:c r="G298" s="25" t="str">
        <x:v>[Matching referrals] - ([Journey referrals 1] + [Journey referrals 2] + [Journey referrals 3] + [Journey referrals 4] + [Journey referrals 5] + [Journey referrals 6] + [Journey referrals 7] + [Journey referrals 8])</x:v>
      </x:c>
      <x:c r="H298" s="25" t="str">
        <x:v>KPI_LATEST_CALCULATIONS.md#business-journey-referral-reconciliation</x:v>
      </x:c>
      <x:c r="I298" s="25" t="str">
        <x:v>Saved definition; runtime/acceptance pending</x:v>
      </x:c>
    </x:row>
    <x:row r="299" ht="46" customHeight="1">
      <x:c r="A299" s="25" t="str">
        <x:v>Journey referrals 1</x:v>
      </x:c>
      <x:c r="B299" s="25" t="str">
        <x:v>_Journey Measures</x:v>
      </x:c>
      <x:c r="C299" s="25" t="str">
        <x:v>Business metric</x:v>
      </x:c>
      <x:c r="D299" s="25" t="str">
        <x:v>GOLD-KPI-123</x:v>
      </x:c>
      <x:c r="E299" s="25" t="str">
        <x:v>No direct saved visual binding</x:v>
      </x:c>
      <x:c r="F299" s="25" t="str">
        <x:v>gold.bridge_referral_framework_category; gold.dim_framework_category; gold.fact_offer; gold.fact_referral</x:v>
      </x:c>
      <x:c r="G299" s="25" t="str">
        <x:v>COALESCE(CALCULATE([Matching referrals], KEEPFILTERS('fact_referral'[Journey stage order] = 1)), 0)</x:v>
      </x:c>
      <x:c r="H299" s="25" t="str">
        <x:v>KPI_LATEST_CALCULATIONS.md#business-journey-referrals-1</x:v>
      </x:c>
      <x:c r="I299" s="25" t="str">
        <x:v>Saved definition; runtime/acceptance pending</x:v>
      </x:c>
    </x:row>
    <x:row r="300" ht="46" customHeight="1">
      <x:c r="A300" s="25" t="str">
        <x:v>Journey referrals 2</x:v>
      </x:c>
      <x:c r="B300" s="25" t="str">
        <x:v>_Journey Measures</x:v>
      </x:c>
      <x:c r="C300" s="25" t="str">
        <x:v>Business metric</x:v>
      </x:c>
      <x:c r="D300" s="25" t="str">
        <x:v>GOLD-KPI-124</x:v>
      </x:c>
      <x:c r="E300" s="25" t="str">
        <x:v>No direct saved visual binding</x:v>
      </x:c>
      <x:c r="F300" s="25" t="str">
        <x:v>gold.bridge_referral_framework_category; gold.dim_framework_category; gold.fact_offer; gold.fact_referral</x:v>
      </x:c>
      <x:c r="G300" s="25" t="str">
        <x:v>COALESCE(CALCULATE([Matching referrals], KEEPFILTERS('fact_referral'[Journey stage order] = 2)), 0)</x:v>
      </x:c>
      <x:c r="H300" s="25" t="str">
        <x:v>KPI_LATEST_CALCULATIONS.md#business-journey-referrals-2</x:v>
      </x:c>
      <x:c r="I300" s="25" t="str">
        <x:v>Saved definition; runtime/acceptance pending</x:v>
      </x:c>
    </x:row>
    <x:row r="301" ht="46" customHeight="1">
      <x:c r="A301" s="25" t="str">
        <x:v>Journey referrals 3</x:v>
      </x:c>
      <x:c r="B301" s="25" t="str">
        <x:v>_Journey Measures</x:v>
      </x:c>
      <x:c r="C301" s="25" t="str">
        <x:v>Business metric</x:v>
      </x:c>
      <x:c r="D301" s="25" t="str">
        <x:v>GOLD-KPI-125</x:v>
      </x:c>
      <x:c r="E301" s="25" t="str">
        <x:v>No direct saved visual binding</x:v>
      </x:c>
      <x:c r="F301" s="25" t="str">
        <x:v>gold.bridge_referral_framework_category; gold.dim_framework_category; gold.fact_offer; gold.fact_referral</x:v>
      </x:c>
      <x:c r="G301" s="25" t="str">
        <x:v>COALESCE(CALCULATE([Matching referrals], KEEPFILTERS('fact_referral'[Journey stage order] = 3)), 0)</x:v>
      </x:c>
      <x:c r="H301" s="25" t="str">
        <x:v>KPI_LATEST_CALCULATIONS.md#business-journey-referrals-3</x:v>
      </x:c>
      <x:c r="I301" s="25" t="str">
        <x:v>Saved definition; runtime/acceptance pending</x:v>
      </x:c>
    </x:row>
    <x:row r="302" ht="46" customHeight="1">
      <x:c r="A302" s="25" t="str">
        <x:v>Journey referrals 4</x:v>
      </x:c>
      <x:c r="B302" s="25" t="str">
        <x:v>_Journey Measures</x:v>
      </x:c>
      <x:c r="C302" s="25" t="str">
        <x:v>Business metric</x:v>
      </x:c>
      <x:c r="D302" s="25" t="str">
        <x:v>GOLD-KPI-126</x:v>
      </x:c>
      <x:c r="E302" s="25" t="str">
        <x:v>No direct saved visual binding</x:v>
      </x:c>
      <x:c r="F302" s="25" t="str">
        <x:v>gold.bridge_referral_framework_category; gold.dim_framework_category; gold.fact_offer; gold.fact_referral</x:v>
      </x:c>
      <x:c r="G302" s="25" t="str">
        <x:v>COALESCE(CALCULATE([Matching referrals], KEEPFILTERS('fact_referral'[Journey stage order] = 4)), 0)</x:v>
      </x:c>
      <x:c r="H302" s="25" t="str">
        <x:v>KPI_LATEST_CALCULATIONS.md#business-journey-referrals-4</x:v>
      </x:c>
      <x:c r="I302" s="25" t="str">
        <x:v>Saved definition; runtime/acceptance pending</x:v>
      </x:c>
    </x:row>
    <x:row r="303" ht="46" customHeight="1">
      <x:c r="A303" s="25" t="str">
        <x:v>Journey referrals 5</x:v>
      </x:c>
      <x:c r="B303" s="25" t="str">
        <x:v>_Journey Measures</x:v>
      </x:c>
      <x:c r="C303" s="25" t="str">
        <x:v>Business metric</x:v>
      </x:c>
      <x:c r="D303" s="25" t="str">
        <x:v>GOLD-KPI-127</x:v>
      </x:c>
      <x:c r="E303" s="25" t="str">
        <x:v>No direct saved visual binding</x:v>
      </x:c>
      <x:c r="F303" s="25" t="str">
        <x:v>gold.bridge_referral_framework_category; gold.dim_framework_category; gold.fact_offer; gold.fact_referral</x:v>
      </x:c>
      <x:c r="G303" s="25" t="str">
        <x:v>COALESCE(CALCULATE([Matching referrals], KEEPFILTERS('fact_referral'[Journey stage order] = 5)), 0)</x:v>
      </x:c>
      <x:c r="H303" s="25" t="str">
        <x:v>KPI_LATEST_CALCULATIONS.md#business-journey-referrals-5</x:v>
      </x:c>
      <x:c r="I303" s="25" t="str">
        <x:v>Saved definition; runtime/acceptance pending</x:v>
      </x:c>
    </x:row>
    <x:row r="304" ht="46" customHeight="1">
      <x:c r="A304" s="25" t="str">
        <x:v>Journey referrals 6</x:v>
      </x:c>
      <x:c r="B304" s="25" t="str">
        <x:v>_Journey Measures</x:v>
      </x:c>
      <x:c r="C304" s="25" t="str">
        <x:v>Business metric</x:v>
      </x:c>
      <x:c r="D304" s="25" t="str">
        <x:v>GOLD-KPI-128</x:v>
      </x:c>
      <x:c r="E304" s="25" t="str">
        <x:v>No direct saved visual binding</x:v>
      </x:c>
      <x:c r="F304" s="25" t="str">
        <x:v>gold.bridge_referral_framework_category; gold.dim_framework_category; gold.fact_offer; gold.fact_referral</x:v>
      </x:c>
      <x:c r="G304" s="25" t="str">
        <x:v>COALESCE(CALCULATE([Matching referrals], KEEPFILTERS('fact_referral'[Journey stage order] = 6)), 0)</x:v>
      </x:c>
      <x:c r="H304" s="25" t="str">
        <x:v>KPI_LATEST_CALCULATIONS.md#business-journey-referrals-6</x:v>
      </x:c>
      <x:c r="I304" s="25" t="str">
        <x:v>Saved definition; runtime/acceptance pending</x:v>
      </x:c>
    </x:row>
    <x:row r="305" ht="46" customHeight="1">
      <x:c r="A305" s="25" t="str">
        <x:v>Journey referrals 7</x:v>
      </x:c>
      <x:c r="B305" s="25" t="str">
        <x:v>_Journey Measures</x:v>
      </x:c>
      <x:c r="C305" s="25" t="str">
        <x:v>Business metric</x:v>
      </x:c>
      <x:c r="D305" s="25" t="str">
        <x:v>GOLD-KPI-129</x:v>
      </x:c>
      <x:c r="E305" s="25" t="str">
        <x:v>No direct saved visual binding</x:v>
      </x:c>
      <x:c r="F305" s="25" t="str">
        <x:v>gold.bridge_referral_framework_category; gold.dim_framework_category; gold.fact_offer; gold.fact_referral</x:v>
      </x:c>
      <x:c r="G305" s="25" t="str">
        <x:v>COALESCE(CALCULATE([Matching referrals], KEEPFILTERS('fact_referral'[Journey stage order] = 7)), 0)</x:v>
      </x:c>
      <x:c r="H305" s="25" t="str">
        <x:v>KPI_LATEST_CALCULATIONS.md#business-journey-referrals-7</x:v>
      </x:c>
      <x:c r="I305" s="25" t="str">
        <x:v>Saved definition; runtime/acceptance pending</x:v>
      </x:c>
    </x:row>
    <x:row r="306" ht="46" customHeight="1">
      <x:c r="A306" s="25" t="str">
        <x:v>Journey referrals 8</x:v>
      </x:c>
      <x:c r="B306" s="25" t="str">
        <x:v>_Journey Measures</x:v>
      </x:c>
      <x:c r="C306" s="25" t="str">
        <x:v>Business metric</x:v>
      </x:c>
      <x:c r="D306" s="25" t="str">
        <x:v>GOLD-KPI-130</x:v>
      </x:c>
      <x:c r="E306" s="25" t="str">
        <x:v>No direct saved visual binding</x:v>
      </x:c>
      <x:c r="F306" s="25" t="str">
        <x:v>gold.bridge_referral_framework_category; gold.dim_framework_category; gold.fact_offer; gold.fact_referral</x:v>
      </x:c>
      <x:c r="G306" s="25" t="str">
        <x:v>COALESCE(CALCULATE([Matching referrals], KEEPFILTERS('fact_referral'[Journey stage order] = 8)), 0)</x:v>
      </x:c>
      <x:c r="H306" s="25" t="str">
        <x:v>KPI_LATEST_CALCULATIONS.md#business-journey-referrals-8</x:v>
      </x:c>
      <x:c r="I306" s="25" t="str">
        <x:v>Saved definition; runtime/acceptance pending</x:v>
      </x:c>
    </x:row>
    <x:row r="307" ht="33" customHeight="1">
      <x:c r="A307" s="25" t="str">
        <x:v>Journey selected stage</x:v>
      </x:c>
      <x:c r="B307" s="25" t="str">
        <x:v>_Journey Measures</x:v>
      </x:c>
      <x:c r="C307" s="25" t="str">
        <x:v>Display/filter helper</x:v>
      </x:c>
      <x:c r="D307" s="25" t="str">
        <x:v>Helper/context; not registered as an additional KPI</x:v>
      </x:c>
      <x:c r="E307" s="25" t="str">
        <x:v>No direct saved visual binding</x:v>
      </x:c>
      <x:c r="F307" s="25" t="str">
        <x:v>gold.fact_referral</x:v>
      </x:c>
      <x:c r="G307" s="25" t="str">
        <x:v>IF(HASONEVALUE('fact_referral'[referral_id]), SELECTEDVALUE('fact_referral'[Journey stage order]))</x:v>
      </x:c>
      <x:c r="H307" s="25" t="str">
        <x:v>KPI_LATEST_CALCULATIONS.md#business-journey-selected-stage</x:v>
      </x:c>
      <x:c r="I307" s="25" t="str">
        <x:v>Saved definition; runtime/acceptance pending</x:v>
      </x:c>
    </x:row>
    <x:row r="308" ht="46" customHeight="1">
      <x:c r="A308" s="25" t="str">
        <x:v>KPI Tooltip Style 1</x:v>
      </x:c>
      <x:c r="B308" s="25" t="str">
        <x:v>_Measures</x:v>
      </x:c>
      <x:c r="C308" s="25" t="str">
        <x:v>Display/filter helper</x:v>
      </x:c>
      <x:c r="D308" s="25" t="str">
        <x:v>Helper/context; not registered as an additional KPI</x:v>
      </x:c>
      <x:c r="E308" s="25" t="str">
        <x:v>No direct saved visual binding</x:v>
      </x:c>
      <x:c r="F308" s="25" t="str"/>
      <x:c r="G308" s="25" t="str">
        <x:v>VAR SelectKPI = SELECTEDVALUE('KPI Selector'[KPI Selector Fields])
			 RETURN LOOKUPVALUE('ref_KPI'[ref FR IDs], 'ref_KPI'[KPI Description],SelectKPI)</x:v>
      </x:c>
      <x:c r="H308" s="25" t="str">
        <x:v>KPI_LATEST_CALCULATIONS.md#business-kpi-tooltip-style-1</x:v>
      </x:c>
      <x:c r="I308" s="25" t="str">
        <x:v>Saved definition; runtime/acceptance pending</x:v>
      </x:c>
    </x:row>
    <x:row r="309" ht="24" customHeight="1">
      <x:c r="A309" s="25" t="str">
        <x:v>KPIs catalogued</x:v>
      </x:c>
      <x:c r="B309" s="25" t="str">
        <x:v>_Report Journey Measures</x:v>
      </x:c>
      <x:c r="C309" s="25" t="str">
        <x:v>Business metric</x:v>
      </x:c>
      <x:c r="D309" s="25" t="str">
        <x:v>GOLD-KPI-226</x:v>
      </x:c>
      <x:c r="E309" s="25" t="str">
        <x:v>Requirement Matrix Overview</x:v>
      </x:c>
      <x:c r="F309" s="25" t="str"/>
      <x:c r="G309" s="25" t="str">
        <x:v>DISTINCTCOUNTNOBLANK('ref_KPI'[KPI ID])</x:v>
      </x:c>
      <x:c r="H309" s="25" t="str">
        <x:v>KPI_LATEST_CALCULATIONS.md#business-kpis-catalogued</x:v>
      </x:c>
      <x:c r="I309" s="25" t="str">
        <x:v>Saved definition; runtime/acceptance pending</x:v>
      </x:c>
    </x:row>
    <x:row r="310" ht="24" customHeight="1">
      <x:c r="A310" s="25" t="str">
        <x:v>Last Snapshot Date</x:v>
      </x:c>
      <x:c r="B310" s="25" t="str">
        <x:v>_Measures</x:v>
      </x:c>
      <x:c r="C310" s="25" t="str">
        <x:v>Business metric</x:v>
      </x:c>
      <x:c r="D310" s="25" t="str">
        <x:v>GOLD-KPI-227</x:v>
      </x:c>
      <x:c r="E310" s="25" t="str">
        <x:v>No direct saved visual binding</x:v>
      </x:c>
      <x:c r="F310" s="25" t="str">
        <x:v>gold.fact_referral_snapshot</x:v>
      </x:c>
      <x:c r="G310" s="25" t="str">
        <x:v>MAX ( 'fact_referral_snapshot'[snapshot_date] )</x:v>
      </x:c>
      <x:c r="H310" s="25" t="str">
        <x:v>KPI_LATEST_CALCULATIONS.md#business-last-snapshot-date</x:v>
      </x:c>
      <x:c r="I310" s="25" t="str">
        <x:v>Saved definition; runtime/acceptance pending</x:v>
      </x:c>
    </x:row>
    <x:row r="311" ht="24" customHeight="1">
      <x:c r="A311" s="25" t="str">
        <x:v>Latest Offer Source Export</x:v>
      </x:c>
      <x:c r="B311" s="25" t="str">
        <x:v>_Measures</x:v>
      </x:c>
      <x:c r="C311" s="25" t="str">
        <x:v>Business metric</x:v>
      </x:c>
      <x:c r="D311" s="25" t="str">
        <x:v>KPI-88</x:v>
      </x:c>
      <x:c r="E311" s="25" t="str">
        <x:v>No direct saved visual binding</x:v>
      </x:c>
      <x:c r="F311" s="25" t="str">
        <x:v>gold.fact_offer</x:v>
      </x:c>
      <x:c r="G311" s="25" t="str">
        <x:v>MAX ( 'fact_offer'[source_export_date] )</x:v>
      </x:c>
      <x:c r="H311" s="25" t="str">
        <x:v>KPI_LATEST_CALCULATIONS.md#business-latest-offer-source-export</x:v>
      </x:c>
      <x:c r="I311" s="25" t="str">
        <x:v>Saved definition; runtime/acceptance pending</x:v>
      </x:c>
    </x:row>
    <x:row r="312" ht="163" customHeight="1">
      <x:c r="A312" s="25" t="str">
        <x:v>Lifetime Placement Cost</x:v>
      </x:c>
      <x:c r="B312" s="25" t="str">
        <x:v>_Measures</x:v>
      </x:c>
      <x:c r="C312" s="25" t="str">
        <x:v>Business metric</x:v>
      </x:c>
      <x:c r="D312" s="25" t="str">
        <x:v>GOLD-KPI-228</x:v>
      </x:c>
      <x:c r="E312" s="25" t="str">
        <x:v>No direct saved visual binding</x:v>
      </x:c>
      <x:c r="F312" s="25" t="str">
        <x:v>gold.fact_ipa</x:v>
      </x:c>
      <x:c r="G312" s="25" t="str">
        <x:v>SUMX (
				'fact_ipa',
				VAR start_date =
					COALESCE (
						'fact_ipa'[planned_placement_start_date],
						'fact_ipa'[placement_admission_date]
					)
				VAR end_date = COALESCE ( 'fact_ipa'[placement_ended_date], TODAY () )
				RETURN
					DIVIDE ( DATEDIFF ( start_date, end_date, DAY ) + 1, 7 )
						* 'fact_ipa'[estimated_weekly_cost]
			)</x:v>
      </x:c>
      <x:c r="H312" s="25" t="str">
        <x:v>KPI_LATEST_CALCULATIONS.md#business-lifetime-placement-cost</x:v>
      </x:c>
      <x:c r="I312" s="25" t="str">
        <x:v>Saved definition; runtime/acceptance pending</x:v>
      </x:c>
    </x:row>
    <x:row r="313" ht="202" customHeight="1">
      <x:c r="A313" s="25" t="str">
        <x:v>Linked assignment count</x:v>
      </x:c>
      <x:c r="B313" s="25" t="str">
        <x:v>Linked Provider Referrals</x:v>
      </x:c>
      <x:c r="C313" s="25" t="str">
        <x:v>Business metric</x:v>
      </x:c>
      <x:c r="D313" s="25" t="str">
        <x:v>GOLD-KPI-229</x:v>
      </x:c>
      <x:c r="E313" s="25" t="str">
        <x:v>Provider Detail (Drillthrough); Provider Explorer</x:v>
      </x:c>
      <x:c r="F313" s="25" t="str">
        <x:v>gold.dim_person; gold.dim_provider; gold.dim_referral_provider_message; gold.fact_offer; gold.fact_referral; gold.fact_referral_provider</x:v>
      </x:c>
      <x:c r="G313" s="25" t="str">
        <x:v>VAR linkedPairs =
			    FILTER(
			        SUMMARIZE('Linked Provider Referrals',
			            'Linked Provider Referrals'[referral_id],
			            'Linked Provider Referrals'[provider_id]),
			        CALCULATE([Linked provider row visible]) = 1
			    )
			RETURN IF(COUNTROWS(linkedPairs) &gt; 0,
			    COALESCE(CALCULATE(
			        DISTINCTCOUNT('fact_referral_provider'[referral_provider_id]),
			        REMOVEFILTERS('dim_provider'),
			        KEEPFILTERS(TREATAS(linkedPairs,
			            'fact_referral_provider'[referral_id],
			            'fact_referral_provider'[provider_id]))
			    ), 0))</x:v>
      </x:c>
      <x:c r="H313" s="25" t="str">
        <x:v>KPI_LATEST_CALCULATIONS.md#business-linked-assignment-count</x:v>
      </x:c>
      <x:c r="I313" s="25" t="str">
        <x:v>Saved definition; runtime/acceptance pending</x:v>
      </x:c>
    </x:row>
    <x:row r="314" ht="384" customHeight="1">
      <x:c r="A314" s="25" t="str">
        <x:v>Linked debug</x:v>
      </x:c>
      <x:c r="B314" s="25" t="str">
        <x:v>Linked Provider Referrals</x:v>
      </x:c>
      <x:c r="C314" s="25" t="str">
        <x:v>Display/filter helper</x:v>
      </x:c>
      <x:c r="D314" s="25" t="str">
        <x:v>Helper/context; not registered as an additional KPI</x:v>
      </x:c>
      <x:c r="E314" s="25" t="str">
        <x:v>No direct saved visual binding</x:v>
      </x:c>
      <x:c r="F314" s="25" t="str">
        <x:v>gold.dim_person; gold.dim_provider; gold.fact_offer; gold.fact_referral; gold.fact_referral_provider</x:v>
      </x:c>
      <x:c r="G314" s="25" t="str">
        <x:v>VAR searchDetected =
			    ISFILTERED ( 'dim_provider'[provider_name] )
			        || ISFILTERED ( 'dim_provider'[provider_id] )
			VAR searchedProviders =
			    VALUES ( 'dim_provider'[provider_id] )
			VAR searchedReferrals =
			    FILTER (
			        DISTINCT (
			            UNION (
			                VALUES ( 'fact_referral_provider'[referral_id] ),
			                VALUES ( 'fact_offer'[referral_id] )
			            )
			        ),
			        NOT ISBLANK ( [referral_id] )
			    )
			VAR candidatePairs =
			    CALCULATETABLE (
			        'Linked Provider Referrals',
			        REMOVEFILTERS ( 'dim_provider' )
			    )
			VAR otherPairs =
			    FILTER (
			        candidatePairs,
[EXCERPT; complete logic in KPI_LATEST_CALCULATIONS.md]</x:v>
      </x:c>
      <x:c r="H314" s="25" t="str">
        <x:v>KPI_LATEST_CALCULATIONS.md#business-linked-debug</x:v>
      </x:c>
      <x:c r="I314" s="25" t="str">
        <x:v>Saved definition; runtime/acceptance pending</x:v>
      </x:c>
    </x:row>
    <x:row r="315" ht="254" customHeight="1">
      <x:c r="A315" s="25" t="str">
        <x:v>Linked latest message</x:v>
      </x:c>
      <x:c r="B315" s="25" t="str">
        <x:v>Linked Provider Referrals</x:v>
      </x:c>
      <x:c r="C315" s="25" t="str">
        <x:v>Display/filter helper</x:v>
      </x:c>
      <x:c r="D315" s="25" t="str">
        <x:v>Helper/context; not registered as an additional KPI</x:v>
      </x:c>
      <x:c r="E315" s="25" t="str">
        <x:v>Provider Detail (Drillthrough); Provider Explorer</x:v>
      </x:c>
      <x:c r="F315" s="25" t="str">
        <x:v>gold.dim_person; gold.dim_provider; gold.dim_referral_provider_message; gold.fact_offer; gold.fact_referral; gold.fact_referral_provider</x:v>
      </x:c>
      <x:c r="G315" s="25" t="str">
        <x:v>VAR isSinglePair =
			    HASONEVALUE('Linked Provider Referrals'[referral_id])
			    &amp;&amp; HASONEVALUE('Linked Provider Referrals'[provider_id])
			VAR linkedPairs =
			    FILTER(
			        SUMMARIZE('Linked Provider Referrals',
			            'Linked Provider Referrals'[referral_id],
			            'Linked Provider Referrals'[provider_id]),
			        CALCULATE([Linked provider row visible]) = 1
			    )
			VAR assignmentIds =
			    CALCULATETABLE(
			        VALUES('fact_referral_provider'[referral_provider_id]),
			        REMOVEFILTERS('dim_provider'),
			        KEEPFILTERS(TREATAS(linkedPairs,
			            'fact_referral_provider'[referral_id],
			            'fact_referral_provider'[provider_id]))
[EXCERPT; complete logic in KPI_LATEST_CALCULATIONS.md]</x:v>
      </x:c>
      <x:c r="H315" s="25" t="str">
        <x:v>KPI_LATEST_CALCULATIONS.md#business-linked-latest-message</x:v>
      </x:c>
      <x:c r="I315" s="25" t="str">
        <x:v>Saved definition; runtime/acceptance pending</x:v>
      </x:c>
    </x:row>
    <x:row r="316" ht="267" customHeight="1">
      <x:c r="A316" s="25" t="str">
        <x:v>Linked message count</x:v>
      </x:c>
      <x:c r="B316" s="25" t="str">
        <x:v>Linked Provider Referrals</x:v>
      </x:c>
      <x:c r="C316" s="25" t="str">
        <x:v>Business metric</x:v>
      </x:c>
      <x:c r="D316" s="25" t="str">
        <x:v>GOLD-KPI-230</x:v>
      </x:c>
      <x:c r="E316" s="25" t="str">
        <x:v>Provider Detail (Drillthrough); Provider Explorer</x:v>
      </x:c>
      <x:c r="F316" s="25" t="str">
        <x:v>gold.dim_person; gold.dim_provider; gold.dim_referral_provider_message; gold.fact_offer; gold.fact_referral; gold.fact_referral_provider</x:v>
      </x:c>
      <x:c r="G316" s="25" t="str">
        <x:v>VAR linkedPairs =
			    FILTER(
			        SUMMARIZE('Linked Provider Referrals',
			            'Linked Provider Referrals'[referral_id],
			            'Linked Provider Referrals'[provider_id]),
			        CALCULATE([Linked provider row visible]) = 1
			    )
			VAR assignmentIds =
			    CALCULATETABLE(
			        VALUES('fact_referral_provider'[referral_provider_id]),
			        REMOVEFILTERS('dim_provider'),
			        KEEPFILTERS(TREATAS(linkedPairs,
			            'fact_referral_provider'[referral_id],
			            'fact_referral_provider'[provider_id]))
			    )
			RETURN IF(COUNTROWS(linkedPairs) &gt; 0,
			    COALESCE(CALCULATE(
			        DISTINCTCOUNT('dim_referral_provider_message'[message_id]),
[EXCERPT; complete logic in KPI_LATEST_CALCULATIONS.md]</x:v>
      </x:c>
      <x:c r="H316" s="25" t="str">
        <x:v>KPI_LATEST_CALCULATIONS.md#business-linked-message-count</x:v>
      </x:c>
      <x:c r="I316" s="25" t="str">
        <x:v>Saved definition; runtime/acceptance pending</x:v>
      </x:c>
    </x:row>
    <x:row r="317" ht="189" customHeight="1">
      <x:c r="A317" s="25" t="str">
        <x:v>Linked offer count</x:v>
      </x:c>
      <x:c r="B317" s="25" t="str">
        <x:v>_Journey Measures</x:v>
      </x:c>
      <x:c r="C317" s="25" t="str">
        <x:v>Business metric</x:v>
      </x:c>
      <x:c r="D317" s="25" t="str">
        <x:v>GOLD-KPI-231</x:v>
      </x:c>
      <x:c r="E317" s="25" t="str">
        <x:v>Provider Detail (Drillthrough); Provider Explorer</x:v>
      </x:c>
      <x:c r="F317" s="25" t="str">
        <x:v>gold.dim_person; gold.dim_provider; gold.dim_referral_provider_message; gold.fact_offer; gold.fact_referral; gold.fact_referral_provider</x:v>
      </x:c>
      <x:c r="G317" s="25" t="str">
        <x:v>VAR linkedPairs =
			    FILTER(
			        SUMMARIZE('Linked Provider Referrals',
			            'Linked Provider Referrals'[referral_id],
			            'Linked Provider Referrals'[provider_id]),
			        CALCULATE([Linked provider row visible]) = 1
			    )
			RETURN IF(COUNTROWS(linkedPairs) &gt; 0,
			    COALESCE(CALCULATE(
			        DISTINCTCOUNT('fact_offer'[offer_id]),
			        REMOVEFILTERS('dim_provider'),
			        KEEPFILTERS(TREATAS(linkedPairs,
			            'fact_offer'[referral_id], 'fact_offer'[provider_id]))
			    ), 0))</x:v>
      </x:c>
      <x:c r="H317" s="25" t="str">
        <x:v>KPI_LATEST_CALCULATIONS.md#business-linked-offer-count</x:v>
      </x:c>
      <x:c r="I317" s="25" t="str">
        <x:v>Saved definition; runtime/acceptance pending</x:v>
      </x:c>
    </x:row>
    <x:row r="318" ht="280" customHeight="1">
      <x:c r="A318" s="25" t="str">
        <x:v>Linked offer statuses</x:v>
      </x:c>
      <x:c r="B318" s="25" t="str">
        <x:v>Linked Provider Referrals</x:v>
      </x:c>
      <x:c r="C318" s="25" t="str">
        <x:v>Display/filter helper</x:v>
      </x:c>
      <x:c r="D318" s="25" t="str">
        <x:v>Helper/context; not registered as an additional KPI</x:v>
      </x:c>
      <x:c r="E318" s="25" t="str">
        <x:v>Provider Detail (Drillthrough); Provider Explorer</x:v>
      </x:c>
      <x:c r="F318" s="25" t="str">
        <x:v>gold.dim_person; gold.dim_provider; gold.dim_referral_provider_message; gold.fact_offer; gold.fact_referral; gold.fact_referral_provider</x:v>
      </x:c>
      <x:c r="G318" s="25" t="str">
        <x:v>VAR linkedPairs =
			    FILTER(
			        SUMMARIZE('Linked Provider Referrals',
			            'Linked Provider Referrals'[referral_id],
			            'Linked Provider Referrals'[provider_id]),
			        CALCULATE([Linked provider row visible]) = 1
			    )
			VAR statusValues =
			    CALCULATETABLE(
			        VALUES('fact_offer'[offer_status]),
			        REMOVEFILTERS('dim_provider'),
			        KEEPFILTERS(TREATAS(linkedPairs,
			            'fact_offer'[referral_id], 'fact_offer'[provider_id]))
			    )
			RETURN IF(COUNTROWS(linkedPairs) &gt; 0,
			    COALESCE(CONCATENATEX(
			        statusValues,
			        COALESCE('fact_offer'[offer_status], "(Unknown status)"),
			        ", ",
			        'fact_offer'[offer_status], ASC
			    ), "No offers in scope"))</x:v>
      </x:c>
      <x:c r="H318" s="25" t="str">
        <x:v>KPI_LATEST_CALCULATIONS.md#business-linked-offer-statuses</x:v>
      </x:c>
      <x:c r="I318" s="25" t="str">
        <x:v>Saved definition; runtime/acceptance pending</x:v>
      </x:c>
    </x:row>
    <x:row r="319" ht="254" customHeight="1">
      <x:c r="A319" s="25" t="str">
        <x:v>Linked provider row visible</x:v>
      </x:c>
      <x:c r="B319" s="25" t="str">
        <x:v>Linked Provider Referrals</x:v>
      </x:c>
      <x:c r="C319" s="25" t="str">
        <x:v>Display/filter helper</x:v>
      </x:c>
      <x:c r="D319" s="25" t="str">
        <x:v>Helper/context; not registered as an additional KPI</x:v>
      </x:c>
      <x:c r="E319" s="25" t="str">
        <x:v>Provider Detail (Drillthrough); Provider Explorer</x:v>
      </x:c>
      <x:c r="F319" s="25" t="str">
        <x:v>gold.dim_person; gold.dim_provider; gold.dim_referral_provider_message; gold.fact_offer; gold.fact_referral; gold.fact_referral_provider</x:v>
      </x:c>
      <x:c r="G319" s="25" t="str">
        <x:v>VAR hasProviderSearch =
			    ISFILTERED('dim_provider'[provider_name])
			    || ISFILTERED('dim_provider'[provider_id])
			VAR searchedProviderIds = VALUES('dim_provider'[provider_id])
			VAR cancelledReferralIds =
			    CALCULATETABLE(
			        SELECTCOLUMNS(FILTER('fact_referral',
			            UPPER(TRIM(COALESCE('fact_referral'[current_status], ""))) = "CANCELLED"),
			            "referral_id", 'fact_referral'[referral_id]),
			        REMOVEFILTERS('Linked Provider Referrals'),
			        REMOVEFILTERS('dim_provider'),
			        REMOVEFILTERS('fact_referral'[current_status])
			    )
			VAR cancelledResponsePairs =
			    CALCULATETABLE(
			        SUMMARIZE(FILTER('fact_referral_provider',
[EXCERPT; complete logic in KPI_LATEST_CALCULATIONS.md]</x:v>
      </x:c>
      <x:c r="H319" s="25" t="str">
        <x:v>KPI_LATEST_CALCULATIONS.md#business-linked-provider-row-visible</x:v>
      </x:c>
      <x:c r="I319" s="25" t="str">
        <x:v>Saved definition; runtime/acceptance pending</x:v>
      </x:c>
    </x:row>
    <x:row r="320" ht="124" customHeight="1">
      <x:c r="A320" s="25" t="str">
        <x:v>Linked providers in selection</x:v>
      </x:c>
      <x:c r="B320" s="25" t="str">
        <x:v>Linked Provider Referrals</x:v>
      </x:c>
      <x:c r="C320" s="25" t="str">
        <x:v>Business metric</x:v>
      </x:c>
      <x:c r="D320" s="25" t="str">
        <x:v>GOLD-KPI-232</x:v>
      </x:c>
      <x:c r="E320" s="25" t="str">
        <x:v>Provider Detail (Drillthrough); Provider Explorer</x:v>
      </x:c>
      <x:c r="F320" s="25" t="str">
        <x:v>gold.dim_person; gold.dim_provider; gold.dim_referral_provider_message; gold.fact_offer; gold.fact_referral; gold.fact_referral_provider</x:v>
      </x:c>
      <x:c r="G320" s="25" t="str">
        <x:v>VAR hasProviderSearch =
			    ISFILTERED('dim_provider'[provider_name])
			    || ISFILTERED('dim_provider'[provider_id])
			RETURN IF(hasProviderSearch,
			    COALESCE(COUNTROWS(FILTER(
			        VALUES('Linked Provider Referrals'[provider_id]),
			        NOT ISBLANK('Linked Provider Referrals'[provider_id])
			        &amp;&amp; CALCULATE([Linked provider row visible]) = 1
			    )), 0), 0)</x:v>
      </x:c>
      <x:c r="H320" s="25" t="str">
        <x:v>KPI_LATEST_CALCULATIONS.md#business-linked-providers-in-selection</x:v>
      </x:c>
      <x:c r="I320" s="25" t="str">
        <x:v>Saved definition; runtime/acceptance pending</x:v>
      </x:c>
    </x:row>
    <x:row r="321" ht="267" customHeight="1">
      <x:c r="A321" s="25" t="str">
        <x:v>Linked response statuses</x:v>
      </x:c>
      <x:c r="B321" s="25" t="str">
        <x:v>Linked Provider Referrals</x:v>
      </x:c>
      <x:c r="C321" s="25" t="str">
        <x:v>Display/filter helper</x:v>
      </x:c>
      <x:c r="D321" s="25" t="str">
        <x:v>Helper/context; not registered as an additional KPI</x:v>
      </x:c>
      <x:c r="E321" s="25" t="str">
        <x:v>Provider Detail (Drillthrough); Provider Explorer</x:v>
      </x:c>
      <x:c r="F321" s="25" t="str">
        <x:v>gold.dim_person; gold.dim_provider; gold.dim_referral_provider_message; gold.fact_offer; gold.fact_referral; gold.fact_referral_provider</x:v>
      </x:c>
      <x:c r="G321" s="25" t="str">
        <x:v>VAR linkedPairs =
			    FILTER(
			        SUMMARIZE('Linked Provider Referrals',
			            'Linked Provider Referrals'[referral_id],
			            'Linked Provider Referrals'[provider_id]),
			        CALCULATE([Linked provider row visible]) = 1
			    )
			VAR responseValues =
			    CALCULATETABLE(
			        VALUES('fact_referral_provider'[provider_response_status]),
			        REMOVEFILTERS('dim_provider'),
			        KEEPFILTERS(TREATAS(linkedPairs,
			            'fact_referral_provider'[referral_id],
			            'fact_referral_provider'[provider_id]))
			    )
			RETURN IF(COUNTROWS(linkedPairs) &gt; 0,
			    COALESCE(CONCATENATEX(
			        responseValues,
			        COALESCE('fact_referral_pr
[EXCERPT; complete logic in KPI_LATEST_CALCULATIONS.md]</x:v>
      </x:c>
      <x:c r="H321" s="25" t="str">
        <x:v>KPI_LATEST_CALCULATIONS.md#business-linked-response-statuses</x:v>
      </x:c>
      <x:c r="I321" s="25" t="str">
        <x:v>Saved definition; runtime/acceptance pending</x:v>
      </x:c>
    </x:row>
    <x:row r="322" ht="46" customHeight="1">
      <x:c r="A322" s="25" t="str">
        <x:v>Location review</x:v>
      </x:c>
      <x:c r="B322" s="25" t="str">
        <x:v>_Explore Measures</x:v>
      </x:c>
      <x:c r="C322" s="25" t="str">
        <x:v>Business metric</x:v>
      </x:c>
      <x:c r="D322" s="25" t="str">
        <x:v>GOLD-KPI-233</x:v>
      </x:c>
      <x:c r="E322" s="25" t="str">
        <x:v>Referral Geography</x:v>
      </x:c>
      <x:c r="F322" s="25" t="str">
        <x:v>gold.bridge_referral_framework_category; gold.dim_framework_category; gold.fact_referral</x:v>
      </x:c>
      <x:c r="G322" s="25" t="str">
        <x:v>CALCULATE([Referrals],KEEPFILTERS(FILTER('fact_referral',ISBLANK('fact_referral'[location_match_status]) || 'fact_referral'[location_match_status]&lt;&gt;"CITY_MATCH")))</x:v>
      </x:c>
      <x:c r="H322" s="25" t="str">
        <x:v>KPI_LATEST_CALCULATIONS.md#business-location-review</x:v>
      </x:c>
      <x:c r="I322" s="25" t="str">
        <x:v>Saved definition; runtime/acceptance pending</x:v>
      </x:c>
    </x:row>
    <x:row r="323" ht="24" customHeight="1">
      <x:c r="A323" s="25" t="str">
        <x:v>Male Referrals</x:v>
      </x:c>
      <x:c r="B323" s="25" t="str">
        <x:v>_Measures</x:v>
      </x:c>
      <x:c r="C323" s="25" t="str">
        <x:v>Business metric</x:v>
      </x:c>
      <x:c r="D323" s="25" t="str">
        <x:v>KPI-04; GOLD-KPI-110</x:v>
      </x:c>
      <x:c r="E323" s="25" t="str">
        <x:v>Referrals</x:v>
      </x:c>
      <x:c r="F323" s="25" t="str">
        <x:v>gold.dim_person; gold.fact_referral</x:v>
      </x:c>
      <x:c r="G323" s="25" t="str">
        <x:v>CALCULATE ( [Total Referrals], 'dim_person'[gender_clean] = "Male" )</x:v>
      </x:c>
      <x:c r="H323" s="25" t="str">
        <x:v>KPI_LATEST_CALCULATIONS.md#business-male-referrals</x:v>
      </x:c>
      <x:c r="I323" s="25" t="str">
        <x:v>Saved definition; runtime/acceptance pending</x:v>
      </x:c>
    </x:row>
    <x:row r="324" ht="241" customHeight="1">
      <x:c r="A324" s="25" t="str">
        <x:v>Map connection summary</x:v>
      </x:c>
      <x:c r="B324" s="25" t="str">
        <x:v>Offer Location Paths</x:v>
      </x:c>
      <x:c r="C324" s="25" t="str">
        <x:v>Display/filter/context helper</x:v>
      </x:c>
      <x:c r="D324" s="25" t="str">
        <x:v>Helper/context; not registered as an additional KPI</x:v>
      </x:c>
      <x:c r="E324" s="25" t="str">
        <x:v>Offer Locations; Referral Explorer</x:v>
      </x:c>
      <x:c r="F324" s="25" t="str">
        <x:v>gold.dim_provider; gold.dim_provider_home; gold.fact_offer</x:v>
      </x:c>
      <x:c r="G324" s="25" t="str">
        <x:v>VAR selectedReferrals =
			    COUNTROWS ( FILTER ( VALUES ( 'fact_offer'[referral_id] ), NOT ISBLANK ( 'fact_offer'[referral_id] ) ) )
			VAR selectedOffers = COALESCE ( DISTINCTCOUNTNOBLANK ( 'fact_offer'[offer_id] ), 0 )
			VAR mappedOffers = COALESCE ( DISTINCTCOUNTNOBLANK ( 'Offer Location Paths'[Offer ID] ), 0 )
			VAR defaultOffers =
			    COALESCE ( CALCULATE ( DISTINCTCOUNTNOBLANK ( 'Offer Location Paths'[Offer ID] ),
			        'Offer Location Paths'[Location quality] = "Default-city estimate" ), 0 )
			RETURN
			    SWITCH ( TRUE (),
			        selectedOffers = 0, "No offers match these filters.",
			        selectedReferrals &lt;&gt; 1, "Select one referral above, or an offer row, to show its connections
[EXCERPT; complete logic in KPI_LATEST_CALCULATIONS.md]</x:v>
      </x:c>
      <x:c r="H324" s="25" t="str">
        <x:v>KPI_LATEST_CALCULATIONS.md#business-map-connection-summary</x:v>
      </x:c>
      <x:c r="I324" s="25" t="str">
        <x:v>Saved definition; runtime/acceptance pending</x:v>
      </x:c>
    </x:row>
    <x:row r="325" ht="72" customHeight="1">
      <x:c r="A325" s="25" t="str">
        <x:v>Map connection visible</x:v>
      </x:c>
      <x:c r="B325" s="25" t="str">
        <x:v>Offer Location Paths</x:v>
      </x:c>
      <x:c r="C325" s="25" t="str">
        <x:v>Display/filter/context helper</x:v>
      </x:c>
      <x:c r="D325" s="25" t="str">
        <x:v>Helper/context; not registered as an additional KPI</x:v>
      </x:c>
      <x:c r="E325" s="25" t="str">
        <x:v>Offer Locations; Referral Explorer</x:v>
      </x:c>
      <x:c r="F325" s="25" t="str">
        <x:v>gold.fact_offer</x:v>
      </x:c>
      <x:c r="G325" s="25" t="str">
        <x:v>IF (
			    HASONEVALUE ( 'fact_offer'[referral_id] )
			        &amp;&amp; NOT ISBLANK ( SELECTEDVALUE ( 'fact_offer'[referral_id] ) ),
			    1
			)</x:v>
      </x:c>
      <x:c r="H325" s="25" t="str">
        <x:v>KPI_LATEST_CALCULATIONS.md#business-map-connection-visible</x:v>
      </x:c>
      <x:c r="I325" s="25" t="str">
        <x:v>Saved definition; runtime/acceptance pending</x:v>
      </x:c>
    </x:row>
    <x:row r="326" ht="33" customHeight="1">
      <x:c r="A326" s="25" t="str">
        <x:v>Mapped referrals</x:v>
      </x:c>
      <x:c r="B326" s="25" t="str">
        <x:v>_Explore Measures</x:v>
      </x:c>
      <x:c r="C326" s="25" t="str">
        <x:v>Business metric</x:v>
      </x:c>
      <x:c r="D326" s="25" t="str">
        <x:v>GOLD-KPI-234</x:v>
      </x:c>
      <x:c r="E326" s="25" t="str">
        <x:v>Referral Explorer; Referral Geography</x:v>
      </x:c>
      <x:c r="F326" s="25" t="str">
        <x:v>gold.bridge_referral_framework_category; gold.dim_framework_category; gold.fact_referral</x:v>
      </x:c>
      <x:c r="G326" s="25" t="str">
        <x:v>CALCULATE([Referrals],KEEPFILTERS('fact_referral'[location_match_status]="CITY_MATCH"))</x:v>
      </x:c>
      <x:c r="H326" s="25" t="str">
        <x:v>KPI_LATEST_CALCULATIONS.md#business-mapped-referrals</x:v>
      </x:c>
      <x:c r="I326" s="25" t="str">
        <x:v>Saved definition; runtime/acceptance pending</x:v>
      </x:c>
    </x:row>
    <x:row r="327" ht="46" customHeight="1">
      <x:c r="A327" s="25" t="str">
        <x:v>Matching referrals</x:v>
      </x:c>
      <x:c r="B327" s="25" t="str">
        <x:v>_Story Measures</x:v>
      </x:c>
      <x:c r="C327" s="25" t="str">
        <x:v>Business metric</x:v>
      </x:c>
      <x:c r="D327" s="25" t="str">
        <x:v>GOLD-KPI-122</x:v>
      </x:c>
      <x:c r="E327" s="25" t="str">
        <x:v>Referral Explorer</x:v>
      </x:c>
      <x:c r="F327" s="25" t="str">
        <x:v>gold.bridge_referral_framework_category; gold.dim_framework_category; gold.fact_offer; gold.fact_referral</x:v>
      </x:c>
      <x:c r="G327" s="25" t="str">
        <x:v>[Explorer referrals]</x:v>
      </x:c>
      <x:c r="H327" s="25" t="str">
        <x:v>KPI_LATEST_CALCULATIONS.md#business-matching-referrals</x:v>
      </x:c>
      <x:c r="I327" s="25" t="str">
        <x:v>Saved definition; runtime/acceptance pending</x:v>
      </x:c>
    </x:row>
    <x:row r="328" ht="72" customHeight="1">
      <x:c r="A328" s="25" t="str">
        <x:v>Median Days to First Action</x:v>
      </x:c>
      <x:c r="B328" s="25" t="str">
        <x:v>_Measures</x:v>
      </x:c>
      <x:c r="C328" s="25" t="str">
        <x:v>Business metric</x:v>
      </x:c>
      <x:c r="D328" s="25" t="str">
        <x:v>GOLD-KPI-010</x:v>
      </x:c>
      <x:c r="E328" s="25" t="str">
        <x:v>No direct saved visual binding</x:v>
      </x:c>
      <x:c r="F328" s="25" t="str">
        <x:v>gold.fact_referral</x:v>
      </x:c>
      <x:c r="G328" s="25" t="str">
        <x:v>MEDIANX (
			    FILTER ( 'fact_referral', NOT ISBLANK ( 'fact_referral'[days_to_first_action] ) ),
			    'fact_referral'[days_to_first_action]
			)</x:v>
      </x:c>
      <x:c r="H328" s="25" t="str">
        <x:v>KPI_LATEST_CALCULATIONS.md#business-median-days-to-first-action</x:v>
      </x:c>
      <x:c r="I328" s="25" t="str">
        <x:v>Saved definition; runtime/acceptance pending</x:v>
      </x:c>
    </x:row>
    <x:row r="329" ht="72" customHeight="1">
      <x:c r="A329" s="25" t="str">
        <x:v>Median Days to First Offer</x:v>
      </x:c>
      <x:c r="B329" s="25" t="str">
        <x:v>_Measures</x:v>
      </x:c>
      <x:c r="C329" s="25" t="str">
        <x:v>Business metric</x:v>
      </x:c>
      <x:c r="D329" s="25" t="str">
        <x:v>GOLD-KPI-011</x:v>
      </x:c>
      <x:c r="E329" s="25" t="str">
        <x:v>No direct saved visual binding</x:v>
      </x:c>
      <x:c r="F329" s="25" t="str">
        <x:v>gold.fact_referral</x:v>
      </x:c>
      <x:c r="G329" s="25" t="str">
        <x:v>MEDIANX (
			    FILTER ( 'fact_referral', NOT ISBLANK ( 'fact_referral'[days_to_first_offer] ) ),
			    'fact_referral'[days_to_first_offer]
			)</x:v>
      </x:c>
      <x:c r="H329" s="25" t="str">
        <x:v>KPI_LATEST_CALCULATIONS.md#business-median-days-to-first-offer</x:v>
      </x:c>
      <x:c r="I329" s="25" t="str">
        <x:v>Saved definition; runtime/acceptance pending</x:v>
      </x:c>
    </x:row>
    <x:row r="330" ht="72" customHeight="1">
      <x:c r="A330" s="25" t="str">
        <x:v>Median Days to IPA</x:v>
      </x:c>
      <x:c r="B330" s="25" t="str">
        <x:v>_Measures</x:v>
      </x:c>
      <x:c r="C330" s="25" t="str">
        <x:v>Business metric</x:v>
      </x:c>
      <x:c r="D330" s="25" t="str">
        <x:v>GOLD-KPI-012</x:v>
      </x:c>
      <x:c r="E330" s="25" t="str">
        <x:v>Overall Performance</x:v>
      </x:c>
      <x:c r="F330" s="25" t="str">
        <x:v>gold.fact_referral</x:v>
      </x:c>
      <x:c r="G330" s="25" t="str">
        <x:v>MEDIANX (
			    FILTER ( 'fact_referral', NOT ISBLANK ( 'fact_referral'[days_to_ipa] ) ),
			    'fact_referral'[days_to_ipa]
			)</x:v>
      </x:c>
      <x:c r="H330" s="25" t="str">
        <x:v>KPI_LATEST_CALCULATIONS.md#business-median-days-to-ipa</x:v>
      </x:c>
      <x:c r="I330" s="25" t="str">
        <x:v>Saved definition; runtime/acceptance pending</x:v>
      </x:c>
    </x:row>
    <x:row r="331" ht="24" customHeight="1">
      <x:c r="A331" s="25" t="str">
        <x:v>Median Offered Weekly Cost</x:v>
      </x:c>
      <x:c r="B331" s="25" t="str">
        <x:v>_Design Measures</x:v>
      </x:c>
      <x:c r="C331" s="25" t="str">
        <x:v>Business metric</x:v>
      </x:c>
      <x:c r="D331" s="25" t="str">
        <x:v>GOLD-KPI-235</x:v>
      </x:c>
      <x:c r="E331" s="25" t="str">
        <x:v>Provider &amp; Placement Supply</x:v>
      </x:c>
      <x:c r="F331" s="25" t="str">
        <x:v>gold.fact_offer</x:v>
      </x:c>
      <x:c r="G331" s="25" t="str">
        <x:v>MEDIAN ( 'fact_offer'[estimated_weekly_cost] )</x:v>
      </x:c>
      <x:c r="H331" s="25" t="str">
        <x:v>KPI_LATEST_CALCULATIONS.md#business-median-offered-weekly-cost</x:v>
      </x:c>
      <x:c r="I331" s="25" t="str">
        <x:v>Saved definition; runtime/acceptance pending</x:v>
      </x:c>
    </x:row>
    <x:row r="332" ht="46" customHeight="1">
      <x:c r="A332" s="25" t="str">
        <x:v>Median preferred-city distance km</x:v>
      </x:c>
      <x:c r="B332" s="25" t="str">
        <x:v>_Explore Measures</x:v>
      </x:c>
      <x:c r="C332" s="25" t="str">
        <x:v>Business metric</x:v>
      </x:c>
      <x:c r="D332" s="25" t="str">
        <x:v>GOLD-KPI-142</x:v>
      </x:c>
      <x:c r="E332" s="25" t="str">
        <x:v>Offer Locations</x:v>
      </x:c>
      <x:c r="F332" s="25" t="str">
        <x:v>gold.fact_offer</x:v>
      </x:c>
      <x:c r="G332" s="25" t="str">
        <x:v>MEDIANX(FILTER('fact_offer','fact_offer'[referral_to_home_distance_status]="APPROXIMATE_PREFERENCE_CITY" &amp;&amp; NOT ISBLANK('fact_offer'[referral_to_home_distance_km])),'fact_offer'[referral_to_home_distance_km])</x:v>
      </x:c>
      <x:c r="H332" s="25" t="str">
        <x:v>KPI_LATEST_CALCULATIONS.md#business-median-preferred-city-distance-km</x:v>
      </x:c>
      <x:c r="I332" s="25" t="str">
        <x:v>Saved definition; runtime/acceptance pending</x:v>
      </x:c>
    </x:row>
    <x:row r="333" ht="72" customHeight="1">
      <x:c r="A333" s="25" t="str">
        <x:v>No. Providers Who Made Offers</x:v>
      </x:c>
      <x:c r="B333" s="25" t="str">
        <x:v>_Measures</x:v>
      </x:c>
      <x:c r="C333" s="25" t="str">
        <x:v>Business metric</x:v>
      </x:c>
      <x:c r="D333" s="25" t="str">
        <x:v>GOLD-KPI-236</x:v>
      </x:c>
      <x:c r="E333" s="25" t="str">
        <x:v>Historic; Offers Overview; Requirement Matrix Overview</x:v>
      </x:c>
      <x:c r="F333" s="25" t="str">
        <x:v>gold.fact_offer; gold.fact_referral</x:v>
      </x:c>
      <x:c r="G333" s="25" t="str">
        <x:v>CALCULATE (
			    [Providers Who Made Offers],
			    FILTER ( 'fact_referral', 'fact_referral'[is_open] = TRUE () &amp;&amp; 'fact_referral'[current_status] = "UNDER_OFFER" )
			)</x:v>
      </x:c>
      <x:c r="H333" s="25" t="str">
        <x:v>KPI_LATEST_CALCULATIONS.md#business-no-providers-who-made-offers</x:v>
      </x:c>
      <x:c r="I333" s="25" t="str">
        <x:v>Saved definition; runtime/acceptance pending</x:v>
      </x:c>
    </x:row>
    <x:row r="334" ht="72" customHeight="1">
      <x:c r="A334" s="25" t="str">
        <x:v>Non-Draft Offers</x:v>
      </x:c>
      <x:c r="B334" s="25" t="str">
        <x:v>_Measures</x:v>
      </x:c>
      <x:c r="C334" s="25" t="str">
        <x:v>Business metric</x:v>
      </x:c>
      <x:c r="D334" s="25" t="str">
        <x:v>KPI-25; KPI-12</x:v>
      </x:c>
      <x:c r="E334" s="25" t="str">
        <x:v>No direct saved visual binding</x:v>
      </x:c>
      <x:c r="F334" s="25" t="str">
        <x:v>gold.fact_offer</x:v>
      </x:c>
      <x:c r="G334" s="25" t="str">
        <x:v>CALCULATE (
			    [Offers Submitted],
			    KEEPFILTERS ( FILTER ( 'fact_offer', NOT ISBLANK ( 'fact_offer'[offer_status] ) &amp;&amp; LOWER ( 'fact_offer'[offer_status] ) &lt;&gt; "draft" ) )
			)</x:v>
      </x:c>
      <x:c r="H334" s="25" t="str">
        <x:v>KPI_LATEST_CALCULATIONS.md#business-non-draft-offers</x:v>
      </x:c>
      <x:c r="I334" s="25" t="str">
        <x:v>Saved definition; runtime/acceptance pending</x:v>
      </x:c>
    </x:row>
    <x:row r="335" ht="85" customHeight="1">
      <x:c r="A335" s="25" t="str">
        <x:v>Non-Framework Providers</x:v>
      </x:c>
      <x:c r="B335" s="25" t="str">
        <x:v>_Measures</x:v>
      </x:c>
      <x:c r="C335" s="25" t="str">
        <x:v>Business metric</x:v>
      </x:c>
      <x:c r="D335" s="25" t="str">
        <x:v>KPI-46</x:v>
      </x:c>
      <x:c r="E335" s="25" t="str">
        <x:v>No direct saved visual binding</x:v>
      </x:c>
      <x:c r="F335" s="25" t="str">
        <x:v>gold.bridge_provider_framework; gold.dim_provider</x:v>
      </x:c>
      <x:c r="G335" s="25" t="str">
        <x:v>COUNTROWS (
			    EXCEPT (
			        VALUES ( 'dim_provider'[provider_id] ),
			        VALUES ( 'bridge_provider_framework'[provider_id] )
			    )
			)</x:v>
      </x:c>
      <x:c r="H335" s="25" t="str">
        <x:v>KPI_LATEST_CALCULATIONS.md#business-non-framework-providers</x:v>
      </x:c>
      <x:c r="I335" s="25" t="str">
        <x:v>Saved definition; runtime/acceptance pending</x:v>
      </x:c>
    </x:row>
    <x:row r="336" ht="33" customHeight="1">
      <x:c r="A336" s="25" t="str">
        <x:v>Non-Spot Offers</x:v>
      </x:c>
      <x:c r="B336" s="25" t="str">
        <x:v>_Measures</x:v>
      </x:c>
      <x:c r="C336" s="25" t="str">
        <x:v>Business metric</x:v>
      </x:c>
      <x:c r="D336" s="25" t="str">
        <x:v>GOLD-KPI-061</x:v>
      </x:c>
      <x:c r="E336" s="25" t="str">
        <x:v>No direct saved visual binding</x:v>
      </x:c>
      <x:c r="F336" s="25" t="str">
        <x:v>gold.dim_provider_home; gold.fact_offer</x:v>
      </x:c>
      <x:c r="G336" s="25" t="str">
        <x:v>CALCULATE ( [Non-Draft Offers], 'dim_provider_home (offer)'[is_spot] = FALSE () )</x:v>
      </x:c>
      <x:c r="H336" s="25" t="str">
        <x:v>KPI_LATEST_CALCULATIONS.md#business-non-spot-offers</x:v>
      </x:c>
      <x:c r="I336" s="25" t="str">
        <x:v>Saved definition; runtime/acceptance pending</x:v>
      </x:c>
    </x:row>
    <x:row r="337" ht="24" customHeight="1">
      <x:c r="A337" s="25" t="str">
        <x:v>Offer Acceptance Rate</x:v>
      </x:c>
      <x:c r="B337" s="25" t="str">
        <x:v>_Measures</x:v>
      </x:c>
      <x:c r="C337" s="25" t="str">
        <x:v>Business metric</x:v>
      </x:c>
      <x:c r="D337" s="25" t="str">
        <x:v>GOLD-KPI-017</x:v>
      </x:c>
      <x:c r="E337" s="25" t="str">
        <x:v>Provider &amp; Placement Supply</x:v>
      </x:c>
      <x:c r="F337" s="25" t="str">
        <x:v>gold.fact_offer</x:v>
      </x:c>
      <x:c r="G337" s="25" t="str">
        <x:v>DIVIDE ( [Accepted Offers], [Offers with a Decision] )</x:v>
      </x:c>
      <x:c r="H337" s="25" t="str">
        <x:v>KPI_LATEST_CALCULATIONS.md#business-offer-acceptance-rate</x:v>
      </x:c>
      <x:c r="I337" s="25" t="str">
        <x:v>Saved definition; runtime/acceptance pending</x:v>
      </x:c>
    </x:row>
    <x:row r="338" ht="46" customHeight="1">
      <x:c r="A338" s="25" t="str">
        <x:v>Offer Journey Count</x:v>
      </x:c>
      <x:c r="B338" s="25" t="str">
        <x:v>_Design Measures</x:v>
      </x:c>
      <x:c r="C338" s="25" t="str">
        <x:v>Filter/context helper</x:v>
      </x:c>
      <x:c r="D338" s="25" t="str">
        <x:v>Helper/context; not registered as an additional KPI</x:v>
      </x:c>
      <x:c r="E338" s="25" t="str">
        <x:v>Provider &amp; Placement Supply</x:v>
      </x:c>
      <x:c r="F338" s="25" t="str">
        <x:v>gold.fact_ipa; gold.fact_offer</x:v>
      </x:c>
      <x:c r="G338" s="25" t="str">
        <x:v>SWITCH ( SELECTEDVALUE ( 'Offer Journey Stage'[Ordinal] ),
			    1, [Offers Submitted], 2, BLANK (), 3, BLANK (), 4, [Accepted Offers], 5, [Accepted Offers With IPA] )</x:v>
      </x:c>
      <x:c r="H338" s="25" t="str">
        <x:v>KPI_LATEST_CALCULATIONS.md#business-offer-journey-count</x:v>
      </x:c>
      <x:c r="I338" s="25" t="str">
        <x:v>Saved definition; runtime/acceptance pending</x:v>
      </x:c>
    </x:row>
    <x:row r="339" ht="33" customHeight="1">
      <x:c r="A339" s="25" t="str">
        <x:v>Offer Receipt Rate (Created in Period)</x:v>
      </x:c>
      <x:c r="B339" s="25" t="str">
        <x:v>_Measures</x:v>
      </x:c>
      <x:c r="C339" s="25" t="str">
        <x:v>Business metric</x:v>
      </x:c>
      <x:c r="D339" s="25" t="str">
        <x:v>GOLD-KPI-237</x:v>
      </x:c>
      <x:c r="E339" s="25" t="str">
        <x:v>No direct saved visual binding</x:v>
      </x:c>
      <x:c r="F339" s="25" t="str">
        <x:v>gold.fact_referral</x:v>
      </x:c>
      <x:c r="G339" s="25" t="str">
        <x:v>DIVIDE ( [Referrals With Offers], [Total Referrals] )</x:v>
      </x:c>
      <x:c r="H339" s="25" t="str">
        <x:v>KPI_LATEST_CALCULATIONS.md#business-offer-receipt-rate-created-in-period</x:v>
      </x:c>
      <x:c r="I339" s="25" t="str">
        <x:v>Saved definition; runtime/acceptance pending</x:v>
      </x:c>
    </x:row>
    <x:row r="340" ht="33" customHeight="1">
      <x:c r="A340" s="25" t="str">
        <x:v>Offer Receipt Rate (Created in Period) MoM %</x:v>
      </x:c>
      <x:c r="B340" s="25" t="str">
        <x:v>_Measures</x:v>
      </x:c>
      <x:c r="C340" s="25" t="str">
        <x:v>Business metric</x:v>
      </x:c>
      <x:c r="D340" s="25" t="str">
        <x:v>GOLD-KPI-238</x:v>
      </x:c>
      <x:c r="E340" s="25" t="str">
        <x:v>No direct saved visual binding</x:v>
      </x:c>
      <x:c r="F340" s="25" t="str">
        <x:v>gold.dim_date; gold.fact_referral</x:v>
      </x:c>
      <x:c r="G340" s="25" t="str">
        <x:v>DIVIDE ( [Offer Receipt Rate (Created in Period) Variance], [Offer Receipt Rate (Created in Period) Previous Month] )</x:v>
      </x:c>
      <x:c r="H340" s="25" t="str">
        <x:v>KPI_LATEST_CALCULATIONS.md#business-offer-receipt-rate-created-in-period-mom-percent</x:v>
      </x:c>
      <x:c r="I340" s="25" t="str">
        <x:v>Saved definition; runtime/acceptance pending</x:v>
      </x:c>
    </x:row>
    <x:row r="341" ht="33" customHeight="1">
      <x:c r="A341" s="25" t="str">
        <x:v>Offer Receipt Rate (Created in Period) Previous Month</x:v>
      </x:c>
      <x:c r="B341" s="25" t="str">
        <x:v>_Measures</x:v>
      </x:c>
      <x:c r="C341" s="25" t="str">
        <x:v>Business metric</x:v>
      </x:c>
      <x:c r="D341" s="25" t="str">
        <x:v>GOLD-KPI-239</x:v>
      </x:c>
      <x:c r="E341" s="25" t="str">
        <x:v>No direct saved visual binding</x:v>
      </x:c>
      <x:c r="F341" s="25" t="str">
        <x:v>gold.dim_date; gold.fact_referral</x:v>
      </x:c>
      <x:c r="G341" s="25" t="str">
        <x:v>CALCULATE ( [Offer Receipt Rate (Created in Period)], DATEADD ( 'dim_date'[date], -1, MONTH ) )</x:v>
      </x:c>
      <x:c r="H341" s="25" t="str">
        <x:v>KPI_LATEST_CALCULATIONS.md#business-offer-receipt-rate-created-in-period-previous-month</x:v>
      </x:c>
      <x:c r="I341" s="25" t="str">
        <x:v>Saved definition; runtime/acceptance pending</x:v>
      </x:c>
    </x:row>
    <x:row r="342" ht="33" customHeight="1">
      <x:c r="A342" s="25" t="str">
        <x:v>Offer Receipt Rate (Created in Period) Variance</x:v>
      </x:c>
      <x:c r="B342" s="25" t="str">
        <x:v>_Measures</x:v>
      </x:c>
      <x:c r="C342" s="25" t="str">
        <x:v>Business metric</x:v>
      </x:c>
      <x:c r="D342" s="25" t="str">
        <x:v>GOLD-KPI-240</x:v>
      </x:c>
      <x:c r="E342" s="25" t="str">
        <x:v>No direct saved visual binding</x:v>
      </x:c>
      <x:c r="F342" s="25" t="str">
        <x:v>gold.dim_date; gold.fact_referral</x:v>
      </x:c>
      <x:c r="G342" s="25" t="str">
        <x:v>[Offer Receipt Rate (Created in Period)] - [Offer Receipt Rate (Created in Period) Previous Month]</x:v>
      </x:c>
      <x:c r="H342" s="25" t="str">
        <x:v>KPI_LATEST_CALCULATIONS.md#business-offer-receipt-rate-created-in-period-variance</x:v>
      </x:c>
      <x:c r="I342" s="25" t="str">
        <x:v>Saved definition; runtime/acceptance pending</x:v>
      </x:c>
    </x:row>
    <x:row r="343" ht="46" customHeight="1">
      <x:c r="A343" s="25" t="str">
        <x:v>Offer Receipt Rate (Created in Period) Variance Indicator</x:v>
      </x:c>
      <x:c r="B343" s="25" t="str">
        <x:v>_Measures</x:v>
      </x:c>
      <x:c r="C343" s="25" t="str">
        <x:v>Display/filter helper</x:v>
      </x:c>
      <x:c r="D343" s="25" t="str">
        <x:v>Helper/context; not registered as an additional KPI</x:v>
      </x:c>
      <x:c r="E343" s="25" t="str">
        <x:v>No direct saved visual binding</x:v>
      </x:c>
      <x:c r="F343" s="25" t="str">
        <x:v>gold.dim_date; gold.fact_referral</x:v>
      </x:c>
      <x:c r="G343" s="25" t="str">
        <x:v>IF ( [Offer Receipt Rate (Created in Period) Variance] &gt; 0, "▲", IF ( [Offer Receipt Rate (Created in Period) Variance] &lt; 0, "▼", "–" ) )</x:v>
      </x:c>
      <x:c r="H343" s="25" t="str">
        <x:v>KPI_LATEST_CALCULATIONS.md#business-offer-receipt-rate-created-in-period-variance-indicator</x:v>
      </x:c>
      <x:c r="I343" s="25" t="str">
        <x:v>Saved definition; runtime/acceptance pending</x:v>
      </x:c>
    </x:row>
    <x:row r="344" ht="46" customHeight="1">
      <x:c r="A344" s="25" t="str">
        <x:v>Offer Receipt Rate (Created in Period) Variance Indicator Color</x:v>
      </x:c>
      <x:c r="B344" s="25" t="str">
        <x:v>_Measures</x:v>
      </x:c>
      <x:c r="C344" s="25" t="str">
        <x:v>Display/filter helper</x:v>
      </x:c>
      <x:c r="D344" s="25" t="str">
        <x:v>Helper/context; not registered as an additional KPI</x:v>
      </x:c>
      <x:c r="E344" s="25" t="str">
        <x:v>No direct saved visual binding</x:v>
      </x:c>
      <x:c r="F344" s="25" t="str">
        <x:v>gold.dim_date; gold.fact_referral</x:v>
      </x:c>
      <x:c r="G344" s="25" t="str">
        <x:v>IF ( [Offer Receipt Rate (Created in Period) Variance] &gt; 0, "green", IF ( [Offer Receipt Rate (Created in Period) Variance] &lt; 0, "red", "grey" ) )</x:v>
      </x:c>
      <x:c r="H344" s="25" t="str">
        <x:v>KPI_LATEST_CALCULATIONS.md#business-offer-receipt-rate-created-in-period-variance-indicator-color</x:v>
      </x:c>
      <x:c r="I344" s="25" t="str">
        <x:v>Saved definition; runtime/acceptance pending</x:v>
      </x:c>
    </x:row>
    <x:row r="345" ht="98" customHeight="1">
      <x:c r="A345" s="25" t="str">
        <x:v>Offers</x:v>
      </x:c>
      <x:c r="B345" s="25" t="str">
        <x:v>_Explore Measures</x:v>
      </x:c>
      <x:c r="C345" s="25" t="str">
        <x:v>Business metric</x:v>
      </x:c>
      <x:c r="D345" s="25" t="str">
        <x:v>GOLD-KPI-241</x:v>
      </x:c>
      <x:c r="E345" s="25" t="str">
        <x:v>No direct saved visual binding</x:v>
      </x:c>
      <x:c r="F345" s="25" t="str">
        <x:v>gold.bridge_referral_framework_category; gold.dim_framework_category; gold.fact_offer; gold.fact_referral</x:v>
      </x:c>
      <x:c r="G345" s="25" t="str">
        <x:v>VAR selectedCategories=VALUES('Referral Category'[Category ID])
			VAR ids=CALCULATETABLE(VALUES('bridge_referral_framework_category'[referral_id]),TREATAS(selectedCategories,'bridge_referral_framework_category'[framework_category_id]))
			RETURN IF(ISCROSSFILTERED('Referral Category'),CALCULATE([Offers Submitted],KEEPFILTERS(TREATAS(ids,'fact_referral'[referral_id]))),[Offers Submitted])</x:v>
      </x:c>
      <x:c r="H345" s="25" t="str">
        <x:v>KPI_LATEST_CALCULATIONS.md#business-offers</x:v>
      </x:c>
      <x:c r="I345" s="25" t="str">
        <x:v>Saved definition; runtime/acceptance pending</x:v>
      </x:c>
    </x:row>
    <x:row r="346" ht="33" customHeight="1">
      <x:c r="A346" s="25" t="str">
        <x:v>Offers Awaiting IPA Completion %</x:v>
      </x:c>
      <x:c r="B346" s="25" t="str">
        <x:v>_Measures</x:v>
      </x:c>
      <x:c r="C346" s="25" t="str">
        <x:v>Business metric</x:v>
      </x:c>
      <x:c r="D346" s="25" t="str">
        <x:v>GOLD-KPI-242</x:v>
      </x:c>
      <x:c r="E346" s="25" t="str">
        <x:v>IPA Overview</x:v>
      </x:c>
      <x:c r="F346" s="25" t="str">
        <x:v>gold.fact_ipa; gold.fact_offer</x:v>
      </x:c>
      <x:c r="G346" s="25" t="str">
        <x:v>DIVIDE ( ([Accepted Offers]-[IPA Completed]), [Accepted Offers] )</x:v>
      </x:c>
      <x:c r="H346" s="25" t="str">
        <x:v>KPI_LATEST_CALCULATIONS.md#business-offers-awaiting-ipa-completion-percent</x:v>
      </x:c>
      <x:c r="I346" s="25" t="str">
        <x:v>Saved definition; runtime/acceptance pending</x:v>
      </x:c>
    </x:row>
    <x:row r="347" ht="33" customHeight="1">
      <x:c r="A347" s="25" t="str">
        <x:v>Offers Awaiting IPA Creation</x:v>
      </x:c>
      <x:c r="B347" s="25" t="str">
        <x:v>_Measures</x:v>
      </x:c>
      <x:c r="C347" s="25" t="str">
        <x:v>Business metric</x:v>
      </x:c>
      <x:c r="D347" s="25" t="str">
        <x:v>KPI-79</x:v>
      </x:c>
      <x:c r="E347" s="25" t="str">
        <x:v>IPA Overview</x:v>
      </x:c>
      <x:c r="F347" s="25" t="str">
        <x:v>gold.fact_offer</x:v>
      </x:c>
      <x:c r="G347" s="25" t="str">
        <x:v>CALCULATE ( [Offers Submitted], 'fact_offer'[is_awaiting_ipa_creation] = TRUE ())</x:v>
      </x:c>
      <x:c r="H347" s="25" t="str">
        <x:v>KPI_LATEST_CALCULATIONS.md#business-offers-awaiting-ipa-creation</x:v>
      </x:c>
      <x:c r="I347" s="25" t="str">
        <x:v>Saved definition; runtime/acceptance pending</x:v>
      </x:c>
    </x:row>
    <x:row r="348" ht="33" customHeight="1">
      <x:c r="A348" s="25" t="str">
        <x:v>Offers Still to Progress to IPA %</x:v>
      </x:c>
      <x:c r="B348" s="25" t="str">
        <x:v>_Measures</x:v>
      </x:c>
      <x:c r="C348" s="25" t="str">
        <x:v>Business metric</x:v>
      </x:c>
      <x:c r="D348" s="25" t="str">
        <x:v>KPI-84</x:v>
      </x:c>
      <x:c r="E348" s="25" t="str">
        <x:v>No direct saved visual binding</x:v>
      </x:c>
      <x:c r="F348" s="25" t="str">
        <x:v>gold.fact_ipa; gold.fact_offer</x:v>
      </x:c>
      <x:c r="G348" s="25" t="str">
        <x:v>IF ( NOT ISBLANK ( [Accepted Offer to IPA Conversion %] ), 1 - [Accepted Offer to IPA Conversion %] )</x:v>
      </x:c>
      <x:c r="H348" s="25" t="str">
        <x:v>KPI_LATEST_CALCULATIONS.md#business-offers-still-to-progress-to-ipa-percent</x:v>
      </x:c>
      <x:c r="I348" s="25" t="str">
        <x:v>Saved definition; runtime/acceptance pending</x:v>
      </x:c>
    </x:row>
    <x:row r="349" ht="46" customHeight="1">
      <x:c r="A349" s="25" t="str">
        <x:v>Offers Submitted</x:v>
      </x:c>
      <x:c r="B349" s="25" t="str">
        <x:v>_Measures</x:v>
      </x:c>
      <x:c r="C349" s="25" t="str">
        <x:v>Business metric</x:v>
      </x:c>
      <x:c r="D349" s="25" t="str">
        <x:v>KPI-28</x:v>
      </x:c>
      <x:c r="E349" s="25" t="str">
        <x:v>Historic; Offer Locations; Overall Performance; Provider &amp; Placement Supply; Referral Explorer</x:v>
      </x:c>
      <x:c r="F349" s="25" t="str">
        <x:v>gold.fact_offer</x:v>
      </x:c>
      <x:c r="G349" s="25" t="str">
        <x:v>DISTINCTCOUNT ( 'fact_offer'[offer_id] )</x:v>
      </x:c>
      <x:c r="H349" s="25" t="str">
        <x:v>KPI_LATEST_CALCULATIONS.md#business-offers-submitted</x:v>
      </x:c>
      <x:c r="I349" s="25" t="str">
        <x:v>Saved definition; runtime/acceptance pending</x:v>
      </x:c>
    </x:row>
    <x:row r="350" ht="72" customHeight="1">
      <x:c r="A350" s="25" t="str">
        <x:v>Offers With Recorded Rejection Reason</x:v>
      </x:c>
      <x:c r="B350" s="25" t="str">
        <x:v>_Measures</x:v>
      </x:c>
      <x:c r="C350" s="25" t="str">
        <x:v>Business metric</x:v>
      </x:c>
      <x:c r="D350" s="25" t="str">
        <x:v>GOLD-KPI-055</x:v>
      </x:c>
      <x:c r="E350" s="25" t="str">
        <x:v>No direct saved visual binding</x:v>
      </x:c>
      <x:c r="F350" s="25" t="str">
        <x:v>gold.fact_offer</x:v>
      </x:c>
      <x:c r="G350" s="25" t="str">
        <x:v>CALCULATE (
			    [Offers Submitted],
			    FILTER ( 'fact_offer', NOT ISBLANK ( 'fact_offer'[rejection_reason] ) )
			)</x:v>
      </x:c>
      <x:c r="H350" s="25" t="str">
        <x:v>KPI_LATEST_CALCULATIONS.md#business-offers-with-recorded-rejection-reason</x:v>
      </x:c>
      <x:c r="I350" s="25" t="str">
        <x:v>Saved definition; runtime/acceptance pending</x:v>
      </x:c>
    </x:row>
    <x:row r="351" ht="33" customHeight="1">
      <x:c r="A351" s="25" t="str">
        <x:v>Offers in Draft</x:v>
      </x:c>
      <x:c r="B351" s="25" t="str">
        <x:v>_Measures</x:v>
      </x:c>
      <x:c r="C351" s="25" t="str">
        <x:v>Business metric</x:v>
      </x:c>
      <x:c r="D351" s="25" t="str">
        <x:v>KPI-61</x:v>
      </x:c>
      <x:c r="E351" s="25" t="str">
        <x:v>No direct saved visual binding</x:v>
      </x:c>
      <x:c r="F351" s="25" t="str">
        <x:v>gold.fact_offer</x:v>
      </x:c>
      <x:c r="G351" s="25" t="str">
        <x:v>CALCULATE ( [Offers Submitted], LOWER ( 'fact_offer'[offer_status] ) = "draft" )</x:v>
      </x:c>
      <x:c r="H351" s="25" t="str">
        <x:v>KPI_LATEST_CALCULATIONS.md#business-offers-in-draft</x:v>
      </x:c>
      <x:c r="I351" s="25" t="str">
        <x:v>Saved definition; runtime/acceptance pending</x:v>
      </x:c>
    </x:row>
    <x:row r="352" ht="111" customHeight="1">
      <x:c r="A352" s="25" t="str">
        <x:v>Offers on Referrals Under Offer</x:v>
      </x:c>
      <x:c r="B352" s="25" t="str">
        <x:v>_Measures</x:v>
      </x:c>
      <x:c r="C352" s="25" t="str">
        <x:v>Business metric</x:v>
      </x:c>
      <x:c r="D352" s="25" t="str">
        <x:v>KPI-35</x:v>
      </x:c>
      <x:c r="E352" s="25" t="str">
        <x:v>Offers Overview; Requirement Matrix Overview</x:v>
      </x:c>
      <x:c r="F352" s="25" t="str">
        <x:v>gold.fact_offer; gold.fact_referral</x:v>
      </x:c>
      <x:c r="G352" s="25" t="str">
        <x:v>CALCULATE (
			    [Non-Draft Offers],
			    FILTER (
			        'fact_referral',
			        'fact_referral'[is_open] = TRUE () &amp;&amp; 'fact_referral'[current_status] = "UNDER_OFFER"
			    )
			)</x:v>
      </x:c>
      <x:c r="H352" s="25" t="str">
        <x:v>KPI_LATEST_CALCULATIONS.md#business-offers-on-referrals-under-offer</x:v>
      </x:c>
      <x:c r="I352" s="25" t="str">
        <x:v>Saved definition; runtime/acceptance pending</x:v>
      </x:c>
    </x:row>
    <x:row r="353" ht="33" customHeight="1">
      <x:c r="A353" s="25" t="str">
        <x:v>Offers on Referrals Under Offer MoM %</x:v>
      </x:c>
      <x:c r="B353" s="25" t="str">
        <x:v>_Measures</x:v>
      </x:c>
      <x:c r="C353" s="25" t="str">
        <x:v>Business metric</x:v>
      </x:c>
      <x:c r="D353" s="25" t="str">
        <x:v>GOLD-KPI-243</x:v>
      </x:c>
      <x:c r="E353" s="25" t="str">
        <x:v>No direct saved visual binding</x:v>
      </x:c>
      <x:c r="F353" s="25" t="str">
        <x:v>gold.dim_date; gold.fact_offer; gold.fact_referral</x:v>
      </x:c>
      <x:c r="G353" s="25" t="str">
        <x:v>DIVIDE ( [Offers on Referrals Under Offer Variance], [Offers on Referrals Under Offer Previous Month] )</x:v>
      </x:c>
      <x:c r="H353" s="25" t="str">
        <x:v>KPI_LATEST_CALCULATIONS.md#business-offers-on-referrals-under-offer-mom-percent</x:v>
      </x:c>
      <x:c r="I353" s="25" t="str">
        <x:v>Saved definition; runtime/acceptance pending</x:v>
      </x:c>
    </x:row>
    <x:row r="354" ht="33" customHeight="1">
      <x:c r="A354" s="25" t="str">
        <x:v>Offers on Referrals Under Offer Previous Month</x:v>
      </x:c>
      <x:c r="B354" s="25" t="str">
        <x:v>_Measures</x:v>
      </x:c>
      <x:c r="C354" s="25" t="str">
        <x:v>Business metric</x:v>
      </x:c>
      <x:c r="D354" s="25" t="str">
        <x:v>GOLD-KPI-244</x:v>
      </x:c>
      <x:c r="E354" s="25" t="str">
        <x:v>No direct saved visual binding</x:v>
      </x:c>
      <x:c r="F354" s="25" t="str">
        <x:v>gold.dim_date; gold.fact_offer; gold.fact_referral</x:v>
      </x:c>
      <x:c r="G354" s="25" t="str">
        <x:v>CALCULATE ( [Offers on Referrals Under Offer], DATEADD ( 'dim_date'[date], -1, MONTH ) )</x:v>
      </x:c>
      <x:c r="H354" s="25" t="str">
        <x:v>KPI_LATEST_CALCULATIONS.md#business-offers-on-referrals-under-offer-previous-month</x:v>
      </x:c>
      <x:c r="I354" s="25" t="str">
        <x:v>Saved definition; runtime/acceptance pending</x:v>
      </x:c>
    </x:row>
    <x:row r="355" ht="33" customHeight="1">
      <x:c r="A355" s="25" t="str">
        <x:v>Offers on Referrals Under Offer Variance</x:v>
      </x:c>
      <x:c r="B355" s="25" t="str">
        <x:v>_Measures</x:v>
      </x:c>
      <x:c r="C355" s="25" t="str">
        <x:v>Business metric</x:v>
      </x:c>
      <x:c r="D355" s="25" t="str">
        <x:v>GOLD-KPI-245</x:v>
      </x:c>
      <x:c r="E355" s="25" t="str">
        <x:v>No direct saved visual binding</x:v>
      </x:c>
      <x:c r="F355" s="25" t="str">
        <x:v>gold.dim_date; gold.fact_offer; gold.fact_referral</x:v>
      </x:c>
      <x:c r="G355" s="25" t="str">
        <x:v>[Offers on Referrals Under Offer] - [Offers on Referrals Under Offer Previous Month]</x:v>
      </x:c>
      <x:c r="H355" s="25" t="str">
        <x:v>KPI_LATEST_CALCULATIONS.md#business-offers-on-referrals-under-offer-variance</x:v>
      </x:c>
      <x:c r="I355" s="25" t="str">
        <x:v>Saved definition; runtime/acceptance pending</x:v>
      </x:c>
    </x:row>
    <x:row r="356" ht="33" customHeight="1">
      <x:c r="A356" s="25" t="str">
        <x:v>Offers on Referrals Under Offer Variance Indicator</x:v>
      </x:c>
      <x:c r="B356" s="25" t="str">
        <x:v>_Measures</x:v>
      </x:c>
      <x:c r="C356" s="25" t="str">
        <x:v>Display/filter helper</x:v>
      </x:c>
      <x:c r="D356" s="25" t="str">
        <x:v>Helper/context; not registered as an additional KPI</x:v>
      </x:c>
      <x:c r="E356" s="25" t="str">
        <x:v>No direct saved visual binding</x:v>
      </x:c>
      <x:c r="F356" s="25" t="str">
        <x:v>gold.dim_date; gold.fact_offer; gold.fact_referral</x:v>
      </x:c>
      <x:c r="G356" s="25" t="str">
        <x:v>IF ( [Offers on Referrals Under Offer Variance] &gt; 0, "▲", IF ( [Offers on Referrals Under Offer Variance] &lt; 0, "▼", "–" ) )</x:v>
      </x:c>
      <x:c r="H356" s="25" t="str">
        <x:v>KPI_LATEST_CALCULATIONS.md#business-offers-on-referrals-under-offer-variance-indicator</x:v>
      </x:c>
      <x:c r="I356" s="25" t="str">
        <x:v>Saved definition; runtime/acceptance pending</x:v>
      </x:c>
    </x:row>
    <x:row r="357" ht="46" customHeight="1">
      <x:c r="A357" s="25" t="str">
        <x:v>Offers on Referrals Under Offer Variance Indicator Color</x:v>
      </x:c>
      <x:c r="B357" s="25" t="str">
        <x:v>_Measures</x:v>
      </x:c>
      <x:c r="C357" s="25" t="str">
        <x:v>Display/filter helper</x:v>
      </x:c>
      <x:c r="D357" s="25" t="str">
        <x:v>Helper/context; not registered as an additional KPI</x:v>
      </x:c>
      <x:c r="E357" s="25" t="str">
        <x:v>No direct saved visual binding</x:v>
      </x:c>
      <x:c r="F357" s="25" t="str">
        <x:v>gold.dim_date; gold.fact_offer; gold.fact_referral</x:v>
      </x:c>
      <x:c r="G357" s="25" t="str">
        <x:v>IF ( [Offers on Referrals Under Offer Variance] &gt; 0, "green", IF ( [Offers on Referrals Under Offer Variance] &lt; 0, "red", "grey" ) )</x:v>
      </x:c>
      <x:c r="H357" s="25" t="str">
        <x:v>KPI_LATEST_CALCULATIONS.md#business-offers-on-referrals-under-offer-variance-indicator-color</x:v>
      </x:c>
      <x:c r="I357" s="25" t="str">
        <x:v>Saved definition; runtime/acceptance pending</x:v>
      </x:c>
    </x:row>
    <x:row r="358" ht="33" customHeight="1">
      <x:c r="A358" s="25" t="str">
        <x:v>Offers per Provider (Under Offer Referrals)</x:v>
      </x:c>
      <x:c r="B358" s="25" t="str">
        <x:v>_Measures</x:v>
      </x:c>
      <x:c r="C358" s="25" t="str">
        <x:v>Business metric</x:v>
      </x:c>
      <x:c r="D358" s="25" t="str">
        <x:v>KPI-37</x:v>
      </x:c>
      <x:c r="E358" s="25" t="str">
        <x:v>Offers Overview</x:v>
      </x:c>
      <x:c r="F358" s="25" t="str">
        <x:v>gold.fact_offer; gold.fact_referral</x:v>
      </x:c>
      <x:c r="G358" s="25" t="str">
        <x:v>DIVIDE ( [Offers on Referrals Under Offer], [No. Providers Who Made Offers], 0 )</x:v>
      </x:c>
      <x:c r="H358" s="25" t="str">
        <x:v>KPI_LATEST_CALCULATIONS.md#business-offers-per-provider-under-offer-referrals</x:v>
      </x:c>
      <x:c r="I358" s="25" t="str">
        <x:v>Saved definition; runtime/acceptance pending</x:v>
      </x:c>
    </x:row>
    <x:row r="359" ht="72" customHeight="1">
      <x:c r="A359" s="25" t="str">
        <x:v>Offers with a Decision</x:v>
      </x:c>
      <x:c r="B359" s="25" t="str">
        <x:v>_Measures</x:v>
      </x:c>
      <x:c r="C359" s="25" t="str">
        <x:v>Business metric</x:v>
      </x:c>
      <x:c r="D359" s="25" t="str">
        <x:v>GOLD-KPI-016</x:v>
      </x:c>
      <x:c r="E359" s="25" t="str">
        <x:v>No direct saved visual binding</x:v>
      </x:c>
      <x:c r="F359" s="25" t="str">
        <x:v>gold.fact_offer</x:v>
      </x:c>
      <x:c r="G359" s="25" t="str">
        <x:v>CALCULATE (
			    [Offers Submitted],
			    FILTER ( 'fact_offer', NOT ISBLANK ( 'fact_offer'[offer_decision_date] ) )
			)</x:v>
      </x:c>
      <x:c r="H359" s="25" t="str">
        <x:v>KPI_LATEST_CALCULATIONS.md#business-offers-with-a-decision</x:v>
      </x:c>
      <x:c r="I359" s="25" t="str">
        <x:v>Saved definition; runtime/acceptance pending</x:v>
      </x:c>
    </x:row>
    <x:row r="360" ht="46" customHeight="1">
      <x:c r="A360" s="25" t="str">
        <x:v>Offers with preferred-city distance</x:v>
      </x:c>
      <x:c r="B360" s="25" t="str">
        <x:v>_Explore Measures</x:v>
      </x:c>
      <x:c r="C360" s="25" t="str">
        <x:v>Business metric</x:v>
      </x:c>
      <x:c r="D360" s="25" t="str">
        <x:v>GOLD-KPI-246</x:v>
      </x:c>
      <x:c r="E360" s="25" t="str">
        <x:v>No direct saved visual binding</x:v>
      </x:c>
      <x:c r="F360" s="25" t="str">
        <x:v>gold.fact_offer</x:v>
      </x:c>
      <x:c r="G360" s="25" t="str">
        <x:v>CALCULATE([Offers Submitted],KEEPFILTERS(FILTER('fact_offer','fact_offer'[referral_to_home_distance_status]="APPROXIMATE_PREFERENCE_CITY" &amp;&amp; NOT ISBLANK('fact_offer'[referral_to_home_distance_km]))))</x:v>
      </x:c>
      <x:c r="H360" s="25" t="str">
        <x:v>KPI_LATEST_CALCULATIONS.md#business-offers-with-preferred-city-distance</x:v>
      </x:c>
      <x:c r="I360" s="25" t="str">
        <x:v>Saved definition; runtime/acceptance pending</x:v>
      </x:c>
    </x:row>
    <x:row r="361" ht="33" customHeight="1">
      <x:c r="A361" s="25" t="str">
        <x:v>Offers without preferred-city distance</x:v>
      </x:c>
      <x:c r="B361" s="25" t="str">
        <x:v>_Explore Measures</x:v>
      </x:c>
      <x:c r="C361" s="25" t="str">
        <x:v>Business metric</x:v>
      </x:c>
      <x:c r="D361" s="25" t="str">
        <x:v>GOLD-KPI-247</x:v>
      </x:c>
      <x:c r="E361" s="25" t="str">
        <x:v>Offer Locations</x:v>
      </x:c>
      <x:c r="F361" s="25" t="str">
        <x:v>gold.fact_offer</x:v>
      </x:c>
      <x:c r="G361" s="25" t="str">
        <x:v>[Offers Submitted]-[Offers with preferred-city distance]</x:v>
      </x:c>
      <x:c r="H361" s="25" t="str">
        <x:v>KPI_LATEST_CALCULATIONS.md#business-offers-without-preferred-city-distance</x:v>
      </x:c>
      <x:c r="I361" s="25" t="str">
        <x:v>Saved definition; runtime/acceptance pending</x:v>
      </x:c>
    </x:row>
    <x:row r="362" ht="111" customHeight="1">
      <x:c r="A362" s="25" t="str">
        <x:v>Oldest Draft Age Days</x:v>
      </x:c>
      <x:c r="B362" s="25" t="str">
        <x:v>_Measures</x:v>
      </x:c>
      <x:c r="C362" s="25" t="str">
        <x:v>Business metric</x:v>
      </x:c>
      <x:c r="D362" s="25" t="str">
        <x:v>KPI-60</x:v>
      </x:c>
      <x:c r="E362" s="25" t="str">
        <x:v>Draft Offers</x:v>
      </x:c>
      <x:c r="F362" s="25" t="str">
        <x:v>gold.fact_offer</x:v>
      </x:c>
      <x:c r="G362" s="25" t="str">
        <x:v>MAXX (
				FILTER (
					'fact_offer',
					LOWER ( COALESCE ( 'fact_offer'[offer_status], "" ) ) = "draft"
						&amp;&amp; NOT ISBLANK ( 'fact_offer'[offer_age_days] )
				),
				'fact_offer'[offer_age_days]
			)</x:v>
      </x:c>
      <x:c r="H362" s="25" t="str">
        <x:v>KPI_LATEST_CALCULATIONS.md#business-oldest-draft-age-days</x:v>
      </x:c>
      <x:c r="I362" s="25" t="str">
        <x:v>Saved definition; runtime/acceptance pending</x:v>
      </x:c>
    </x:row>
    <x:row r="363" ht="72" customHeight="1">
      <x:c r="A363" s="25" t="str">
        <x:v>Open On-Track Referrals at Snapshot</x:v>
      </x:c>
      <x:c r="B363" s="25" t="str">
        <x:v>_Measures</x:v>
      </x:c>
      <x:c r="C363" s="25" t="str">
        <x:v>Business metric</x:v>
      </x:c>
      <x:c r="D363" s="25" t="str">
        <x:v>GOLD-KPI-033</x:v>
      </x:c>
      <x:c r="E363" s="25" t="str">
        <x:v>No direct saved visual binding</x:v>
      </x:c>
      <x:c r="F363" s="25" t="str">
        <x:v>gold.fact_referral_snapshot</x:v>
      </x:c>
      <x:c r="G363" s="25" t="str">
        <x:v>CALCULATE (
			    [Snapshot Referrals],
			    'fact_referral_snapshot'[required_placement_date_outcome] = "Open on track"
			)</x:v>
      </x:c>
      <x:c r="H363" s="25" t="str">
        <x:v>KPI_LATEST_CALCULATIONS.md#business-open-on-track-referrals-at-snapshot</x:v>
      </x:c>
      <x:c r="I363" s="25" t="str">
        <x:v>Saved definition; runtime/acceptance pending</x:v>
      </x:c>
    </x:row>
    <x:row r="364" ht="24" customHeight="1">
      <x:c r="A364" s="25" t="str">
        <x:v>Open Overdue Referrals</x:v>
      </x:c>
      <x:c r="B364" s="25" t="str">
        <x:v>_Measures</x:v>
      </x:c>
      <x:c r="C364" s="25" t="str">
        <x:v>Business metric</x:v>
      </x:c>
      <x:c r="D364" s="25" t="str">
        <x:v>GOLD-KPI-007</x:v>
      </x:c>
      <x:c r="E364" s="25" t="str">
        <x:v>Target &amp; Urgency Performance</x:v>
      </x:c>
      <x:c r="F364" s="25" t="str">
        <x:v>gold.fact_referral</x:v>
      </x:c>
      <x:c r="G364" s="25" t="str">
        <x:v>CALCULATE ( [Total Referrals], 'fact_referral'[is_open_overdue] = TRUE () )</x:v>
      </x:c>
      <x:c r="H364" s="25" t="str">
        <x:v>KPI_LATEST_CALCULATIONS.md#business-open-overdue-referrals</x:v>
      </x:c>
      <x:c r="I364" s="25" t="str">
        <x:v>Saved definition; runtime/acceptance pending</x:v>
      </x:c>
    </x:row>
    <x:row r="365" ht="33" customHeight="1">
      <x:c r="A365" s="25" t="str">
        <x:v>Open Overdue Referrals at Snapshot</x:v>
      </x:c>
      <x:c r="B365" s="25" t="str">
        <x:v>_Measures</x:v>
      </x:c>
      <x:c r="C365" s="25" t="str">
        <x:v>Business metric</x:v>
      </x:c>
      <x:c r="D365" s="25" t="str">
        <x:v>GOLD-KPI-032</x:v>
      </x:c>
      <x:c r="E365" s="25" t="str">
        <x:v>Referral Snapshots</x:v>
      </x:c>
      <x:c r="F365" s="25" t="str">
        <x:v>gold.fact_referral_snapshot</x:v>
      </x:c>
      <x:c r="G365" s="25" t="str">
        <x:v>CALCULATE ( [Snapshot Referrals], 'fact_referral_snapshot'[is_open_overdue] = TRUE () )</x:v>
      </x:c>
      <x:c r="H365" s="25" t="str">
        <x:v>KPI_LATEST_CALCULATIONS.md#business-open-overdue-referrals-at-snapshot</x:v>
      </x:c>
      <x:c r="I365" s="25" t="str">
        <x:v>Saved definition; runtime/acceptance pending</x:v>
      </x:c>
    </x:row>
    <x:row r="366" ht="33" customHeight="1">
      <x:c r="A366" s="25" t="str">
        <x:v>Open Referral Rate at Snapshot</x:v>
      </x:c>
      <x:c r="B366" s="25" t="str">
        <x:v>_Measures</x:v>
      </x:c>
      <x:c r="C366" s="25" t="str">
        <x:v>Business metric</x:v>
      </x:c>
      <x:c r="D366" s="25" t="str">
        <x:v>GOLD-KPI-034</x:v>
      </x:c>
      <x:c r="E366" s="25" t="str">
        <x:v>No direct saved visual binding</x:v>
      </x:c>
      <x:c r="F366" s="25" t="str">
        <x:v>gold.fact_referral_snapshot</x:v>
      </x:c>
      <x:c r="G366" s="25" t="str">
        <x:v>DIVIDE ( [Open Referrals at Snapshot], [Snapshot Referrals] )</x:v>
      </x:c>
      <x:c r="H366" s="25" t="str">
        <x:v>KPI_LATEST_CALCULATIONS.md#business-open-referral-rate-at-snapshot</x:v>
      </x:c>
      <x:c r="I366" s="25" t="str">
        <x:v>Saved definition; runtime/acceptance pending</x:v>
      </x:c>
    </x:row>
    <x:row r="367" ht="46" customHeight="1">
      <x:c r="A367" s="25" t="str">
        <x:v>Open Referrals</x:v>
      </x:c>
      <x:c r="B367" s="25" t="str">
        <x:v>_Measures</x:v>
      </x:c>
      <x:c r="C367" s="25" t="str">
        <x:v>Business metric</x:v>
      </x:c>
      <x:c r="D367" s="25" t="str">
        <x:v>KPI-08</x:v>
      </x:c>
      <x:c r="E367" s="25" t="str">
        <x:v>Overall Performance; Referral Detail (Drillthrough); Referral Explorer (Original); Referrals</x:v>
      </x:c>
      <x:c r="F367" s="25" t="str">
        <x:v>gold.fact_referral</x:v>
      </x:c>
      <x:c r="G367" s="25" t="str">
        <x:v>CALCULATE ( [Total Referrals], 'fact_referral'[is_open] = TRUE () )</x:v>
      </x:c>
      <x:c r="H367" s="25" t="str">
        <x:v>KPI_LATEST_CALCULATIONS.md#business-open-referrals</x:v>
      </x:c>
      <x:c r="I367" s="25" t="str">
        <x:v>Saved definition; runtime/acceptance pending</x:v>
      </x:c>
    </x:row>
    <x:row r="368" ht="111" customHeight="1">
      <x:c r="A368" s="25" t="str">
        <x:v>Open Referrals Due in 3 Days</x:v>
      </x:c>
      <x:c r="B368" s="25" t="str">
        <x:v>_Design Measures</x:v>
      </x:c>
      <x:c r="C368" s="25" t="str">
        <x:v>Business metric</x:v>
      </x:c>
      <x:c r="D368" s="25" t="str">
        <x:v>GOLD-KPI-251</x:v>
      </x:c>
      <x:c r="E368" s="25" t="str">
        <x:v>Target &amp; Urgency Performance</x:v>
      </x:c>
      <x:c r="F368" s="25" t="str">
        <x:v>gold.fact_referral</x:v>
      </x:c>
      <x:c r="G368" s="25" t="str">
        <x:v>COUNTROWS ( FILTER ( 'fact_referral',
			    'fact_referral'[is_open] = TRUE () &amp;&amp; NOT ISBLANK ( 'fact_referral'[required_placement_date] )
			    &amp;&amp; NOT ISBLANK ( 'fact_referral'[as_of_date] )
			    &amp;&amp; INT ( 'fact_referral'[required_placement_date] ) &gt;= INT ( 'fact_referral'[as_of_date] )
			    &amp;&amp; INT ( 'fact_referral'[required_placement_date] ) &lt;= INT ( 'fact_referral'[as_of_date] ) + 3 ) )</x:v>
      </x:c>
      <x:c r="H368" s="25" t="str">
        <x:v>KPI_LATEST_CALCULATIONS.md#business-open-referrals-due-in-3-days</x:v>
      </x:c>
      <x:c r="I368" s="25" t="str">
        <x:v>Saved definition; runtime/acceptance pending</x:v>
      </x:c>
    </x:row>
    <x:row r="369" ht="33" customHeight="1">
      <x:c r="A369" s="25" t="str">
        <x:v>Open Referrals MoM %</x:v>
      </x:c>
      <x:c r="B369" s="25" t="str">
        <x:v>_Measures</x:v>
      </x:c>
      <x:c r="C369" s="25" t="str">
        <x:v>Business metric</x:v>
      </x:c>
      <x:c r="D369" s="25" t="str">
        <x:v>GOLD-KPI-252</x:v>
      </x:c>
      <x:c r="E369" s="25" t="str">
        <x:v>No direct saved visual binding</x:v>
      </x:c>
      <x:c r="F369" s="25" t="str">
        <x:v>gold.dim_snapshot_month; gold.fact_referral_snapshot</x:v>
      </x:c>
      <x:c r="G369" s="25" t="str">
        <x:v>DIVIDE ( [Open Referrals Variance], [Open Referrals Previous Month] )</x:v>
      </x:c>
      <x:c r="H369" s="25" t="str">
        <x:v>KPI_LATEST_CALCULATIONS.md#business-open-referrals-mom-percent</x:v>
      </x:c>
      <x:c r="I369" s="25" t="str">
        <x:v>Saved definition; runtime/acceptance pending</x:v>
      </x:c>
    </x:row>
    <x:row r="370" ht="46" customHeight="1">
      <x:c r="A370" s="25" t="str">
        <x:v>Open Referrals Previous Month</x:v>
      </x:c>
      <x:c r="B370" s="25" t="str">
        <x:v>_Measures</x:v>
      </x:c>
      <x:c r="C370" s="25" t="str">
        <x:v>Business metric</x:v>
      </x:c>
      <x:c r="D370" s="25" t="str">
        <x:v>GOLD-KPI-253</x:v>
      </x:c>
      <x:c r="E370" s="25" t="str">
        <x:v>Draft Offers; IPA Overview; Offer Locations; Offers Overview; Referrals; Requirement Matrix Overview</x:v>
      </x:c>
      <x:c r="F370" s="25" t="str">
        <x:v>gold.dim_snapshot_month; gold.fact_referral_snapshot</x:v>
      </x:c>
      <x:c r="G370" s="25" t="str">
        <x:v>CALCULATE ( [Open Referrals at Snapshot], DATEADD ( 'dim_snapshot_month'[month_start], -1, MONTH ) )</x:v>
      </x:c>
      <x:c r="H370" s="25" t="str">
        <x:v>KPI_LATEST_CALCULATIONS.md#business-open-referrals-previous-month</x:v>
      </x:c>
      <x:c r="I370" s="25" t="str">
        <x:v>Saved definition; runtime/acceptance pending</x:v>
      </x:c>
    </x:row>
    <x:row r="371" ht="72" customHeight="1">
      <x:c r="A371" s="25" t="str">
        <x:v>Open Referrals Stalled 7+ Days</x:v>
      </x:c>
      <x:c r="B371" s="25" t="str">
        <x:v>_Measures</x:v>
      </x:c>
      <x:c r="C371" s="25" t="str">
        <x:v>Business metric</x:v>
      </x:c>
      <x:c r="D371" s="25" t="str">
        <x:v>GOLD-KPI-013</x:v>
      </x:c>
      <x:c r="E371" s="25" t="str">
        <x:v>No direct saved visual binding</x:v>
      </x:c>
      <x:c r="F371" s="25" t="str">
        <x:v>gold.fact_referral</x:v>
      </x:c>
      <x:c r="G371" s="25" t="str">
        <x:v>CALCULATE (
			    [Total Referrals],
			    FILTER ( 'fact_referral', 'fact_referral'[is_open] = TRUE () &amp;&amp; 'fact_referral'[days_without_activity] &gt;= 7 )
			)</x:v>
      </x:c>
      <x:c r="H371" s="25" t="str">
        <x:v>KPI_LATEST_CALCULATIONS.md#business-open-referrals-stalled-7-days</x:v>
      </x:c>
      <x:c r="I371" s="25" t="str">
        <x:v>Saved definition; runtime/acceptance pending</x:v>
      </x:c>
    </x:row>
    <x:row r="372" ht="33" customHeight="1">
      <x:c r="A372" s="25" t="str">
        <x:v>Open Referrals Variance</x:v>
      </x:c>
      <x:c r="B372" s="25" t="str">
        <x:v>_Measures</x:v>
      </x:c>
      <x:c r="C372" s="25" t="str">
        <x:v>Business metric</x:v>
      </x:c>
      <x:c r="D372" s="25" t="str">
        <x:v>GOLD-KPI-254</x:v>
      </x:c>
      <x:c r="E372" s="25" t="str">
        <x:v>No direct saved visual binding</x:v>
      </x:c>
      <x:c r="F372" s="25" t="str">
        <x:v>gold.dim_snapshot_month; gold.fact_referral_snapshot</x:v>
      </x:c>
      <x:c r="G372" s="25" t="str">
        <x:v>[Open Referrals at Snapshot] - [Open Referrals Previous Month]</x:v>
      </x:c>
      <x:c r="H372" s="25" t="str">
        <x:v>KPI_LATEST_CALCULATIONS.md#business-open-referrals-variance</x:v>
      </x:c>
      <x:c r="I372" s="25" t="str">
        <x:v>Saved definition; runtime/acceptance pending</x:v>
      </x:c>
    </x:row>
    <x:row r="373" ht="33" customHeight="1">
      <x:c r="A373" s="25" t="str">
        <x:v>Open Referrals Variance Indicator</x:v>
      </x:c>
      <x:c r="B373" s="25" t="str">
        <x:v>_Measures</x:v>
      </x:c>
      <x:c r="C373" s="25" t="str">
        <x:v>Display/filter helper</x:v>
      </x:c>
      <x:c r="D373" s="25" t="str">
        <x:v>Helper/context; not registered as an additional KPI</x:v>
      </x:c>
      <x:c r="E373" s="25" t="str">
        <x:v>No direct saved visual binding</x:v>
      </x:c>
      <x:c r="F373" s="25" t="str">
        <x:v>gold.dim_snapshot_month; gold.fact_referral_snapshot</x:v>
      </x:c>
      <x:c r="G373" s="25" t="str">
        <x:v>IF ( [Open Referrals Variance] &gt; 0, "▲", IF ( [Open Referrals Variance] &lt; 0, "▼", "–" ) )</x:v>
      </x:c>
      <x:c r="H373" s="25" t="str">
        <x:v>KPI_LATEST_CALCULATIONS.md#business-open-referrals-variance-indicator</x:v>
      </x:c>
      <x:c r="I373" s="25" t="str">
        <x:v>Saved definition; runtime/acceptance pending</x:v>
      </x:c>
    </x:row>
    <x:row r="374" ht="33" customHeight="1">
      <x:c r="A374" s="25" t="str">
        <x:v>Open Referrals Variance Indicator Color</x:v>
      </x:c>
      <x:c r="B374" s="25" t="str">
        <x:v>_Measures</x:v>
      </x:c>
      <x:c r="C374" s="25" t="str">
        <x:v>Display/filter helper</x:v>
      </x:c>
      <x:c r="D374" s="25" t="str">
        <x:v>Helper/context; not registered as an additional KPI</x:v>
      </x:c>
      <x:c r="E374" s="25" t="str">
        <x:v>No direct saved visual binding</x:v>
      </x:c>
      <x:c r="F374" s="25" t="str">
        <x:v>gold.dim_snapshot_month; gold.fact_referral_snapshot</x:v>
      </x:c>
      <x:c r="G374" s="25" t="str">
        <x:v>IF ( [Open Referrals Variance] &gt; 0, "green", IF ( [Open Referrals Variance] &lt; 0, "red", "grey" ) )</x:v>
      </x:c>
      <x:c r="H374" s="25" t="str">
        <x:v>KPI_LATEST_CALCULATIONS.md#business-open-referrals-variance-indicator-color</x:v>
      </x:c>
      <x:c r="I374" s="25" t="str">
        <x:v>Saved definition; runtime/acceptance pending</x:v>
      </x:c>
    </x:row>
    <x:row r="375" ht="33" customHeight="1">
      <x:c r="A375" s="25" t="str">
        <x:v>Open Referrals at Snapshot</x:v>
      </x:c>
      <x:c r="B375" s="25" t="str">
        <x:v>_Measures</x:v>
      </x:c>
      <x:c r="C375" s="25" t="str">
        <x:v>Business metric</x:v>
      </x:c>
      <x:c r="D375" s="25" t="str">
        <x:v>GOLD-KPI-029</x:v>
      </x:c>
      <x:c r="E375" s="25" t="str">
        <x:v>Referral Snapshots</x:v>
      </x:c>
      <x:c r="F375" s="25" t="str">
        <x:v>gold.fact_referral_snapshot</x:v>
      </x:c>
      <x:c r="G375" s="25" t="str">
        <x:v>CALCULATE ( [Snapshot Referrals], 'fact_referral_snapshot'[is_open] = TRUE () )</x:v>
      </x:c>
      <x:c r="H375" s="25" t="str">
        <x:v>KPI_LATEST_CALCULATIONS.md#business-open-referrals-at-snapshot</x:v>
      </x:c>
      <x:c r="I375" s="25" t="str">
        <x:v>Saved definition; runtime/acceptance pending</x:v>
      </x:c>
    </x:row>
    <x:row r="376" ht="98" customHeight="1">
      <x:c r="A376" s="25" t="str">
        <x:v>Open Referrals by Age</x:v>
      </x:c>
      <x:c r="B376" s="25" t="str">
        <x:v>_Design Measures</x:v>
      </x:c>
      <x:c r="C376" s="25" t="str">
        <x:v>Business metric</x:v>
      </x:c>
      <x:c r="D376" s="25" t="str">
        <x:v>GOLD-KPI-248</x:v>
      </x:c>
      <x:c r="E376" s="25" t="str">
        <x:v>Target &amp; Urgency Performance</x:v>
      </x:c>
      <x:c r="F376" s="25" t="str">
        <x:v>gold.fact_referral</x:v>
      </x:c>
      <x:c r="G376" s="25" t="str">
        <x:v>VAR band = SELECTEDVALUE ( 'Open Referral Age'[Ordinal] )
			RETURN COUNTROWS ( FILTER ( 'fact_referral',
			    VAR days = 'fact_referral'[days_open]
			    VAR bucket = SWITCH ( TRUE (), ISBLANK ( days ) || days &lt; 0, 6, days &lt;= 2, 1, days &lt;= 7, 2, days &lt;= 14, 3, days &lt;= 28, 4, 5 )
			    RETURN 'fact_referral'[is_open] = TRUE () &amp;&amp; ( ISBLANK ( band ) || bucket = band ) ) )</x:v>
      </x:c>
      <x:c r="H376" s="25" t="str">
        <x:v>KPI_LATEST_CALCULATIONS.md#business-open-referrals-by-age</x:v>
      </x:c>
      <x:c r="I376" s="25" t="str">
        <x:v>Saved definition; runtime/acceptance pending</x:v>
      </x:c>
    </x:row>
    <x:row r="377" ht="124" customHeight="1">
      <x:c r="A377" s="25" t="str">
        <x:v>Open Referrals by Days to Target</x:v>
      </x:c>
      <x:c r="B377" s="25" t="str">
        <x:v>_Design Measures</x:v>
      </x:c>
      <x:c r="C377" s="25" t="str">
        <x:v>Business metric</x:v>
      </x:c>
      <x:c r="D377" s="25" t="str">
        <x:v>GOLD-KPI-249</x:v>
      </x:c>
      <x:c r="E377" s="25" t="str">
        <x:v>Target &amp; Urgency Performance</x:v>
      </x:c>
      <x:c r="F377" s="25" t="str">
        <x:v>gold.fact_referral</x:v>
      </x:c>
      <x:c r="G377" s="25" t="str">
        <x:v>VAR band = SELECTEDVALUE ( 'Days to Target'[Ordinal] )
			RETURN COUNTROWS ( FILTER ( 'fact_referral',
			    VAR target = 'fact_referral'[required_placement_date]
			    VAR asof = 'fact_referral'[as_of_date]
			    VAR days = INT ( target ) - INT ( asof )
			    VAR bucket = SWITCH ( TRUE (), ISBLANK ( target ) || ISBLANK ( asof ), 6, days &lt; 0, 5, days &lt;= 1, 1, days &lt;= 3, 2, days &lt;= 7, 3, 4 )
			    RETURN 'fact_referral'[is_open] = TRUE () &amp;&amp; ( ISBLANK ( band ) || bucket = band ) ) )</x:v>
      </x:c>
      <x:c r="H377" s="25" t="str">
        <x:v>KPI_LATEST_CALCULATIONS.md#business-open-referrals-by-days-to-target</x:v>
      </x:c>
      <x:c r="I377" s="25" t="str">
        <x:v>Saved definition; runtime/acceptance pending</x:v>
      </x:c>
    </x:row>
    <x:row r="378" ht="124" customHeight="1">
      <x:c r="A378" s="25" t="str">
        <x:v>Open Referrals by Target Status</x:v>
      </x:c>
      <x:c r="B378" s="25" t="str">
        <x:v>_Design Measures</x:v>
      </x:c>
      <x:c r="C378" s="25" t="str">
        <x:v>Business metric</x:v>
      </x:c>
      <x:c r="D378" s="25" t="str">
        <x:v>GOLD-KPI-250</x:v>
      </x:c>
      <x:c r="E378" s="25" t="str">
        <x:v>Overall Performance; Target &amp; Urgency Performance</x:v>
      </x:c>
      <x:c r="F378" s="25" t="str">
        <x:v>gold.fact_referral</x:v>
      </x:c>
      <x:c r="G378" s="25" t="str">
        <x:v>VAR band = SELECTEDVALUE ( 'Target Status'[Ordinal] )
			RETURN COUNTROWS ( FILTER ( 'fact_referral',
			    VAR target = 'fact_referral'[required_placement_date]
			    VAR asof = 'fact_referral'[as_of_date]
			    VAR days = INT ( target ) - INT ( asof )
			    VAR bucket = SWITCH ( TRUE (), ISBLANK ( target ) || ISBLANK ( asof ), 4, days &lt; 0, 3, days &lt;= 3, 2, 1 )
			    RETURN 'fact_referral'[is_open] = TRUE () &amp;&amp; ( ISBLANK ( band ) || bucket = band ) ) )</x:v>
      </x:c>
      <x:c r="H378" s="25" t="str">
        <x:v>KPI_LATEST_CALCULATIONS.md#business-open-referrals-by-target-status</x:v>
      </x:c>
      <x:c r="I378" s="25" t="str">
        <x:v>Saved definition; runtime/acceptance pending</x:v>
      </x:c>
    </x:row>
    <x:row r="379" ht="24" customHeight="1">
      <x:c r="A379" s="25" t="str">
        <x:v>Other Gender Referrals</x:v>
      </x:c>
      <x:c r="B379" s="25" t="str">
        <x:v>_Measures</x:v>
      </x:c>
      <x:c r="C379" s="25" t="str">
        <x:v>Business metric</x:v>
      </x:c>
      <x:c r="D379" s="25" t="str">
        <x:v>KPI-06; GOLD-KPI-112</x:v>
      </x:c>
      <x:c r="E379" s="25" t="str">
        <x:v>No direct saved visual binding</x:v>
      </x:c>
      <x:c r="F379" s="25" t="str">
        <x:v>gold.dim_person; gold.fact_referral</x:v>
      </x:c>
      <x:c r="G379" s="25" t="str">
        <x:v>CALCULATE ( [Total Referrals], 'dim_person'[gender_clean] = "Other" )</x:v>
      </x:c>
      <x:c r="H379" s="25" t="str">
        <x:v>KPI_LATEST_CALCULATIONS.md#business-other-gender-referrals</x:v>
      </x:c>
      <x:c r="I379" s="25" t="str">
        <x:v>Saved definition; runtime/acceptance pending</x:v>
      </x:c>
    </x:row>
    <x:row r="380" ht="24" customHeight="1">
      <x:c r="A380" s="25" t="str">
        <x:v>Other Referrals</x:v>
      </x:c>
      <x:c r="B380" s="25" t="str">
        <x:v>_Measures</x:v>
      </x:c>
      <x:c r="C380" s="25" t="str">
        <x:v>Business metric</x:v>
      </x:c>
      <x:c r="D380" s="25" t="str">
        <x:v>GOLD-KPI-255</x:v>
      </x:c>
      <x:c r="E380" s="25" t="str">
        <x:v>Referrals</x:v>
      </x:c>
      <x:c r="F380" s="25" t="str">
        <x:v>gold.dim_person; gold.fact_referral</x:v>
      </x:c>
      <x:c r="G380" s="25" t="str">
        <x:v>[Total Gendered Referrals] - [Male Referrals] - [Female Referrals]</x:v>
      </x:c>
      <x:c r="H380" s="25" t="str">
        <x:v>KPI_LATEST_CALCULATIONS.md#business-other-referrals</x:v>
      </x:c>
      <x:c r="I380" s="25" t="str">
        <x:v>Saved definition; runtime/acceptance pending</x:v>
      </x:c>
    </x:row>
    <x:row r="381" ht="72" customHeight="1">
      <x:c r="A381" s="25" t="str">
        <x:v>Pending Offers</x:v>
      </x:c>
      <x:c r="B381" s="25" t="str">
        <x:v>_Measures</x:v>
      </x:c>
      <x:c r="C381" s="25" t="str">
        <x:v>Business metric</x:v>
      </x:c>
      <x:c r="D381" s="25" t="str">
        <x:v>GOLD-KPI-053</x:v>
      </x:c>
      <x:c r="E381" s="25" t="str">
        <x:v>No direct saved visual binding</x:v>
      </x:c>
      <x:c r="F381" s="25" t="str">
        <x:v>gold.fact_offer</x:v>
      </x:c>
      <x:c r="G381" s="25" t="str">
        <x:v>CALCULATE (
			    [Offers Submitted],
			    KEEPFILTERS ( FILTER ( 'fact_offer', LOWER ( COALESCE ( 'fact_offer'[offer_status], "" ) ) IN { "pending", "offer_made" } ) )
			)</x:v>
      </x:c>
      <x:c r="H381" s="25" t="str">
        <x:v>KPI_LATEST_CALCULATIONS.md#business-pending-offers</x:v>
      </x:c>
      <x:c r="I381" s="25" t="str">
        <x:v>Saved definition; runtime/acceptance pending</x:v>
      </x:c>
    </x:row>
    <x:row r="382" ht="72" customHeight="1">
      <x:c r="A382" s="25" t="str">
        <x:v>Pending Offers (Under Offer Referrals)</x:v>
      </x:c>
      <x:c r="B382" s="25" t="str">
        <x:v>_Measures</x:v>
      </x:c>
      <x:c r="C382" s="25" t="str">
        <x:v>Business metric</x:v>
      </x:c>
      <x:c r="D382" s="25" t="str">
        <x:v>KPI-18</x:v>
      </x:c>
      <x:c r="E382" s="25" t="str">
        <x:v>Draft Offers; Historic; Offers Overview</x:v>
      </x:c>
      <x:c r="F382" s="25" t="str">
        <x:v>gold.fact_offer; gold.fact_referral</x:v>
      </x:c>
      <x:c r="G382" s="25" t="str">
        <x:v>CALCULATE (
			    [Pending Offers],
			    FILTER ( 'fact_referral', 'fact_referral'[is_open] = TRUE () &amp;&amp; 'fact_referral'[current_status] = "UNDER_OFFER" )
			)</x:v>
      </x:c>
      <x:c r="H382" s="25" t="str">
        <x:v>KPI_LATEST_CALCULATIONS.md#business-pending-offers-under-offer-referrals</x:v>
      </x:c>
      <x:c r="I382" s="25" t="str">
        <x:v>Saved definition; runtime/acceptance pending</x:v>
      </x:c>
    </x:row>
    <x:row r="383" ht="85" customHeight="1">
      <x:c r="A383" s="25" t="str">
        <x:v>Pending Offers 0-7 Days</x:v>
      </x:c>
      <x:c r="B383" s="25" t="str">
        <x:v>_Measures</x:v>
      </x:c>
      <x:c r="C383" s="25" t="str">
        <x:v>Business metric</x:v>
      </x:c>
      <x:c r="D383" s="25" t="str">
        <x:v>KPI-67</x:v>
      </x:c>
      <x:c r="E383" s="25" t="str">
        <x:v>No direct saved visual binding</x:v>
      </x:c>
      <x:c r="F383" s="25" t="str">
        <x:v>gold.fact_offer</x:v>
      </x:c>
      <x:c r="G383" s="25" t="str">
        <x:v>CALCULATE (
			    [Pending Offers],
			    KEEPFILTERS ( FILTER ( 'fact_offer', NOT ISBLANK ( 'fact_offer'[offer_age_days] ) &amp;&amp; 'fact_offer'[offer_age_days] &gt;= 0 &amp;&amp; 'fact_offer'[offer_age_days] &lt;= 7 ) )
			)</x:v>
      </x:c>
      <x:c r="H383" s="25" t="str">
        <x:v>KPI_LATEST_CALCULATIONS.md#business-pending-offers-0-7-days</x:v>
      </x:c>
      <x:c r="I383" s="25" t="str">
        <x:v>Saved definition; runtime/acceptance pending</x:v>
      </x:c>
    </x:row>
    <x:row r="384" ht="85" customHeight="1">
      <x:c r="A384" s="25" t="str">
        <x:v>Pending Offers 15-29 Days</x:v>
      </x:c>
      <x:c r="B384" s="25" t="str">
        <x:v>_Measures</x:v>
      </x:c>
      <x:c r="C384" s="25" t="str">
        <x:v>Business metric</x:v>
      </x:c>
      <x:c r="D384" s="25" t="str">
        <x:v>GOLD-KPI-072</x:v>
      </x:c>
      <x:c r="E384" s="25" t="str">
        <x:v>No direct saved visual binding</x:v>
      </x:c>
      <x:c r="F384" s="25" t="str">
        <x:v>gold.fact_offer</x:v>
      </x:c>
      <x:c r="G384" s="25" t="str">
        <x:v>CALCULATE (
			    [Pending Offers],
			    KEEPFILTERS ( FILTER ( 'fact_offer', NOT ISBLANK ( 'fact_offer'[offer_age_days] ) &amp;&amp; 'fact_offer'[offer_age_days] &gt;= 15 &amp;&amp; 'fact_offer'[offer_age_days] &lt;= 29 ) )
			)</x:v>
      </x:c>
      <x:c r="H384" s="25" t="str">
        <x:v>KPI_LATEST_CALCULATIONS.md#business-pending-offers-15-29-days</x:v>
      </x:c>
      <x:c r="I384" s="25" t="str">
        <x:v>Saved definition; runtime/acceptance pending</x:v>
      </x:c>
    </x:row>
    <x:row r="385" ht="33" customHeight="1">
      <x:c r="A385" s="25" t="str">
        <x:v>Pending Offers 15–30 Days</x:v>
      </x:c>
      <x:c r="B385" s="25" t="str">
        <x:v>_Measures</x:v>
      </x:c>
      <x:c r="C385" s="25" t="str">
        <x:v>Business metric</x:v>
      </x:c>
      <x:c r="D385" s="25" t="str">
        <x:v>KPI-71; KPI-65</x:v>
      </x:c>
      <x:c r="E385" s="25" t="str">
        <x:v>No direct saved visual binding</x:v>
      </x:c>
      <x:c r="F385" s="25" t="str">
        <x:v>gold.fact_offer</x:v>
      </x:c>
      <x:c r="G385" s="25" t="str">
        <x:v>CALCULATE ( [Pending Offers], KEEPFILTERS ( FILTER ( 'fact_offer', 'fact_offer'[offer_age_days] &gt;= 15 &amp;&amp; 'fact_offer'[offer_age_days] &lt;= 30 ) ) )</x:v>
      </x:c>
      <x:c r="H385" s="25" t="str">
        <x:v>KPI_LATEST_CALCULATIONS.md#business-pending-offers-15-30-days</x:v>
      </x:c>
      <x:c r="I385" s="25" t="str">
        <x:v>Saved definition; runtime/acceptance pending</x:v>
      </x:c>
    </x:row>
    <x:row r="386" ht="72" customHeight="1">
      <x:c r="A386" s="25" t="str">
        <x:v>Pending Offers 30+ Days</x:v>
      </x:c>
      <x:c r="B386" s="25" t="str">
        <x:v>_Measures</x:v>
      </x:c>
      <x:c r="C386" s="25" t="str">
        <x:v>Business metric</x:v>
      </x:c>
      <x:c r="D386" s="25" t="str">
        <x:v>KPI-72; KPI-66</x:v>
      </x:c>
      <x:c r="E386" s="25" t="str">
        <x:v>No direct saved visual binding</x:v>
      </x:c>
      <x:c r="F386" s="25" t="str">
        <x:v>gold.fact_offer</x:v>
      </x:c>
      <x:c r="G386" s="25" t="str">
        <x:v>CALCULATE (
			    [Pending Offers],
			    KEEPFILTERS ( FILTER ( 'fact_offer', NOT ISBLANK ( 'fact_offer'[offer_age_days] ) &amp;&amp; 'fact_offer'[offer_age_days] &gt;= 30 ) )
			)</x:v>
      </x:c>
      <x:c r="H386" s="25" t="str">
        <x:v>KPI_LATEST_CALCULATIONS.md#business-pending-offers-30-days</x:v>
      </x:c>
      <x:c r="I386" s="25" t="str">
        <x:v>Saved definition; runtime/acceptance pending</x:v>
      </x:c>
    </x:row>
    <x:row r="387" ht="85" customHeight="1">
      <x:c r="A387" s="25" t="str">
        <x:v>Pending Offers 8-14 Days</x:v>
      </x:c>
      <x:c r="B387" s="25" t="str">
        <x:v>_Measures</x:v>
      </x:c>
      <x:c r="C387" s="25" t="str">
        <x:v>Business metric</x:v>
      </x:c>
      <x:c r="D387" s="25" t="str">
        <x:v>KPI-70; KPI-68</x:v>
      </x:c>
      <x:c r="E387" s="25" t="str">
        <x:v>No direct saved visual binding</x:v>
      </x:c>
      <x:c r="F387" s="25" t="str">
        <x:v>gold.fact_offer</x:v>
      </x:c>
      <x:c r="G387" s="25" t="str">
        <x:v>CALCULATE (
			    [Pending Offers],
			    KEEPFILTERS ( FILTER ( 'fact_offer', NOT ISBLANK ( 'fact_offer'[offer_age_days] ) &amp;&amp; 'fact_offer'[offer_age_days] &gt;= 8 &amp;&amp; 'fact_offer'[offer_age_days] &lt;= 14 ) )
			)</x:v>
      </x:c>
      <x:c r="H387" s="25" t="str">
        <x:v>KPI_LATEST_CALCULATIONS.md#business-pending-offers-8-14-days</x:v>
      </x:c>
      <x:c r="I387" s="25" t="str">
        <x:v>Saved definition; runtime/acceptance pending</x:v>
      </x:c>
    </x:row>
    <x:row r="388" ht="33" customHeight="1">
      <x:c r="A388" s="25" t="str">
        <x:v>Pending Offers Missing or Future Date</x:v>
      </x:c>
      <x:c r="B388" s="25" t="str">
        <x:v>_Measures</x:v>
      </x:c>
      <x:c r="C388" s="25" t="str">
        <x:v>Business metric</x:v>
      </x:c>
      <x:c r="D388" s="25" t="str">
        <x:v>GOLD-KPI-256</x:v>
      </x:c>
      <x:c r="E388" s="25" t="str">
        <x:v>No direct saved visual binding</x:v>
      </x:c>
      <x:c r="F388" s="25" t="str">
        <x:v>gold.fact_offer</x:v>
      </x:c>
      <x:c r="G388" s="25" t="str">
        <x:v>CALCULATE ( [Pending Offers], KEEPFILTERS ( FILTER ( 'fact_offer', ISBLANK ( 'fact_offer'[offer_age_days] ) || 'fact_offer'[offer_age_days] &lt; 0 ) ) )</x:v>
      </x:c>
      <x:c r="H388" s="25" t="str">
        <x:v>KPI_LATEST_CALCULATIONS.md#business-pending-offers-missing-or-future-date</x:v>
      </x:c>
      <x:c r="I388" s="25" t="str">
        <x:v>Saved definition; runtime/acceptance pending</x:v>
      </x:c>
    </x:row>
    <x:row r="389" ht="111" customHeight="1">
      <x:c r="A389" s="25" t="str">
        <x:v>Pending Offers on Referrals Under Offer</x:v>
      </x:c>
      <x:c r="B389" s="25" t="str">
        <x:v>_Measures</x:v>
      </x:c>
      <x:c r="C389" s="25" t="str">
        <x:v>Business metric</x:v>
      </x:c>
      <x:c r="D389" s="25" t="str">
        <x:v>GOLD-KPI-257</x:v>
      </x:c>
      <x:c r="E389" s="25" t="str">
        <x:v>No direct saved visual binding</x:v>
      </x:c>
      <x:c r="F389" s="25" t="str">
        <x:v>gold.fact_offer; gold.fact_referral</x:v>
      </x:c>
      <x:c r="G389" s="25" t="str">
        <x:v>CALCULATE (
			    [Pending Offers],
			    FILTER (
			        'fact_referral',
			        'fact_referral'[is_open] = TRUE () &amp;&amp; 'fact_referral'[current_status] = "UNDER_OFFER"
			    )
			)</x:v>
      </x:c>
      <x:c r="H389" s="25" t="str">
        <x:v>KPI_LATEST_CALCULATIONS.md#business-pending-offers-on-referrals-under-offer</x:v>
      </x:c>
      <x:c r="I389" s="25" t="str">
        <x:v>Saved definition; runtime/acceptance pending</x:v>
      </x:c>
    </x:row>
    <x:row r="390" ht="24" customHeight="1">
      <x:c r="A390" s="25" t="str">
        <x:v>Placement Rate at Snapshot</x:v>
      </x:c>
      <x:c r="B390" s="25" t="str">
        <x:v>_Measures</x:v>
      </x:c>
      <x:c r="C390" s="25" t="str">
        <x:v>Business metric</x:v>
      </x:c>
      <x:c r="D390" s="25" t="str">
        <x:v>GOLD-KPI-035</x:v>
      </x:c>
      <x:c r="E390" s="25" t="str">
        <x:v>No direct saved visual binding</x:v>
      </x:c>
      <x:c r="F390" s="25" t="str">
        <x:v>gold.fact_referral_snapshot</x:v>
      </x:c>
      <x:c r="G390" s="25" t="str">
        <x:v>DIVIDE ( [Referrals with IPA at Snapshot], [Snapshot Referrals] )</x:v>
      </x:c>
      <x:c r="H390" s="25" t="str">
        <x:v>KPI_LATEST_CALCULATIONS.md#business-placement-rate-at-snapshot</x:v>
      </x:c>
      <x:c r="I390" s="25" t="str">
        <x:v>Saved definition; runtime/acceptance pending</x:v>
      </x:c>
    </x:row>
    <x:row r="391" ht="163" customHeight="1">
      <x:c r="A391" s="25" t="str">
        <x:v>Placement Target Hit Rate</x:v>
      </x:c>
      <x:c r="B391" s="25" t="str">
        <x:v>_Measures</x:v>
      </x:c>
      <x:c r="C391" s="25" t="str">
        <x:v>Business metric</x:v>
      </x:c>
      <x:c r="D391" s="25" t="str">
        <x:v>GOLD-KPI-009</x:v>
      </x:c>
      <x:c r="E391" s="25" t="str">
        <x:v>Overall Performance; Target &amp; Urgency Performance</x:v>
      </x:c>
      <x:c r="F391" s="25" t="str">
        <x:v>gold.fact_referral</x:v>
      </x:c>
      <x:c r="G391" s="25" t="str">
        <x:v>DIVIDE (
			    [Referrals Placed by Required Date],
			    CALCULATE (
			        [Total Referrals],
			        FILTER (
			            'fact_referral',
			            NOT ISBLANK ( 'fact_referral'[ipa_issued_date] )
			                &amp;&amp; NOT ISBLANK ( 'fact_referral'[required_placement_date] )
			        )
			    )
			)</x:v>
      </x:c>
      <x:c r="H391" s="25" t="str">
        <x:v>KPI_LATEST_CALCULATIONS.md#business-placement-target-hit-rate</x:v>
      </x:c>
      <x:c r="I391" s="25" t="str">
        <x:v>Saved definition; runtime/acceptance pending</x:v>
      </x:c>
    </x:row>
    <x:row r="392" ht="98" customHeight="1">
      <x:c r="A392" s="25" t="str">
        <x:v>Planned Referrals</x:v>
      </x:c>
      <x:c r="B392" s="25" t="str">
        <x:v>_Measures</x:v>
      </x:c>
      <x:c r="C392" s="25" t="str">
        <x:v>Business metric</x:v>
      </x:c>
      <x:c r="D392" s="25" t="str">
        <x:v>KPI-93 </x:v>
      </x:c>
      <x:c r="E392" s="25" t="str">
        <x:v>No direct saved visual binding</x:v>
      </x:c>
      <x:c r="F392" s="25" t="str">
        <x:v>gold.fact_referral</x:v>
      </x:c>
      <x:c r="G392" s="25" t="str">
        <x:v>CALCULATE (
			    [Total Referrals], KEEPFILTERS ( 'fact_referral'[current_status] IN { "OPEN", "UNDER_OFFER" } ),
			    KEEPFILTERS ( FILTER ( 'fact_referral', NOT ISBLANK ( 'fact_referral'[referral_created_date] ) &amp;&amp; NOT ISBLANK ( 'fact_referral'[required_placement_date] ) &amp;&amp; 'fact_referral'[is_emergency_placement] = FALSE () ) )
			)</x:v>
      </x:c>
      <x:c r="H392" s="25" t="str">
        <x:v>KPI_LATEST_CALCULATIONS.md#business-planned-referrals</x:v>
      </x:c>
      <x:c r="I392" s="25" t="str">
        <x:v>Saved definition; runtime/acceptance pending</x:v>
      </x:c>
    </x:row>
    <x:row r="393" ht="33" customHeight="1">
      <x:c r="A393" s="25" t="str">
        <x:v>Preferred-city distance coverage</x:v>
      </x:c>
      <x:c r="B393" s="25" t="str">
        <x:v>_Explore Measures</x:v>
      </x:c>
      <x:c r="C393" s="25" t="str">
        <x:v>Business metric</x:v>
      </x:c>
      <x:c r="D393" s="25" t="str">
        <x:v>GOLD-KPI-141</x:v>
      </x:c>
      <x:c r="E393" s="25" t="str">
        <x:v>Offer Locations</x:v>
      </x:c>
      <x:c r="F393" s="25" t="str">
        <x:v>gold.fact_offer</x:v>
      </x:c>
      <x:c r="G393" s="25" t="str">
        <x:v>DIVIDE([Offers with preferred-city distance],[Offers Submitted])</x:v>
      </x:c>
      <x:c r="H393" s="25" t="str">
        <x:v>KPI_LATEST_CALCULATIONS.md#business-preferred-city-distance-coverage</x:v>
      </x:c>
      <x:c r="I393" s="25" t="str">
        <x:v>Saved definition; runtime/acceptance pending</x:v>
      </x:c>
    </x:row>
    <x:row r="394" ht="85" customHeight="1">
      <x:c r="A394" s="25" t="str">
        <x:v>Previous Snapshot Referrals</x:v>
      </x:c>
      <x:c r="B394" s="25" t="str">
        <x:v>_Measures</x:v>
      </x:c>
      <x:c r="C394" s="25" t="str">
        <x:v>Business metric</x:v>
      </x:c>
      <x:c r="D394" s="25" t="str">
        <x:v>GOLD-KPI-258</x:v>
      </x:c>
      <x:c r="E394" s="25" t="str">
        <x:v>Referrals</x:v>
      </x:c>
      <x:c r="F394" s="25" t="str">
        <x:v>gold.dim_snapshot_month; gold.fact_referral_snapshot</x:v>
      </x:c>
      <x:c r="G394" s="25" t="str">
        <x:v>VAR current_month = [Snapshot Window Anchor]
			RETURN
				CALCULATE ( 
					[Snapshot Referrals], 
					'dim_snapshot_month'[month_start] = EDATE ( current_month, -1 )
				)</x:v>
      </x:c>
      <x:c r="H394" s="25" t="str">
        <x:v>KPI_LATEST_CALCULATIONS.md#business-previous-snapshot-referrals</x:v>
      </x:c>
      <x:c r="I394" s="25" t="str">
        <x:v>Saved definition; runtime/acceptance pending</x:v>
      </x:c>
    </x:row>
    <x:row r="395" ht="24" customHeight="1">
      <x:c r="A395" s="25" t="str">
        <x:v>Provider Assignments</x:v>
      </x:c>
      <x:c r="B395" s="25" t="str">
        <x:v>_Measures</x:v>
      </x:c>
      <x:c r="C395" s="25" t="str">
        <x:v>Business metric</x:v>
      </x:c>
      <x:c r="D395" s="25" t="str">
        <x:v>GOLD-KPI-025</x:v>
      </x:c>
      <x:c r="E395" s="25" t="str">
        <x:v>Referral Explorer</x:v>
      </x:c>
      <x:c r="F395" s="25" t="str">
        <x:v>gold.fact_referral_provider</x:v>
      </x:c>
      <x:c r="G395" s="25" t="str">
        <x:v>DISTINCTCOUNT ( 'fact_referral_provider'[referral_provider_id] )</x:v>
      </x:c>
      <x:c r="H395" s="25" t="str">
        <x:v>KPI_LATEST_CALCULATIONS.md#business-provider-assignments</x:v>
      </x:c>
      <x:c r="I395" s="25" t="str">
        <x:v>Saved definition; runtime/acceptance pending</x:v>
      </x:c>
    </x:row>
    <x:row r="396" ht="111" customHeight="1">
      <x:c r="A396" s="25" t="str">
        <x:v>Provider Average Response Hours</x:v>
      </x:c>
      <x:c r="B396" s="25" t="str">
        <x:v>_Measures</x:v>
      </x:c>
      <x:c r="C396" s="25" t="str">
        <x:v>Business metric</x:v>
      </x:c>
      <x:c r="D396" s="25" t="str">
        <x:v>GOLD-KPI-138</x:v>
      </x:c>
      <x:c r="E396" s="25" t="str">
        <x:v>No direct saved visual binding</x:v>
      </x:c>
      <x:c r="F396" s="25" t="str">
        <x:v>gold.fact_provider_kpi_monthly</x:v>
      </x:c>
      <x:c r="G396" s="25" t="str">
        <x:v>DIVIDE (
				SUMX (
					'fact_provider_kpi_monthly',
					'fact_provider_kpi_monthly'[average_response_minutes]
						* 'fact_provider_kpi_monthly'[qualifying_response_count]
				),
				[Provider Qualifying Responses] * 60
			)</x:v>
      </x:c>
      <x:c r="H396" s="25" t="str">
        <x:v>KPI_LATEST_CALCULATIONS.md#business-provider-average-response-hours</x:v>
      </x:c>
      <x:c r="I396" s="25" t="str">
        <x:v>Saved definition; runtime/acceptance pending</x:v>
      </x:c>
    </x:row>
    <x:row r="397" ht="33" customHeight="1">
      <x:c r="A397" s="25" t="str">
        <x:v>Provider Contact Referral</x:v>
      </x:c>
      <x:c r="B397" s="25" t="str">
        <x:v>_Measures</x:v>
      </x:c>
      <x:c r="C397" s="25" t="str">
        <x:v>Business metric</x:v>
      </x:c>
      <x:c r="D397" s="25" t="str">
        <x:v>GOLD-KPI-259</x:v>
      </x:c>
      <x:c r="E397" s="25" t="str">
        <x:v>Referrals</x:v>
      </x:c>
      <x:c r="F397" s="25" t="str">
        <x:v>gold.fact_referral</x:v>
      </x:c>
      <x:c r="G397" s="25" t="str">
        <x:v>CALCULATE ( [Total Referrals], KEEPFILTERS ( FILTER ( 'fact_referral', NOT ISBLANK ( 'fact_referral'[first_action_date] ) ) ) )</x:v>
      </x:c>
      <x:c r="H397" s="25" t="str">
        <x:v>KPI_LATEST_CALCULATIONS.md#business-provider-contact-referral</x:v>
      </x:c>
      <x:c r="I397" s="25" t="str">
        <x:v>Saved definition; runtime/acceptance pending</x:v>
      </x:c>
    </x:row>
    <x:row r="398" ht="33" customHeight="1">
      <x:c r="A398" s="25" t="str">
        <x:v>Provider Contact Referral Indicator</x:v>
      </x:c>
      <x:c r="B398" s="25" t="str">
        <x:v>_Measures</x:v>
      </x:c>
      <x:c r="C398" s="25" t="str">
        <x:v>Display/filter helper</x:v>
      </x:c>
      <x:c r="D398" s="25" t="str">
        <x:v>Helper/context; not registered as an additional KPI</x:v>
      </x:c>
      <x:c r="E398" s="25" t="str">
        <x:v>No direct saved visual binding</x:v>
      </x:c>
      <x:c r="F398" s="25" t="str">
        <x:v>gold.dim_snapshot_month; gold.fact_referral_snapshot</x:v>
      </x:c>
      <x:c r="G398" s="25" t="str">
        <x:v>IF([Provider Contact Referral Variance] &gt; 0, "▲", IF([Provider Contact Referral Variance] &lt; 0, "▼", "–"))</x:v>
      </x:c>
      <x:c r="H398" s="25" t="str">
        <x:v>KPI_LATEST_CALCULATIONS.md#business-provider-contact-referral-indicator</x:v>
      </x:c>
      <x:c r="I398" s="25" t="str">
        <x:v>Saved definition; runtime/acceptance pending</x:v>
      </x:c>
    </x:row>
    <x:row r="399" ht="33" customHeight="1">
      <x:c r="A399" s="25" t="str">
        <x:v>Provider Contact Referral Indicator Color</x:v>
      </x:c>
      <x:c r="B399" s="25" t="str">
        <x:v>_Measures</x:v>
      </x:c>
      <x:c r="C399" s="25" t="str">
        <x:v>Display/filter helper</x:v>
      </x:c>
      <x:c r="D399" s="25" t="str">
        <x:v>Helper/context; not registered as an additional KPI</x:v>
      </x:c>
      <x:c r="E399" s="25" t="str">
        <x:v>No direct saved visual binding</x:v>
      </x:c>
      <x:c r="F399" s="25" t="str">
        <x:v>gold.dim_snapshot_month; gold.fact_referral_snapshot</x:v>
      </x:c>
      <x:c r="G399" s="25" t="str">
        <x:v>IF([Provider Contact Referral Variance] &gt; 0, "green", IF([Provider Contact Referral Variance] &lt; 0, "red", "grey"))</x:v>
      </x:c>
      <x:c r="H399" s="25" t="str">
        <x:v>KPI_LATEST_CALCULATIONS.md#business-provider-contact-referral-indicator-color</x:v>
      </x:c>
      <x:c r="I399" s="25" t="str">
        <x:v>Saved definition; runtime/acceptance pending</x:v>
      </x:c>
    </x:row>
    <x:row r="400" ht="33" customHeight="1">
      <x:c r="A400" s="25" t="str">
        <x:v>Provider Contact Referral Previous Month</x:v>
      </x:c>
      <x:c r="B400" s="25" t="str">
        <x:v>_Measures</x:v>
      </x:c>
      <x:c r="C400" s="25" t="str">
        <x:v>Business metric</x:v>
      </x:c>
      <x:c r="D400" s="25" t="str">
        <x:v>GOLD-KPI-260</x:v>
      </x:c>
      <x:c r="E400" s="25" t="str">
        <x:v>No direct saved visual binding</x:v>
      </x:c>
      <x:c r="F400" s="25" t="str">
        <x:v>gold.dim_snapshot_month; gold.fact_referral_snapshot</x:v>
      </x:c>
      <x:c r="G400" s="25" t="str">
        <x:v>CALCULATE ( [Provider Contact Referrals at Snapshot], DATEADD ( 'dim_snapshot_month'[month_start], -1, MONTH ) )</x:v>
      </x:c>
      <x:c r="H400" s="25" t="str">
        <x:v>KPI_LATEST_CALCULATIONS.md#business-provider-contact-referral-previous-month</x:v>
      </x:c>
      <x:c r="I400" s="25" t="str">
        <x:v>Saved definition; runtime/acceptance pending</x:v>
      </x:c>
    </x:row>
    <x:row r="401" ht="33" customHeight="1">
      <x:c r="A401" s="25" t="str">
        <x:v>Provider Contact Referral Variance</x:v>
      </x:c>
      <x:c r="B401" s="25" t="str">
        <x:v>_Measures</x:v>
      </x:c>
      <x:c r="C401" s="25" t="str">
        <x:v>Business metric</x:v>
      </x:c>
      <x:c r="D401" s="25" t="str">
        <x:v>GOLD-KPI-261</x:v>
      </x:c>
      <x:c r="E401" s="25" t="str">
        <x:v>No direct saved visual binding</x:v>
      </x:c>
      <x:c r="F401" s="25" t="str">
        <x:v>gold.dim_snapshot_month; gold.fact_referral_snapshot</x:v>
      </x:c>
      <x:c r="G401" s="25" t="str">
        <x:v>[Provider Contact Referrals at Snapshot] - [Provider Contact Referral Previous Month]</x:v>
      </x:c>
      <x:c r="H401" s="25" t="str">
        <x:v>KPI_LATEST_CALCULATIONS.md#business-provider-contact-referral-variance</x:v>
      </x:c>
      <x:c r="I401" s="25" t="str">
        <x:v>Saved definition; runtime/acceptance pending</x:v>
      </x:c>
    </x:row>
    <x:row r="402" ht="33" customHeight="1">
      <x:c r="A402" s="25" t="str">
        <x:v>Provider Contact Referrals MoM %</x:v>
      </x:c>
      <x:c r="B402" s="25" t="str">
        <x:v>_Measures</x:v>
      </x:c>
      <x:c r="C402" s="25" t="str">
        <x:v>Business metric</x:v>
      </x:c>
      <x:c r="D402" s="25" t="str">
        <x:v>GOLD-KPI-263</x:v>
      </x:c>
      <x:c r="E402" s="25" t="str">
        <x:v>No direct saved visual binding</x:v>
      </x:c>
      <x:c r="F402" s="25" t="str">
        <x:v>gold.dim_snapshot_month; gold.fact_referral; gold.fact_referral_snapshot</x:v>
      </x:c>
      <x:c r="G402" s="25" t="str">
        <x:v>DIVIDE ([Provider Contact Referral]-[Provider Contact Referral Previous Month],[Provider Contact Referral Previous Month])</x:v>
      </x:c>
      <x:c r="H402" s="25" t="str">
        <x:v>KPI_LATEST_CALCULATIONS.md#business-provider-contact-referrals-mom-percent</x:v>
      </x:c>
      <x:c r="I402" s="25" t="str">
        <x:v>Saved definition; runtime/acceptance pending</x:v>
      </x:c>
    </x:row>
    <x:row r="403" ht="124" customHeight="1">
      <x:c r="A403" s="25" t="str">
        <x:v>Provider Contact Referrals at Snapshot</x:v>
      </x:c>
      <x:c r="B403" s="25" t="str">
        <x:v>_Measures</x:v>
      </x:c>
      <x:c r="C403" s="25" t="str">
        <x:v>Business metric</x:v>
      </x:c>
      <x:c r="D403" s="25" t="str">
        <x:v>GOLD-KPI-262</x:v>
      </x:c>
      <x:c r="E403" s="25" t="str">
        <x:v>No direct saved visual binding</x:v>
      </x:c>
      <x:c r="F403" s="25" t="str">
        <x:v>gold.fact_referral_snapshot</x:v>
      </x:c>
      <x:c r="G403" s="25" t="str">
        <x:v>CALCULATE (
				[Snapshot Referrals],
				FILTER (
					'fact_referral_snapshot',
					NOT ISBLANK ( 'fact_referral_snapshot'[first_action_date] )
						&amp;&amp; 'fact_referral_snapshot'[first_action_date]
							&lt; 'fact_referral_snapshot'[snapshot_date] + 1
				)
			)</x:v>
      </x:c>
      <x:c r="H403" s="25" t="str">
        <x:v>KPI_LATEST_CALCULATIONS.md#business-provider-contact-referrals-at-snapshot</x:v>
      </x:c>
      <x:c r="I403" s="25" t="str">
        <x:v>Saved definition; runtime/acceptance pending</x:v>
      </x:c>
    </x:row>
    <x:row r="404" ht="24" customHeight="1">
      <x:c r="A404" s="25" t="str">
        <x:v>Provider Decline Rate</x:v>
      </x:c>
      <x:c r="B404" s="25" t="str">
        <x:v>_Measures</x:v>
      </x:c>
      <x:c r="C404" s="25" t="str">
        <x:v>Business metric</x:v>
      </x:c>
      <x:c r="D404" s="25" t="str">
        <x:v>GOLD-KPI-027</x:v>
      </x:c>
      <x:c r="E404" s="25" t="str">
        <x:v>No direct saved visual binding</x:v>
      </x:c>
      <x:c r="F404" s="25" t="str">
        <x:v>gold.fact_referral_provider</x:v>
      </x:c>
      <x:c r="G404" s="25" t="str">
        <x:v>DIVIDE ( [Provider Declines], [Provider Assignments] )</x:v>
      </x:c>
      <x:c r="H404" s="25" t="str">
        <x:v>KPI_LATEST_CALCULATIONS.md#business-provider-decline-rate</x:v>
      </x:c>
      <x:c r="I404" s="25" t="str">
        <x:v>Saved definition; runtime/acceptance pending</x:v>
      </x:c>
    </x:row>
    <x:row r="405" ht="33" customHeight="1">
      <x:c r="A405" s="25" t="str">
        <x:v>Provider Declines</x:v>
      </x:c>
      <x:c r="B405" s="25" t="str">
        <x:v>_Measures</x:v>
      </x:c>
      <x:c r="C405" s="25" t="str">
        <x:v>Business metric</x:v>
      </x:c>
      <x:c r="D405" s="25" t="str">
        <x:v>GOLD-KPI-026</x:v>
      </x:c>
      <x:c r="E405" s="25" t="str">
        <x:v>No direct saved visual binding</x:v>
      </x:c>
      <x:c r="F405" s="25" t="str">
        <x:v>gold.fact_referral_provider</x:v>
      </x:c>
      <x:c r="G405" s="25" t="str">
        <x:v>CALCULATE ( [Provider Assignments], 'fact_referral_provider'[is_declined] = TRUE () )</x:v>
      </x:c>
      <x:c r="H405" s="25" t="str">
        <x:v>KPI_LATEST_CALCULATIONS.md#business-provider-declines</x:v>
      </x:c>
      <x:c r="I405" s="25" t="str">
        <x:v>Saved definition; runtime/acceptance pending</x:v>
      </x:c>
    </x:row>
    <x:row r="406" ht="85" customHeight="1">
      <x:c r="A406" s="25" t="str">
        <x:v>Provider Homes Registered</x:v>
      </x:c>
      <x:c r="B406" s="25" t="str">
        <x:v>_Measures</x:v>
      </x:c>
      <x:c r="C406" s="25" t="str">
        <x:v>Business metric</x:v>
      </x:c>
      <x:c r="D406" s="25" t="str">
        <x:v>KPI-40</x:v>
      </x:c>
      <x:c r="E406" s="25" t="str">
        <x:v>No direct saved visual binding</x:v>
      </x:c>
      <x:c r="F406" s="25" t="str">
        <x:v>gold.dim_provider; gold.dim_provider_home</x:v>
      </x:c>
      <x:c r="G406" s="25" t="str">
        <x:v>IF ( ISFILTERED ( 'dim_provider' ),
			    CALCULATE ( DISTINCTCOUNT ( 'dim_provider_home'[provider_home_id] ), KEEPFILTERS ( TREATAS ( VALUES ( 'dim_provider'[provider_id] ), 'dim_provider_home'[provider_id] ) ) ),
			    DISTINCTCOUNT ( 'dim_provider_home'[provider_home_id] )
			)</x:v>
      </x:c>
      <x:c r="H406" s="25" t="str">
        <x:v>KPI_LATEST_CALCULATIONS.md#business-provider-homes-registered</x:v>
      </x:c>
      <x:c r="I406" s="25" t="str">
        <x:v>Saved definition; runtime/acceptance pending</x:v>
      </x:c>
    </x:row>
    <x:row r="407" ht="124" customHeight="1">
      <x:c r="A407" s="25" t="str">
        <x:v>Provider Homes With Expired Documents</x:v>
      </x:c>
      <x:c r="B407" s="25" t="str">
        <x:v>_Measures</x:v>
      </x:c>
      <x:c r="C407" s="25" t="str">
        <x:v>Business metric</x:v>
      </x:c>
      <x:c r="D407" s="25" t="str">
        <x:v>GOLD-KPI-094</x:v>
      </x:c>
      <x:c r="E407" s="25" t="str">
        <x:v>No direct saved visual binding</x:v>
      </x:c>
      <x:c r="F407" s="25" t="str">
        <x:v>gold.dim_provider_submission_document</x:v>
      </x:c>
      <x:c r="G407" s="25" t="str">
        <x:v>CALCULATE (
			    DISTINCTCOUNT ( 'dim_provider_submission_document'[home_id] ),
			    FILTER (
			        'dim_provider_submission_document',
			        NOT ISBLANK ( 'dim_provider_submission_document'[expiry_date] )
			            &amp;&amp; 'dim_provider_submission_document'[expiry_date] &lt; TODAY ()
			    )
			)</x:v>
      </x:c>
      <x:c r="H407" s="25" t="str">
        <x:v>KPI_LATEST_CALCULATIONS.md#business-provider-homes-with-expired-documents</x:v>
      </x:c>
      <x:c r="I407" s="25" t="str">
        <x:v>Saved definition; runtime/acceptance pending</x:v>
      </x:c>
    </x:row>
    <x:row r="408" ht="124" customHeight="1">
      <x:c r="A408" s="25" t="str">
        <x:v>Provider Median Days to First Offer</x:v>
      </x:c>
      <x:c r="B408" s="25" t="str">
        <x:v>_Design Measures</x:v>
      </x:c>
      <x:c r="C408" s="25" t="str">
        <x:v>Business metric</x:v>
      </x:c>
      <x:c r="D408" s="25" t="str">
        <x:v>GOLD-KPI-268</x:v>
      </x:c>
      <x:c r="E408" s="25" t="str">
        <x:v>Provider &amp; Placement Supply</x:v>
      </x:c>
      <x:c r="F408" s="25" t="str">
        <x:v>gold.fact_offer; gold.fact_referral</x:v>
      </x:c>
      <x:c r="G408" s="25" t="str">
        <x:v>VAR per_referral =
			    ADDCOLUMNS ( VALUES ( 'fact_offer'[referral_id] ),
			        "FirstOffer", CALCULATE ( MIN ( 'fact_offer'[offer_submitted_date] ) ),
			        "Created", LOOKUPVALUE ( 'fact_referral'[referral_created_date], 'fact_referral'[referral_id], 'fact_offer'[referral_id] ) )
			RETURN MEDIANX ( FILTER ( per_referral, NOT ISBLANK ( [Created] ) &amp;&amp; NOT ISBLANK ( [FirstOffer] ) &amp;&amp; [FirstOffer] &gt;= [Created] ),
			    DIVIDE ( DATEDIFF ( [Created], [FirstOffer], HOUR ), 24.0 ) )</x:v>
      </x:c>
      <x:c r="H408" s="25" t="str">
        <x:v>KPI_LATEST_CALCULATIONS.md#business-provider-median-days-to-first-offer</x:v>
      </x:c>
      <x:c r="I408" s="25" t="str">
        <x:v>Saved definition; runtime/acceptance pending</x:v>
      </x:c>
    </x:row>
    <x:row r="409" ht="59" customHeight="1">
      <x:c r="A409" s="25" t="str">
        <x:v>Provider Messages Sent</x:v>
      </x:c>
      <x:c r="B409" s="25" t="str">
        <x:v>_Measures</x:v>
      </x:c>
      <x:c r="C409" s="25" t="str">
        <x:v>Business metric</x:v>
      </x:c>
      <x:c r="D409" s="25" t="str">
        <x:v>KPI-110</x:v>
      </x:c>
      <x:c r="E409" s="25" t="str">
        <x:v>No direct saved visual binding</x:v>
      </x:c>
      <x:c r="F409" s="25" t="str">
        <x:v>gold.fact_referral_lifecycle_event</x:v>
      </x:c>
      <x:c r="G409" s="25" t="str">
        <x:v>CALCULATE (
			    [Referral Lifecycle Events],
			    'fact_referral_lifecycle_event'[event_type] = "ProviderMessageSent"
			)</x:v>
      </x:c>
      <x:c r="H409" s="25" t="str">
        <x:v>KPI_LATEST_CALCULATIONS.md#business-provider-messages-sent</x:v>
      </x:c>
      <x:c r="I409" s="25" t="str">
        <x:v>Saved definition; runtime/acceptance pending</x:v>
      </x:c>
    </x:row>
    <x:row r="410" ht="59" customHeight="1">
      <x:c r="A410" s="25" t="str">
        <x:v>Provider Offer Conversion Rate</x:v>
      </x:c>
      <x:c r="B410" s="25" t="str">
        <x:v>_Measures</x:v>
      </x:c>
      <x:c r="C410" s="25" t="str">
        <x:v>Business metric</x:v>
      </x:c>
      <x:c r="D410" s="25" t="str">
        <x:v>GOLD-KPI-139</x:v>
      </x:c>
      <x:c r="E410" s="25" t="str">
        <x:v>No direct saved visual binding</x:v>
      </x:c>
      <x:c r="F410" s="25" t="str">
        <x:v>gold.fact_provider_kpi_monthly</x:v>
      </x:c>
      <x:c r="G410" s="25" t="str">
        <x:v>DIVIDE (
				SUM ( 'fact_provider_kpi_monthly'[accepted_offer_count] ),
				SUM ( 'fact_provider_kpi_monthly'[offers_submitted_count] )
			)</x:v>
      </x:c>
      <x:c r="H410" s="25" t="str">
        <x:v>KPI_LATEST_CALCULATIONS.md#business-provider-offer-conversion-rate</x:v>
      </x:c>
      <x:c r="I410" s="25" t="str">
        <x:v>Saved definition; runtime/acceptance pending</x:v>
      </x:c>
    </x:row>
    <x:row r="411" ht="33" customHeight="1">
      <x:c r="A411" s="25" t="str">
        <x:v>Provider Onboarding Success Rate</x:v>
      </x:c>
      <x:c r="B411" s="25" t="str">
        <x:v>_Measures</x:v>
      </x:c>
      <x:c r="C411" s="25" t="str">
        <x:v>Business metric</x:v>
      </x:c>
      <x:c r="D411" s="25" t="str">
        <x:v>KPI-117</x:v>
      </x:c>
      <x:c r="E411" s="25" t="str">
        <x:v>No direct saved visual binding</x:v>
      </x:c>
      <x:c r="F411" s="25" t="str">
        <x:v>gold.dim_provider</x:v>
      </x:c>
      <x:c r="G411" s="25" t="str">
        <x:v>DIVIDE ( [Providers Approved], [Providers Registered] )</x:v>
      </x:c>
      <x:c r="H411" s="25" t="str">
        <x:v>KPI_LATEST_CALCULATIONS.md#business-provider-onboarding-success-rate</x:v>
      </x:c>
      <x:c r="I411" s="25" t="str">
        <x:v>Saved definition; runtime/acceptance pending</x:v>
      </x:c>
    </x:row>
    <x:row r="412" ht="202" customHeight="1">
      <x:c r="A412" s="25" t="str">
        <x:v>Provider QA flagged homes</x:v>
      </x:c>
      <x:c r="B412" s="25" t="str">
        <x:v>_Report Journey Measures</x:v>
      </x:c>
      <x:c r="C412" s="25" t="str">
        <x:v>Business metric</x:v>
      </x:c>
      <x:c r="D412" s="25" t="str">
        <x:v>GOLD-KPI-270</x:v>
      </x:c>
      <x:c r="E412" s="25" t="str">
        <x:v>No direct saved visual binding</x:v>
      </x:c>
      <x:c r="F412" s="25" t="str">
        <x:v>gold.dim_provider; gold.dim_provider_home; gold.dim_referral_provider_message; gold.fact_ipa; gold.fact_offer; gold.fact_referral_provider</x:v>
      </x:c>
      <x:c r="G412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CALCULATE(CALCULATE(COALESCE(DISTINCTCOUNTNOBLANK('dim_provider_home'[provider_home_id]),0), KEEPFILTERS('dim_provider_home'[qa_flag] == TRUE())), KEEPFILTERS(eligible))</x:v>
      </x:c>
      <x:c r="H412" s="25" t="str">
        <x:v>KPI_LATEST_CALCULATIONS.md#business-provider-qa-flagged-homes</x:v>
      </x:c>
      <x:c r="I412" s="25" t="str">
        <x:v>Saved definition; runtime/acceptance pending</x:v>
      </x:c>
    </x:row>
    <x:row r="413" ht="33" customHeight="1">
      <x:c r="A413" s="25" t="str">
        <x:v>Provider Qualifying Responses</x:v>
      </x:c>
      <x:c r="B413" s="25" t="str">
        <x:v>_Measures</x:v>
      </x:c>
      <x:c r="C413" s="25" t="str">
        <x:v>Business metric</x:v>
      </x:c>
      <x:c r="D413" s="25" t="str">
        <x:v>GOLD-KPI-271</x:v>
      </x:c>
      <x:c r="E413" s="25" t="str">
        <x:v>No direct saved visual binding</x:v>
      </x:c>
      <x:c r="F413" s="25" t="str">
        <x:v>gold.fact_provider_kpi_monthly</x:v>
      </x:c>
      <x:c r="G413" s="25" t="str">
        <x:v>SUM ( 'fact_provider_kpi_monthly'[qualifying_response_count] )</x:v>
      </x:c>
      <x:c r="H413" s="25" t="str">
        <x:v>KPI_LATEST_CALCULATIONS.md#business-provider-qualifying-responses</x:v>
      </x:c>
      <x:c r="I413" s="25" t="str">
        <x:v>Saved definition; runtime/acceptance pending</x:v>
      </x:c>
    </x:row>
    <x:row r="414" ht="33" customHeight="1">
      <x:c r="A414" s="25" t="str">
        <x:v>Provider Response Opportunities</x:v>
      </x:c>
      <x:c r="B414" s="25" t="str">
        <x:v>_Measures</x:v>
      </x:c>
      <x:c r="C414" s="25" t="str">
        <x:v>Business metric</x:v>
      </x:c>
      <x:c r="D414" s="25" t="str">
        <x:v>GOLD-KPI-273</x:v>
      </x:c>
      <x:c r="E414" s="25" t="str">
        <x:v>No direct saved visual binding</x:v>
      </x:c>
      <x:c r="F414" s="25" t="str">
        <x:v>gold.fact_provider_kpi_monthly</x:v>
      </x:c>
      <x:c r="G414" s="25" t="str">
        <x:v>SUM ( 'fact_provider_kpi_monthly'[response_opportunity_count] )</x:v>
      </x:c>
      <x:c r="H414" s="25" t="str">
        <x:v>KPI_LATEST_CALCULATIONS.md#business-provider-response-opportunities</x:v>
      </x:c>
      <x:c r="I414" s="25" t="str">
        <x:v>Saved definition; runtime/acceptance pending</x:v>
      </x:c>
    </x:row>
    <x:row r="415" ht="24" customHeight="1">
      <x:c r="A415" s="25" t="str">
        <x:v>Provider Response Rate</x:v>
      </x:c>
      <x:c r="B415" s="25" t="str">
        <x:v>_Measures</x:v>
      </x:c>
      <x:c r="C415" s="25" t="str">
        <x:v>Business metric</x:v>
      </x:c>
      <x:c r="D415" s="25" t="str">
        <x:v>GOLD-KPI-137</x:v>
      </x:c>
      <x:c r="E415" s="25" t="str">
        <x:v>No direct saved visual binding</x:v>
      </x:c>
      <x:c r="F415" s="25" t="str">
        <x:v>gold.fact_provider_kpi_monthly</x:v>
      </x:c>
      <x:c r="G415" s="25" t="str">
        <x:v>DIVIDE ( [Provider Qualifying Responses], [Provider Response Opportunities] )</x:v>
      </x:c>
      <x:c r="H415" s="25" t="str">
        <x:v>KPI_LATEST_CALCULATIONS.md#business-provider-response-rate</x:v>
      </x:c>
      <x:c r="I415" s="25" t="str">
        <x:v>Saved definition; runtime/acceptance pending</x:v>
      </x:c>
    </x:row>
    <x:row r="416" ht="33" customHeight="1">
      <x:c r="A416" s="25" t="str">
        <x:v>Provider Submission Documents</x:v>
      </x:c>
      <x:c r="B416" s="25" t="str">
        <x:v>_Measures</x:v>
      </x:c>
      <x:c r="C416" s="25" t="str">
        <x:v>Business metric</x:v>
      </x:c>
      <x:c r="D416" s="25" t="str">
        <x:v>GOLD-KPI-091</x:v>
      </x:c>
      <x:c r="E416" s="25" t="str">
        <x:v>No direct saved visual binding</x:v>
      </x:c>
      <x:c r="F416" s="25" t="str">
        <x:v>gold.dim_provider_submission_document</x:v>
      </x:c>
      <x:c r="G416" s="25" t="str">
        <x:v>DISTINCTCOUNT ( 'dim_provider_submission_document'[document_id] )</x:v>
      </x:c>
      <x:c r="H416" s="25" t="str">
        <x:v>KPI_LATEST_CALCULATIONS.md#business-provider-submission-documents</x:v>
      </x:c>
      <x:c r="I416" s="25" t="str">
        <x:v>Saved definition; runtime/acceptance pending</x:v>
      </x:c>
    </x:row>
    <x:row r="417" ht="59" customHeight="1">
      <x:c r="A417" s="25" t="str">
        <x:v>Provider Target Placement Rate</x:v>
      </x:c>
      <x:c r="B417" s="25" t="str">
        <x:v>_Measures</x:v>
      </x:c>
      <x:c r="C417" s="25" t="str">
        <x:v>Business metric</x:v>
      </x:c>
      <x:c r="D417" s="25" t="str">
        <x:v>GOLD-KPI-140</x:v>
      </x:c>
      <x:c r="E417" s="25" t="str">
        <x:v>No direct saved visual binding</x:v>
      </x:c>
      <x:c r="F417" s="25" t="str">
        <x:v>gold.fact_provider_kpi_monthly</x:v>
      </x:c>
      <x:c r="G417" s="25" t="str">
        <x:v>DIVIDE (
				SUM ( 'fact_provider_kpi_monthly'[placed_by_target_count] ),
				SUM ( 'fact_provider_kpi_monthly'[successful_referral_count] )
			)</x:v>
      </x:c>
      <x:c r="H417" s="25" t="str">
        <x:v>KPI_LATEST_CALCULATIONS.md#business-provider-target-placement-rate</x:v>
      </x:c>
      <x:c r="I417" s="25" t="str">
        <x:v>Saved definition; runtime/acceptance pending</x:v>
      </x:c>
    </x:row>
    <x:row r="418" ht="215" customHeight="1">
      <x:c r="A418" s="25" t="str">
        <x:v>Provider detail KPI value</x:v>
      </x:c>
      <x:c r="B418" s="25" t="str">
        <x:v>_Explorer KPI Measures</x:v>
      </x:c>
      <x:c r="C418" s="25" t="str">
        <x:v>Filter/context helper</x:v>
      </x:c>
      <x:c r="D418" s="25" t="str">
        <x:v>Helper/context; not registered as an additional KPI</x:v>
      </x:c>
      <x:c r="E418" s="25" t="str">
        <x:v>Provider Detail (Drillthrough)</x:v>
      </x:c>
      <x:c r="F418" s="25" t="str">
        <x:v>gold.dim_provider; gold.dim_provider_home; gold.dim_referral_provider_message; gold.fact_ipa; gold.fact_offer; gold.fact_referral_provider</x:v>
      </x:c>
      <x:c r="G418" s="25" t="str">
        <x:v>IF(HASONEVALUE('dim_provider'[provider_id]), SWITCH(SELECTEDVALUE('Provider Explorer KPI'[Ordinal]),
			0, IF(ISBLANK([Explorer providers without offers]), "—", FORMAT([Explorer providers without offers], "#,0")),
			1, IF(ISBLANK([Explorer providers]), "—", FORMAT([Explorer providers], "#,0")),
			2, IF(ISBLANK([Explorer provider homes]), "—", FORMAT([Explorer provider homes], "#,0")),
			3, IF(ISBLANK([Explorer provider beds]), "—", FORMAT([Explorer provider beds], "#,0")),
			4, IF(ISBLANK([Explorer provider offers]), "—", FORMAT([Explorer provider offers], "#,0")),
			5, IF(ISBLANK([Explorer provider offers made]), "—", FORMAT([Explorer provider offers made], "#,0")),
			6, IF(ISBLANK([Explorer provider dra
[EXCERPT; complete logic in KPI_LATEST_CALCULATIONS.md]</x:v>
      </x:c>
      <x:c r="H418" s="25" t="str">
        <x:v>KPI_LATEST_CALCULATIONS.md#business-provider-detail-kpi-value</x:v>
      </x:c>
      <x:c r="I418" s="25" t="str">
        <x:v>Saved definition; runtime/acceptance pending</x:v>
      </x:c>
    </x:row>
    <x:row r="419" ht="33" customHeight="1">
      <x:c r="A419" s="25" t="str">
        <x:v>Provider detail assignment rows</x:v>
      </x:c>
      <x:c r="B419" s="25" t="str">
        <x:v>_Provider Detail Measures</x:v>
      </x:c>
      <x:c r="C419" s="25" t="str">
        <x:v>Display/filter/context helper</x:v>
      </x:c>
      <x:c r="D419" s="25" t="str">
        <x:v>Helper/context; not registered as an additional KPI</x:v>
      </x:c>
      <x:c r="E419" s="25" t="str">
        <x:v>Provider Detail (Drillthrough)</x:v>
      </x:c>
      <x:c r="F419" s="25" t="str">
        <x:v>gold.dim_provider; gold.fact_referral_provider</x:v>
      </x:c>
      <x:c r="G419" s="25" t="str">
        <x:v>VAR n = COUNTROWS('fact_referral_provider') RETURN IF(COUNTROWS(ALLSELECTED('dim_provider')) = 1 &amp;&amp; n &gt; 0,n)</x:v>
      </x:c>
      <x:c r="H419" s="25" t="str">
        <x:v>KPI_LATEST_CALCULATIONS.md#business-provider-detail-assignment-rows</x:v>
      </x:c>
      <x:c r="I419" s="25" t="str">
        <x:v>Saved definition; runtime/acceptance pending</x:v>
      </x:c>
    </x:row>
    <x:row r="420" ht="46" customHeight="1">
      <x:c r="A420" s="25" t="str">
        <x:v>Provider detail headline Explorer provider homes</x:v>
      </x:c>
      <x:c r="B420" s="25" t="str">
        <x:v>_Report Journey Measures</x:v>
      </x:c>
      <x:c r="C420" s="25" t="str">
        <x:v>Display/context helper</x:v>
      </x:c>
      <x:c r="D420" s="25" t="str">
        <x:v>Helper/context; not registered as an additional KPI</x:v>
      </x:c>
      <x:c r="E420" s="25" t="str">
        <x:v>Provider Detail (Drillthrough)</x:v>
      </x:c>
      <x:c r="F420" s="25" t="str">
        <x:v>gold.dim_provider; gold.dim_provider_home; gold.dim_referral_provider_message; gold.fact_ipa; gold.fact_offer; gold.fact_referral_provider</x:v>
      </x:c>
      <x:c r="G420" s="25" t="str">
        <x:v>IF(HASONEVALUE('dim_provider'[provider_id]),[Explorer provider homes])</x:v>
      </x:c>
      <x:c r="H420" s="25" t="str">
        <x:v>KPI_LATEST_CALCULATIONS.md#business-provider-detail-headline-explorer-provider-homes</x:v>
      </x:c>
      <x:c r="I420" s="25" t="str">
        <x:v>Saved definition; runtime/acceptance pending</x:v>
      </x:c>
    </x:row>
    <x:row r="421" ht="46" customHeight="1">
      <x:c r="A421" s="25" t="str">
        <x:v>Provider detail headline Explorer provider messages</x:v>
      </x:c>
      <x:c r="B421" s="25" t="str">
        <x:v>_Report Journey Measures</x:v>
      </x:c>
      <x:c r="C421" s="25" t="str">
        <x:v>Display/context helper</x:v>
      </x:c>
      <x:c r="D421" s="25" t="str">
        <x:v>Helper/context; not registered as an additional KPI</x:v>
      </x:c>
      <x:c r="E421" s="25" t="str">
        <x:v>Provider Detail (Drillthrough)</x:v>
      </x:c>
      <x:c r="F421" s="25" t="str">
        <x:v>gold.dim_provider; gold.dim_provider_home; gold.dim_referral_provider_message; gold.fact_ipa; gold.fact_offer; gold.fact_referral_provider</x:v>
      </x:c>
      <x:c r="G421" s="25" t="str">
        <x:v>IF(HASONEVALUE('dim_provider'[provider_id]),[Explorer provider messages])</x:v>
      </x:c>
      <x:c r="H421" s="25" t="str">
        <x:v>KPI_LATEST_CALCULATIONS.md#business-provider-detail-headline-explorer-provider-messages</x:v>
      </x:c>
      <x:c r="I421" s="25" t="str">
        <x:v>Saved definition; runtime/acceptance pending</x:v>
      </x:c>
    </x:row>
    <x:row r="422" ht="46" customHeight="1">
      <x:c r="A422" s="25" t="str">
        <x:v>Provider detail headline Explorer provider offers made</x:v>
      </x:c>
      <x:c r="B422" s="25" t="str">
        <x:v>_Report Journey Measures</x:v>
      </x:c>
      <x:c r="C422" s="25" t="str">
        <x:v>Display/context helper</x:v>
      </x:c>
      <x:c r="D422" s="25" t="str">
        <x:v>Helper/context; not registered as an additional KPI</x:v>
      </x:c>
      <x:c r="E422" s="25" t="str">
        <x:v>Provider Detail (Drillthrough)</x:v>
      </x:c>
      <x:c r="F422" s="25" t="str">
        <x:v>gold.dim_provider; gold.dim_provider_home; gold.dim_referral_provider_message; gold.fact_ipa; gold.fact_offer; gold.fact_referral_provider</x:v>
      </x:c>
      <x:c r="G422" s="25" t="str">
        <x:v>IF(HASONEVALUE('dim_provider'[provider_id]),[Explorer provider offers made])</x:v>
      </x:c>
      <x:c r="H422" s="25" t="str">
        <x:v>KPI_LATEST_CALCULATIONS.md#business-provider-detail-headline-explorer-provider-offers-made</x:v>
      </x:c>
      <x:c r="I422" s="25" t="str">
        <x:v>Saved definition; runtime/acceptance pending</x:v>
      </x:c>
    </x:row>
    <x:row r="423" ht="46" customHeight="1">
      <x:c r="A423" s="25" t="str">
        <x:v>Provider detail headline Provider unanswered assignments</x:v>
      </x:c>
      <x:c r="B423" s="25" t="str">
        <x:v>_Report Journey Measures</x:v>
      </x:c>
      <x:c r="C423" s="25" t="str">
        <x:v>Display/context helper</x:v>
      </x:c>
      <x:c r="D423" s="25" t="str">
        <x:v>Helper/context; not registered as an additional KPI</x:v>
      </x:c>
      <x:c r="E423" s="25" t="str">
        <x:v>Provider Detail (Drillthrough)</x:v>
      </x:c>
      <x:c r="F423" s="25" t="str">
        <x:v>gold.dim_provider; gold.dim_provider_home; gold.dim_referral_provider_message; gold.fact_ipa; gold.fact_offer; gold.fact_referral_provider</x:v>
      </x:c>
      <x:c r="G423" s="25" t="str">
        <x:v>IF(HASONEVALUE('dim_provider'[provider_id]),[Provider unanswered assignments])</x:v>
      </x:c>
      <x:c r="H423" s="25" t="str">
        <x:v>KPI_LATEST_CALCULATIONS.md#business-provider-detail-headline-provider-unanswered-assignments</x:v>
      </x:c>
      <x:c r="I423" s="25" t="str">
        <x:v>Saved definition; runtime/acceptance pending</x:v>
      </x:c>
    </x:row>
    <x:row r="424" ht="46" customHeight="1">
      <x:c r="A424" s="25" t="str">
        <x:v>Provider detail home rows</x:v>
      </x:c>
      <x:c r="B424" s="25" t="str">
        <x:v>_Provider Detail Measures</x:v>
      </x:c>
      <x:c r="C424" s="25" t="str">
        <x:v>Display/filter/context helper</x:v>
      </x:c>
      <x:c r="D424" s="25" t="str">
        <x:v>Helper/context; not registered as an additional KPI</x:v>
      </x:c>
      <x:c r="E424" s="25" t="str">
        <x:v>Provider Detail (Drillthrough)</x:v>
      </x:c>
      <x:c r="F424" s="25" t="str">
        <x:v>gold.dim_provider; gold.dim_provider_home</x:v>
      </x:c>
      <x:c r="G424" s="25" t="str">
        <x:v>VAR n = CALCULATE(COUNTROWS('dim_provider_home'), KEEPFILTERS(TREATAS(VALUES('dim_provider'[provider_id]),'dim_provider_home'[provider_id]))) RETURN IF(COUNTROWS(ALLSELECTED('dim_provider')) = 1 &amp;&amp; n &gt; 0,n)</x:v>
      </x:c>
      <x:c r="H424" s="25" t="str">
        <x:v>KPI_LATEST_CALCULATIONS.md#business-provider-detail-home-rows</x:v>
      </x:c>
      <x:c r="I424" s="25" t="str">
        <x:v>Saved definition; runtime/acceptance pending</x:v>
      </x:c>
    </x:row>
    <x:row r="425" ht="33" customHeight="1">
      <x:c r="A425" s="25" t="str">
        <x:v>Provider detail message rows</x:v>
      </x:c>
      <x:c r="B425" s="25" t="str">
        <x:v>_Provider Detail Measures</x:v>
      </x:c>
      <x:c r="C425" s="25" t="str">
        <x:v>Display/filter/context helper</x:v>
      </x:c>
      <x:c r="D425" s="25" t="str">
        <x:v>Helper/context; not registered as an additional KPI</x:v>
      </x:c>
      <x:c r="E425" s="25" t="str">
        <x:v>Provider Detail (Drillthrough)</x:v>
      </x:c>
      <x:c r="F425" s="25" t="str">
        <x:v>gold.dim_provider; gold.dim_referral_provider_message</x:v>
      </x:c>
      <x:c r="G425" s="25" t="str">
        <x:v>VAR n = COUNTROWS('dim_referral_provider_message') RETURN IF(COUNTROWS(ALLSELECTED('dim_provider')) = 1 &amp;&amp; n &gt; 0,n)</x:v>
      </x:c>
      <x:c r="H425" s="25" t="str">
        <x:v>KPI_LATEST_CALCULATIONS.md#business-provider-detail-message-rows</x:v>
      </x:c>
      <x:c r="I425" s="25" t="str">
        <x:v>Saved definition; runtime/acceptance pending</x:v>
      </x:c>
    </x:row>
    <x:row r="426" ht="46" customHeight="1">
      <x:c r="A426" s="25" t="str">
        <x:v>Provider detail offer rows</x:v>
      </x:c>
      <x:c r="B426" s="25" t="str">
        <x:v>_Provider Detail Measures</x:v>
      </x:c>
      <x:c r="C426" s="25" t="str">
        <x:v>Display/filter/context helper</x:v>
      </x:c>
      <x:c r="D426" s="25" t="str">
        <x:v>Helper/context; not registered as an additional KPI</x:v>
      </x:c>
      <x:c r="E426" s="25" t="str">
        <x:v>Provider Detail (Drillthrough)</x:v>
      </x:c>
      <x:c r="F426" s="25" t="str">
        <x:v>gold.dim_provider; gold.fact_offer</x:v>
      </x:c>
      <x:c r="G426" s="25" t="str">
        <x:v>VAR n = CALCULATE(COUNTROWS('fact_offer'), KEEPFILTERS(TREATAS(VALUES('dim_provider'[provider_id]), 'fact_offer'[provider_id]))) RETURN IF(HASONEVALUE('dim_provider'[provider_id]) &amp;&amp; n &gt; 0,n)</x:v>
      </x:c>
      <x:c r="H426" s="25" t="str">
        <x:v>KPI_LATEST_CALCULATIONS.md#business-provider-detail-offer-rows</x:v>
      </x:c>
      <x:c r="I426" s="25" t="str">
        <x:v>Saved definition; runtime/acceptance pending</x:v>
      </x:c>
    </x:row>
    <x:row r="427" ht="33" customHeight="1">
      <x:c r="A427" s="25" t="str">
        <x:v>Provider detail profile rows</x:v>
      </x:c>
      <x:c r="B427" s="25" t="str">
        <x:v>_Provider Detail Measures</x:v>
      </x:c>
      <x:c r="C427" s="25" t="str">
        <x:v>Display/filter/context helper</x:v>
      </x:c>
      <x:c r="D427" s="25" t="str">
        <x:v>Helper/context; not registered as an additional KPI</x:v>
      </x:c>
      <x:c r="E427" s="25" t="str">
        <x:v>Provider Detail (Drillthrough)</x:v>
      </x:c>
      <x:c r="F427" s="25" t="str">
        <x:v>gold.dim_provider</x:v>
      </x:c>
      <x:c r="G427" s="25" t="str">
        <x:v>VAR n = COUNTROWS('dim_provider') RETURN IF(COUNTROWS(ALLSELECTED('dim_provider')) = 1 &amp;&amp; n &gt; 0,n)</x:v>
      </x:c>
      <x:c r="H427" s="25" t="str">
        <x:v>KPI_LATEST_CALCULATIONS.md#business-provider-detail-profile-rows</x:v>
      </x:c>
      <x:c r="I427" s="25" t="str">
        <x:v>Saved definition; runtime/acceptance pending</x:v>
      </x:c>
    </x:row>
    <x:row r="428" ht="72" customHeight="1">
      <x:c r="A428" s="25" t="str">
        <x:v>Provider detail scoring denominator</x:v>
      </x:c>
      <x:c r="B428" s="25" t="str">
        <x:v>_Report Journey Measures</x:v>
      </x:c>
      <x:c r="C428" s="25" t="str">
        <x:v>Display/context helper</x:v>
      </x:c>
      <x:c r="D428" s="25" t="str">
        <x:v>Helper/context; not registered as an additional KPI</x:v>
      </x:c>
      <x:c r="E428" s="25" t="str">
        <x:v>Provider Detail (Drillthrough)</x:v>
      </x:c>
      <x:c r="F428" s="25" t="str">
        <x:v>gold.dim_provider; gold.dim_provider_home; gold.dim_referral_provider_message; gold.dim_snapshot_month; gold.fact_ipa; gold.fact_offer; gold.fact_provider_kpi_monthly; gold.fact_referral_provider</x:v>
      </x:c>
      <x:c r="G428" s="25" t="str">
        <x:v>IF(HASONEVALUE('dim_provider'[provider_id]),[Provider scoring denominator])</x:v>
      </x:c>
      <x:c r="H428" s="25" t="str">
        <x:v>KPI_LATEST_CALCULATIONS.md#business-provider-detail-scoring-denominator</x:v>
      </x:c>
      <x:c r="I428" s="25" t="str">
        <x:v>Saved definition; runtime/acceptance pending</x:v>
      </x:c>
    </x:row>
    <x:row r="429" ht="72" customHeight="1">
      <x:c r="A429" s="25" t="str">
        <x:v>Provider detail scoring evidence status</x:v>
      </x:c>
      <x:c r="B429" s="25" t="str">
        <x:v>_Report Journey Measures</x:v>
      </x:c>
      <x:c r="C429" s="25" t="str">
        <x:v>Display/context helper</x:v>
      </x:c>
      <x:c r="D429" s="25" t="str">
        <x:v>Helper/context; not registered as an additional KPI</x:v>
      </x:c>
      <x:c r="E429" s="25" t="str">
        <x:v>Provider Detail (Drillthrough)</x:v>
      </x:c>
      <x:c r="F429" s="25" t="str">
        <x:v>gold.dim_provider; gold.dim_provider_home; gold.dim_referral_provider_message; gold.dim_snapshot_month; gold.fact_ipa; gold.fact_offer; gold.fact_provider_kpi_monthly; gold.fact_referral_provider</x:v>
      </x:c>
      <x:c r="G429" s="25" t="str">
        <x:v>IF(HASONEVALUE('dim_provider'[provider_id]),[Provider scoring evidence status])</x:v>
      </x:c>
      <x:c r="H429" s="25" t="str">
        <x:v>KPI_LATEST_CALCULATIONS.md#business-provider-detail-scoring-evidence-status</x:v>
      </x:c>
      <x:c r="I429" s="25" t="str">
        <x:v>Saved definition; runtime/acceptance pending</x:v>
      </x:c>
    </x:row>
    <x:row r="430" ht="72" customHeight="1">
      <x:c r="A430" s="25" t="str">
        <x:v>Provider detail scoring numerator</x:v>
      </x:c>
      <x:c r="B430" s="25" t="str">
        <x:v>_Report Journey Measures</x:v>
      </x:c>
      <x:c r="C430" s="25" t="str">
        <x:v>Display/context helper</x:v>
      </x:c>
      <x:c r="D430" s="25" t="str">
        <x:v>Helper/context; not registered as an additional KPI</x:v>
      </x:c>
      <x:c r="E430" s="25" t="str">
        <x:v>Provider Detail (Drillthrough)</x:v>
      </x:c>
      <x:c r="F430" s="25" t="str">
        <x:v>gold.dim_provider; gold.dim_provider_home; gold.dim_referral_provider_message; gold.dim_snapshot_month; gold.fact_ipa; gold.fact_offer; gold.fact_provider_kpi_monthly; gold.fact_referral_provider</x:v>
      </x:c>
      <x:c r="G430" s="25" t="str">
        <x:v>IF(HASONEVALUE('dim_provider'[provider_id]),[Provider scoring numerator])</x:v>
      </x:c>
      <x:c r="H430" s="25" t="str">
        <x:v>KPI_LATEST_CALCULATIONS.md#business-provider-detail-scoring-numerator</x:v>
      </x:c>
      <x:c r="I430" s="25" t="str">
        <x:v>Saved definition; runtime/acceptance pending</x:v>
      </x:c>
    </x:row>
    <x:row r="431" ht="72" customHeight="1">
      <x:c r="A431" s="25" t="str">
        <x:v>Provider detail scoring result</x:v>
      </x:c>
      <x:c r="B431" s="25" t="str">
        <x:v>_Report Journey Measures</x:v>
      </x:c>
      <x:c r="C431" s="25" t="str">
        <x:v>Display/context helper</x:v>
      </x:c>
      <x:c r="D431" s="25" t="str">
        <x:v>Helper/context; not registered as an additional KPI</x:v>
      </x:c>
      <x:c r="E431" s="25" t="str">
        <x:v>Provider Detail (Drillthrough)</x:v>
      </x:c>
      <x:c r="F431" s="25" t="str">
        <x:v>gold.dim_provider; gold.dim_provider_home; gold.dim_referral_provider_message; gold.dim_snapshot_month; gold.fact_ipa; gold.fact_offer; gold.fact_provider_kpi_monthly; gold.fact_referral_provider</x:v>
      </x:c>
      <x:c r="G431" s="25" t="str">
        <x:v>IF(HASONEVALUE('dim_provider'[provider_id]),[Provider scoring result])</x:v>
      </x:c>
      <x:c r="H431" s="25" t="str">
        <x:v>KPI_LATEST_CALCULATIONS.md#business-provider-detail-scoring-result</x:v>
      </x:c>
      <x:c r="I431" s="25" t="str">
        <x:v>Saved definition; runtime/acceptance pending</x:v>
      </x:c>
    </x:row>
    <x:row r="432" ht="111" customHeight="1">
      <x:c r="A432" s="25" t="str">
        <x:v>Provider document row visible</x:v>
      </x:c>
      <x:c r="B432" s="25" t="str">
        <x:v>_Explorer KPI Measures</x:v>
      </x:c>
      <x:c r="C432" s="25" t="str">
        <x:v>Display/filter helper</x:v>
      </x:c>
      <x:c r="D432" s="25" t="str">
        <x:v>Helper/context only</x:v>
      </x:c>
      <x:c r="E432" s="25" t="str">
        <x:v>Provider Detail (Drillthrough); Provider Explorer</x:v>
      </x:c>
      <x:c r="F432" s="25" t="str">
        <x:v>gold.dim_provider_submission_document</x:v>
      </x:c>
      <x:c r="G432" s="25" t="str">
        <x:v>VAR providerKey = SELECTEDVALUE('dim_provider'[provider_id])
			VAR homeKey = SELECTEDVALUE('dim_provider_submission_document'[home_id])
			VAR matchingHome = CALCULATE(COUNTROWS('dim_provider_home'),
			    KEEPFILTERS(TREATAS({homeKey}, 'dim_provider_home'[provider_home_id])))
			RETURN IF(NOT ISBLANK(providerKey) &amp;&amp; NOT ISBLANK(homeKey)
			    &amp;&amp; matchingHome &gt; 0 &amp;&amp; [Explorer provider row visible] = 1
			    &amp;&amp; COUNTROWS('dim_provider_submission_document') &gt; 0, 1, BLANK())</x:v>
      </x:c>
      <x:c r="H432" s="25" t="str">
        <x:v>KPI_LATEST_CALCULATIONS.md#business-provider-document-row-visible</x:v>
      </x:c>
      <x:c r="I432" s="25" t="str">
        <x:v>Saved definition; refresh/UAT pending</x:v>
      </x:c>
    </x:row>
    <x:row r="433" ht="215" customHeight="1">
      <x:c r="A433" s="25" t="str">
        <x:v>Provider explorer KPI value</x:v>
      </x:c>
      <x:c r="B433" s="25" t="str">
        <x:v>_Explorer KPI Measures</x:v>
      </x:c>
      <x:c r="C433" s="25" t="str">
        <x:v>Filter/context helper</x:v>
      </x:c>
      <x:c r="D433" s="25" t="str">
        <x:v>Helper/context; not registered as an additional KPI</x:v>
      </x:c>
      <x:c r="E433" s="25" t="str">
        <x:v>Provider Explorer</x:v>
      </x:c>
      <x:c r="F433" s="25" t="str">
        <x:v>gold.dim_provider; gold.dim_provider_home; gold.dim_referral_provider_message; gold.fact_ipa; gold.fact_offer; gold.fact_referral_provider</x:v>
      </x:c>
      <x:c r="G433" s="25" t="str">
        <x:v>SWITCH(SELECTEDVALUE('Provider Explorer KPI'[Ordinal]),
			0, IF(ISBLANK([Explorer providers without offers]), "—", FORMAT([Explorer providers without offers], "#,0")),
			1, IF(ISBLANK([Explorer providers]), "—", FORMAT([Explorer providers], "#,0")),
			2, IF(ISBLANK([Explorer provider homes]), "—", FORMAT([Explorer provider homes], "#,0")),
			3, IF(ISBLANK([Explorer provider beds]), "—", FORMAT([Explorer provider beds], "#,0")),
			4, IF(ISBLANK([Explorer provider offers]), "—", FORMAT([Explorer provider offers], "#,0")),
			5, IF(ISBLANK([Explorer provider offers made]), "—", FORMAT([Explorer provider offers made], "#,0")),
			6, IF(ISBLANK([Explorer provider drafts]), "—", FORMAT([Explorer provider drafts]
[EXCERPT; complete logic in KPI_LATEST_CALCULATIONS.md]</x:v>
      </x:c>
      <x:c r="H433" s="25" t="str">
        <x:v>KPI_LATEST_CALCULATIONS.md#business-provider-explorer-kpi-value</x:v>
      </x:c>
      <x:c r="I433" s="25" t="str">
        <x:v>Saved definition; runtime/acceptance pending</x:v>
      </x:c>
    </x:row>
    <x:row r="434" ht="46" customHeight="1">
      <x:c r="A434" s="25" t="str">
        <x:v>Provider explorer matching homes</x:v>
      </x:c>
      <x:c r="B434" s="25" t="str">
        <x:v>_Provider Detail Measures</x:v>
      </x:c>
      <x:c r="C434" s="25" t="str">
        <x:v>Business metric</x:v>
      </x:c>
      <x:c r="D434" s="25" t="str">
        <x:v>GOLD-KPI-264</x:v>
      </x:c>
      <x:c r="E434" s="25" t="str">
        <x:v>No direct saved visual binding</x:v>
      </x:c>
      <x:c r="F434" s="25" t="str">
        <x:v>gold.dim_provider; gold.dim_provider_home</x:v>
      </x:c>
      <x:c r="G434" s="25" t="str">
        <x:v>VAR n = CALCULATE(COUNTROWS('dim_provider_home'), KEEPFILTERS(TREATAS(VALUES('dim_provider'[provider_id]),'dim_provider_home'[provider_id]))) RETURN IF(n &gt; 0,n)</x:v>
      </x:c>
      <x:c r="H434" s="25" t="str">
        <x:v>KPI_LATEST_CALCULATIONS.md#business-provider-explorer-matching-homes</x:v>
      </x:c>
      <x:c r="I434" s="25" t="str">
        <x:v>Saved definition; runtime/acceptance pending</x:v>
      </x:c>
    </x:row>
    <x:row r="435" ht="46" customHeight="1">
      <x:c r="A435" s="25" t="str">
        <x:v>Provider homes selected providers</x:v>
      </x:c>
      <x:c r="B435" s="25" t="str">
        <x:v>_Explorer KPI Measures</x:v>
      </x:c>
      <x:c r="C435" s="25" t="str">
        <x:v>Filter/context helper</x:v>
      </x:c>
      <x:c r="D435" s="25" t="str">
        <x:v>Helper/context; not registered as an additional KPI</x:v>
      </x:c>
      <x:c r="E435" s="25" t="str">
        <x:v>No direct saved visual binding</x:v>
      </x:c>
      <x:c r="F435" s="25" t="str">
        <x:v>gold.dim_provider; gold.dim_provider_home; gold.dim_referral_provider_message; gold.fact_ipa; gold.fact_offer; gold.fact_referral_provider</x:v>
      </x:c>
      <x:c r="G435" s="25" t="str">
        <x:v>CALCULATE([Explorer providers], ALLSELECTED())</x:v>
      </x:c>
      <x:c r="H435" s="25" t="str">
        <x:v>KPI_LATEST_CALCULATIONS.md#business-provider-homes-selected-providers</x:v>
      </x:c>
      <x:c r="I435" s="25" t="str">
        <x:v>Saved definition; runtime/acceptance pending</x:v>
      </x:c>
    </x:row>
    <x:row r="436" ht="46" customHeight="1">
      <x:c r="A436" s="25" t="str">
        <x:v>Provider homes table accepted offers</x:v>
      </x:c>
      <x:c r="B436" s="25" t="str">
        <x:v>_Explorer KPI Measures</x:v>
      </x:c>
      <x:c r="C436" s="25" t="str">
        <x:v>Business metric</x:v>
      </x:c>
      <x:c r="D436" s="25" t="str">
        <x:v>GOLD-KPI-265</x:v>
      </x:c>
      <x:c r="E436" s="25" t="str">
        <x:v>Provider Explorer</x:v>
      </x:c>
      <x:c r="F436" s="25" t="str">
        <x:v>gold.dim_provider; gold.dim_provider_home; gold.dim_referral_provider_message; gold.fact_ipa; gold.fact_offer; gold.fact_referral_provider</x:v>
      </x:c>
      <x:c r="G436" s="25" t="str">
        <x:v>VAR selectedProviders = [Provider homes selected providers]
			RETURN IF(selectedProviders &gt; 0 &amp;&amp; selectedProviders &lt;= 5, [Explorer provider accepted offers])</x:v>
      </x:c>
      <x:c r="H436" s="25" t="str">
        <x:v>KPI_LATEST_CALCULATIONS.md#business-provider-homes-table-accepted-offers</x:v>
      </x:c>
      <x:c r="I436" s="25" t="str">
        <x:v>Saved definition; runtime/acceptance pending</x:v>
      </x:c>
    </x:row>
    <x:row r="437" ht="46" customHeight="1">
      <x:c r="A437" s="25" t="str">
        <x:v>Provider homes table offers</x:v>
      </x:c>
      <x:c r="B437" s="25" t="str">
        <x:v>_Explorer KPI Measures</x:v>
      </x:c>
      <x:c r="C437" s="25" t="str">
        <x:v>Business metric</x:v>
      </x:c>
      <x:c r="D437" s="25" t="str">
        <x:v>GOLD-KPI-266</x:v>
      </x:c>
      <x:c r="E437" s="25" t="str">
        <x:v>Provider Explorer</x:v>
      </x:c>
      <x:c r="F437" s="25" t="str">
        <x:v>gold.dim_provider; gold.dim_provider_home; gold.dim_referral_provider_message; gold.fact_ipa; gold.fact_offer; gold.fact_referral_provider</x:v>
      </x:c>
      <x:c r="G437" s="25" t="str">
        <x:v>VAR selectedProviders = [Provider homes selected providers]
			RETURN IF(selectedProviders &gt; 0 &amp;&amp; selectedProviders &lt;= 5, [Explorer provider offers])</x:v>
      </x:c>
      <x:c r="H437" s="25" t="str">
        <x:v>KPI_LATEST_CALCULATIONS.md#business-provider-homes-table-offers</x:v>
      </x:c>
      <x:c r="I437" s="25" t="str">
        <x:v>Saved definition; runtime/acceptance pending</x:v>
      </x:c>
    </x:row>
    <x:row r="438" ht="46" customHeight="1">
      <x:c r="A438" s="25" t="str">
        <x:v>Provider homes table offers made</x:v>
      </x:c>
      <x:c r="B438" s="25" t="str">
        <x:v>_Explorer KPI Measures</x:v>
      </x:c>
      <x:c r="C438" s="25" t="str">
        <x:v>Business metric</x:v>
      </x:c>
      <x:c r="D438" s="25" t="str">
        <x:v>GOLD-KPI-267</x:v>
      </x:c>
      <x:c r="E438" s="25" t="str">
        <x:v>Provider Explorer</x:v>
      </x:c>
      <x:c r="F438" s="25" t="str">
        <x:v>gold.dim_provider; gold.dim_provider_home; gold.dim_referral_provider_message; gold.fact_ipa; gold.fact_offer; gold.fact_referral_provider</x:v>
      </x:c>
      <x:c r="G438" s="25" t="str">
        <x:v>VAR selectedProviders = [Provider homes selected providers]
			RETURN IF(selectedProviders &gt; 0 &amp;&amp; selectedProviders &lt;= 5, [Explorer provider offers made])</x:v>
      </x:c>
      <x:c r="H438" s="25" t="str">
        <x:v>KPI_LATEST_CALCULATIONS.md#business-provider-homes-table-offers-made</x:v>
      </x:c>
      <x:c r="I438" s="25" t="str">
        <x:v>Saved definition; runtime/acceptance pending</x:v>
      </x:c>
    </x:row>
    <x:row r="439" ht="46" customHeight="1">
      <x:c r="A439" s="25" t="str">
        <x:v>Provider homes table row visible</x:v>
      </x:c>
      <x:c r="B439" s="25" t="str">
        <x:v>_Explorer KPI Measures</x:v>
      </x:c>
      <x:c r="C439" s="25" t="str">
        <x:v>Filter/context helper</x:v>
      </x:c>
      <x:c r="D439" s="25" t="str">
        <x:v>Helper/context; not registered as an additional KPI</x:v>
      </x:c>
      <x:c r="E439" s="25" t="str">
        <x:v>Provider Explorer</x:v>
      </x:c>
      <x:c r="F439" s="25" t="str">
        <x:v>gold.dim_provider; gold.dim_provider_home; gold.dim_referral_provider_message; gold.fact_ipa; gold.fact_offer; gold.fact_referral_provider</x:v>
      </x:c>
      <x:c r="G439" s="25" t="str">
        <x:v>VAR selectedProviders = [Provider homes selected providers]
			RETURN IF(selectedProviders &gt; 0 &amp;&amp; selectedProviders &lt;= 5, [Explorer provider row visible])</x:v>
      </x:c>
      <x:c r="H439" s="25" t="str">
        <x:v>KPI_LATEST_CALCULATIONS.md#business-provider-homes-table-row-visible</x:v>
      </x:c>
      <x:c r="I439" s="25" t="str">
        <x:v>Saved definition; runtime/acceptance pending</x:v>
      </x:c>
    </x:row>
    <x:row r="440" ht="46" customHeight="1">
      <x:c r="A440" s="25" t="str">
        <x:v>Provider homes table title</x:v>
      </x:c>
      <x:c r="B440" s="25" t="str">
        <x:v>_Explorer KPI Measures</x:v>
      </x:c>
      <x:c r="C440" s="25" t="str">
        <x:v>Filter/context helper</x:v>
      </x:c>
      <x:c r="D440" s="25" t="str">
        <x:v>Helper/context; not registered as an additional KPI</x:v>
      </x:c>
      <x:c r="E440" s="25" t="str">
        <x:v>Provider Explorer</x:v>
      </x:c>
      <x:c r="F440" s="25" t="str">
        <x:v>gold.dim_provider; gold.dim_provider_home; gold.dim_referral_provider_message; gold.fact_ipa; gold.fact_offer; gold.fact_referral_provider</x:v>
      </x:c>
      <x:c r="G440" s="25" t="str">
        <x:v>IF([Provider homes selected providers] &gt; 5,
			    "Please select 1 or fewer providers",
			    "Provider homes — including homes with no offers")</x:v>
      </x:c>
      <x:c r="H440" s="25" t="str">
        <x:v>KPI_LATEST_CALCULATIONS.md#business-provider-homes-table-title</x:v>
      </x:c>
      <x:c r="I440" s="25" t="str">
        <x:v>Saved definition; runtime/acceptance pending</x:v>
      </x:c>
    </x:row>
    <x:row r="441" ht="215" customHeight="1">
      <x:c r="A441" s="25" t="str">
        <x:v>Provider matches offer status</x:v>
      </x:c>
      <x:c r="B441" s="25" t="str">
        <x:v>_Explorer KPI Measures</x:v>
      </x:c>
      <x:c r="C441" s="25" t="str">
        <x:v>Filter/context helper</x:v>
      </x:c>
      <x:c r="D441" s="25" t="str">
        <x:v>Helper/context; not registered as an additional KPI</x:v>
      </x:c>
      <x:c r="E441" s="25" t="str">
        <x:v>No direct saved visual binding</x:v>
      </x:c>
      <x:c r="F441" s="25" t="str">
        <x:v>gold.dim_provider; gold.dim_provider_home; gold.fact_offer</x:v>
      </x:c>
      <x:c r="G441" s="25" t="str">
        <x:v>VAR providerKey = SELECTEDVALUE('dim_provider'[provider_id])
			VAR limited = ISFILTERED('Provider Offer Status'[Status])
			VAR statuses = VALUES('Provider Offer Status'[Status])
			VAR homeFilter = CALCULATE(ISFILTERED('dim_provider_home'), ALLSELECTED())
			VAR homes = CALCULATETABLE(VALUES('dim_provider_home'[provider_home_id]), ALLSELECTED())
			VAR offerEvidence = CALCULATETABLE(
			    SUMMARIZE('fact_offer', 'fact_offer'[provider_id], 'fact_offer'[provider_home_id], 'fact_offer'[offer_status]),
			    ALLSELECTED())
			VAR providerOffers = FILTER(offerEvidence,
			    'fact_offer'[provider_id] == providerKey &amp;&amp; (NOT homeFilter || 'fact_offer'[provider_home_id] IN homes))
			VAR matchingOffers = COUNTROW
[EXCERPT; complete logic in KPI_LATEST_CALCULATIONS.md]</x:v>
      </x:c>
      <x:c r="H441" s="25" t="str">
        <x:v>KPI_LATEST_CALCULATIONS.md#business-provider-matches-offer-status</x:v>
      </x:c>
      <x:c r="I441" s="25" t="str">
        <x:v>Saved definition; runtime/acceptance pending</x:v>
      </x:c>
    </x:row>
    <x:row r="442" ht="215" customHeight="1">
      <x:c r="A442" s="25" t="str">
        <x:v>Provider no recorded activity</x:v>
      </x:c>
      <x:c r="B442" s="25" t="str">
        <x:v>_Report Journey Measures</x:v>
      </x:c>
      <x:c r="C442" s="25" t="str">
        <x:v>Business metric</x:v>
      </x:c>
      <x:c r="D442" s="25" t="str">
        <x:v>GOLD-KPI-269</x:v>
      </x:c>
      <x:c r="E442" s="25" t="str">
        <x:v>No direct saved visual binding</x:v>
      </x:c>
      <x:c r="F442" s="25" t="str">
        <x:v>gold.dim_provider; gold.dim_provider_home; gold.dim_referral_provider_message; gold.fact_ipa; gold.fact_offer; gold.fact_referral_provider</x:v>
      </x:c>
      <x:c r="G442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CALCULATE(COUNTROWS(FILTER(VALUES('dim_provider'[provider_id]), CALCULATE(COUNTROWS('fact_referral_provider')) = 0 &amp;&amp; CALCULATE(COUNTROWS('fact_offer')) = 0 &amp;&amp; CALCULATE(COUNTROWS('dim_referral_provider_message')) = 0)), KEEPFILTERS(eligible))</x:v>
      </x:c>
      <x:c r="H442" s="25" t="str">
        <x:v>KPI_LATEST_CALCULATIONS.md#business-provider-no-recorded-activity</x:v>
      </x:c>
      <x:c r="I442" s="25" t="str">
        <x:v>Saved definition; runtime/acceptance pending</x:v>
      </x:c>
    </x:row>
    <x:row r="443" ht="202" customHeight="1">
      <x:c r="A443" s="25" t="str">
        <x:v>Provider response durations recorded</x:v>
      </x:c>
      <x:c r="B443" s="25" t="str">
        <x:v>_Report Journey Measures</x:v>
      </x:c>
      <x:c r="C443" s="25" t="str">
        <x:v>Business metric</x:v>
      </x:c>
      <x:c r="D443" s="25" t="str">
        <x:v>GOLD-KPI-272</x:v>
      </x:c>
      <x:c r="E443" s="25" t="str">
        <x:v>No direct saved visual binding</x:v>
      </x:c>
      <x:c r="F443" s="25" t="str">
        <x:v>gold.dim_provider; gold.dim_provider_home; gold.dim_referral_provider_message; gold.fact_ipa; gold.fact_offer; gold.fact_referral_provider</x:v>
      </x:c>
      <x:c r="G443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CALCULATE(CALCULATE(COALESCE(DISTINCTCOUNTNOBLANK('fact_referral_provider'[referral_provider_id]),0), KEEPFILTERS(FILTER('fact_referral_pro
[EXCERPT; complete logic in KPI_LATEST_CALCULATIONS.md]</x:v>
      </x:c>
      <x:c r="H443" s="25" t="str">
        <x:v>KPI_LATEST_CALCULATIONS.md#business-provider-response-durations-recorded</x:v>
      </x:c>
      <x:c r="I443" s="25" t="str">
        <x:v>Saved definition; runtime/acceptance pending</x:v>
      </x:c>
    </x:row>
    <x:row r="444" ht="46" customHeight="1">
      <x:c r="A444" s="25" t="str">
        <x:v>Provider response timing coverage</x:v>
      </x:c>
      <x:c r="B444" s="25" t="str">
        <x:v>_Report Journey Measures</x:v>
      </x:c>
      <x:c r="C444" s="25" t="str">
        <x:v>Business metric</x:v>
      </x:c>
      <x:c r="D444" s="25" t="str">
        <x:v>GOLD-KPI-274</x:v>
      </x:c>
      <x:c r="E444" s="25" t="str">
        <x:v>No direct saved visual binding</x:v>
      </x:c>
      <x:c r="F444" s="25" t="str">
        <x:v>gold.dim_provider; gold.dim_provider_home; gold.dim_referral_provider_message; gold.fact_ipa; gold.fact_offer; gold.fact_referral_provider</x:v>
      </x:c>
      <x:c r="G444" s="25" t="str">
        <x:v>DIVIDE([Provider response durations recorded],[Explorer provider qualifying responses])</x:v>
      </x:c>
      <x:c r="H444" s="25" t="str">
        <x:v>KPI_LATEST_CALCULATIONS.md#business-provider-response-timing-coverage</x:v>
      </x:c>
      <x:c r="I444" s="25" t="str">
        <x:v>Saved definition; runtime/acceptance pending</x:v>
      </x:c>
    </x:row>
    <x:row r="445" ht="189" customHeight="1">
      <x:c r="A445" s="25" t="str">
        <x:v>Provider scoring cohort months</x:v>
      </x:c>
      <x:c r="B445" s="25" t="str">
        <x:v>_Report Journey Measures</x:v>
      </x:c>
      <x:c r="C445" s="25" t="str">
        <x:v>Display/context helper</x:v>
      </x:c>
      <x:c r="D445" s="25" t="str">
        <x:v>Helper/context; not registered as an additional KPI</x:v>
      </x:c>
      <x:c r="E445" s="25" t="str">
        <x:v>No direct saved visual binding</x:v>
      </x:c>
      <x:c r="F445" s="25" t="str">
        <x:v>gold.dim_provider; gold.dim_provider_home; gold.dim_referral_provider_message; gold.fact_ipa; gold.fact_offer; gold.fact_provider_kpi_monthly; gold.fact_referral_provider</x:v>
      </x:c>
      <x:c r="G445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CALCULATE(DISTINCTCOUNTNOBLANK('fact_provider_kpi_monthly'[assignment_month]), KEEPFILTERS(eligible))</x:v>
      </x:c>
      <x:c r="H445" s="25" t="str">
        <x:v>KPI_LATEST_CALCULATIONS.md#business-provider-scoring-cohort-months</x:v>
      </x:c>
      <x:c r="I445" s="25" t="str">
        <x:v>Saved definition; runtime/acceptance pending</x:v>
      </x:c>
    </x:row>
    <x:row r="446" ht="72" customHeight="1">
      <x:c r="A446" s="25" t="str">
        <x:v>Provider scoring denominator</x:v>
      </x:c>
      <x:c r="B446" s="25" t="str">
        <x:v>_Report Journey Measures</x:v>
      </x:c>
      <x:c r="C446" s="25" t="str">
        <x:v>Display/context helper</x:v>
      </x:c>
      <x:c r="D446" s="25" t="str">
        <x:v>Helper/context; not registered as an additional KPI</x:v>
      </x:c>
      <x:c r="E446" s="25" t="str">
        <x:v>Provider Explorer</x:v>
      </x:c>
      <x:c r="F446" s="25" t="str">
        <x:v>gold.dim_provider; gold.dim_provider_home; gold.dim_referral_provider_message; gold.dim_snapshot_month; gold.fact_ipa; gold.fact_offer; gold.fact_provider_kpi_monthly; gold.fact_referral_provider</x:v>
      </x:c>
      <x:c r="G446" s="25" t="str">
        <x:v>SWITCH(SELECTEDVALUE('Provider Scoring Evidence'[Ordinal]),
			0,[Explorer Gold opportunities],1,[Explorer Gold offers],2,[Explorer Gold successful referrals],3,[Provider scoring qualifying responses],BLANK())</x:v>
      </x:c>
      <x:c r="H446" s="25" t="str">
        <x:v>KPI_LATEST_CALCULATIONS.md#business-provider-scoring-denominator</x:v>
      </x:c>
      <x:c r="I446" s="25" t="str">
        <x:v>Saved definition; runtime/acceptance pending</x:v>
      </x:c>
    </x:row>
    <x:row r="447" ht="137" customHeight="1">
      <x:c r="A447" s="25" t="str">
        <x:v>Provider scoring evidence status</x:v>
      </x:c>
      <x:c r="B447" s="25" t="str">
        <x:v>_Report Journey Measures</x:v>
      </x:c>
      <x:c r="C447" s="25" t="str">
        <x:v>Display/context helper</x:v>
      </x:c>
      <x:c r="D447" s="25" t="str">
        <x:v>Helper/context; not registered as an additional KPI</x:v>
      </x:c>
      <x:c r="E447" s="25" t="str">
        <x:v>Provider Explorer</x:v>
      </x:c>
      <x:c r="F447" s="25" t="str">
        <x:v>gold.dim_provider; gold.dim_provider_home; gold.dim_referral_provider_message; gold.dim_snapshot_month; gold.fact_ipa; gold.fact_offer; gold.fact_provider_kpi_monthly; gold.fact_referral_provider</x:v>
      </x:c>
      <x:c r="G447" s="25" t="str">
        <x:v>VAR scoringOrdinal = SELECTEDVALUE('Provider Scoring Evidence'[Ordinal])
			VAR denominator = [Provider scoring denominator]
			VAR versions = CONCATENATEX(VALUES('fact_provider_kpi_monthly'[kpi_rule_version]),'fact_provider_kpi_monthly'[kpi_rule_version],", ")
			RETURN SWITCH(TRUE(), scoringOrdinal = 8, "Policy approval required", scoringOrdinal &gt; 3, "Evidence or policy missing",
			scoringOrdinal = 3, "Activity-level timing; no SLA threshold",
			ISBLANK(denominator) || denominator = 0, "No eligible cohort evidence",
			"Assignment cohort | " &amp; FORMAT([Provider scoring cohort months],"0") &amp; " month(s) | " &amp; COALESCE(versions,"Rule unknown"))</x:v>
      </x:c>
      <x:c r="H447" s="25" t="str">
        <x:v>KPI_LATEST_CALCULATIONS.md#business-provider-scoring-evidence-status</x:v>
      </x:c>
      <x:c r="I447" s="25" t="str">
        <x:v>Saved definition; runtime/acceptance pending</x:v>
      </x:c>
    </x:row>
    <x:row r="448" ht="202" customHeight="1">
      <x:c r="A448" s="25" t="str">
        <x:v>Provider scoring median response hours</x:v>
      </x:c>
      <x:c r="B448" s="25" t="str">
        <x:v>_Report Journey Measures</x:v>
      </x:c>
      <x:c r="C448" s="25" t="str">
        <x:v>Business metric</x:v>
      </x:c>
      <x:c r="D448" s="25" t="str">
        <x:v>GOLD-KPI-275</x:v>
      </x:c>
      <x:c r="E448" s="25" t="str">
        <x:v>No direct saved visual binding</x:v>
      </x:c>
      <x:c r="F448" s="25" t="str">
        <x:v>gold.dim_provider; gold.dim_provider_home; gold.dim_referral_provider_message; gold.dim_snapshot_month; gold.fact_ipa; gold.fact_offer; gold.fact_referral_provider</x:v>
      </x:c>
      <x:c r="G448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months = VALUES('dim_snapshot_month'[month_start]) VAR limited = ISFILTERED('dim_snapshot_month') RETURN CALCULATE(DIVIDE(MED
[EXCERPT; complete logic in KPI_LATEST_CALCULATIONS.md]</x:v>
      </x:c>
      <x:c r="H448" s="25" t="str">
        <x:v>KPI_LATEST_CALCULATIONS.md#business-provider-scoring-median-response-hours</x:v>
      </x:c>
      <x:c r="I448" s="25" t="str">
        <x:v>Saved definition; runtime/acceptance pending</x:v>
      </x:c>
    </x:row>
    <x:row r="449" ht="72" customHeight="1">
      <x:c r="A449" s="25" t="str">
        <x:v>Provider scoring numerator</x:v>
      </x:c>
      <x:c r="B449" s="25" t="str">
        <x:v>_Report Journey Measures</x:v>
      </x:c>
      <x:c r="C449" s="25" t="str">
        <x:v>Display/context helper</x:v>
      </x:c>
      <x:c r="D449" s="25" t="str">
        <x:v>Helper/context; not registered as an additional KPI</x:v>
      </x:c>
      <x:c r="E449" s="25" t="str">
        <x:v>Provider Explorer</x:v>
      </x:c>
      <x:c r="F449" s="25" t="str">
        <x:v>gold.dim_provider; gold.dim_provider_home; gold.dim_referral_provider_message; gold.dim_snapshot_month; gold.fact_ipa; gold.fact_offer; gold.fact_provider_kpi_monthly; gold.fact_referral_provider</x:v>
      </x:c>
      <x:c r="G449" s="25" t="str">
        <x:v>SWITCH(SELECTEDVALUE('Provider Scoring Evidence'[Ordinal]),
			0,[Explorer Gold responses],1,[Explorer Gold accepted offers],2,[Explorer Gold placed by target],3,[Provider scoring timed responses],BLANK())</x:v>
      </x:c>
      <x:c r="H449" s="25" t="str">
        <x:v>KPI_LATEST_CALCULATIONS.md#business-provider-scoring-numerator</x:v>
      </x:c>
      <x:c r="I449" s="25" t="str">
        <x:v>Saved definition; runtime/acceptance pending</x:v>
      </x:c>
    </x:row>
    <x:row r="450" ht="202" customHeight="1">
      <x:c r="A450" s="25" t="str">
        <x:v>Provider scoring qualifying responses</x:v>
      </x:c>
      <x:c r="B450" s="25" t="str">
        <x:v>_Report Journey Measures</x:v>
      </x:c>
      <x:c r="C450" s="25" t="str">
        <x:v>Business metric</x:v>
      </x:c>
      <x:c r="D450" s="25" t="str">
        <x:v>GOLD-KPI-276</x:v>
      </x:c>
      <x:c r="E450" s="25" t="str">
        <x:v>No direct saved visual binding</x:v>
      </x:c>
      <x:c r="F450" s="25" t="str">
        <x:v>gold.dim_provider; gold.dim_provider_home; gold.dim_referral_provider_message; gold.dim_snapshot_month; gold.fact_ipa; gold.fact_offer; gold.fact_referral_provider</x:v>
      </x:c>
      <x:c r="G450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months = VALUES('dim_snapshot_month'[month_start]) VAR limited = ISFILTERED('dim_snapshot_month') RETURN CALCULATE(DISTINCTCO
[EXCERPT; complete logic in KPI_LATEST_CALCULATIONS.md]</x:v>
      </x:c>
      <x:c r="H450" s="25" t="str">
        <x:v>KPI_LATEST_CALCULATIONS.md#business-provider-scoring-qualifying-responses</x:v>
      </x:c>
      <x:c r="I450" s="25" t="str">
        <x:v>Saved definition; runtime/acceptance pending</x:v>
      </x:c>
    </x:row>
    <x:row r="451" ht="189" customHeight="1">
      <x:c r="A451" s="25" t="str">
        <x:v>Provider scoring result</x:v>
      </x:c>
      <x:c r="B451" s="25" t="str">
        <x:v>_Report Journey Measures</x:v>
      </x:c>
      <x:c r="C451" s="25" t="str">
        <x:v>Display/context helper</x:v>
      </x:c>
      <x:c r="D451" s="25" t="str">
        <x:v>Helper/context; not registered as an additional KPI</x:v>
      </x:c>
      <x:c r="E451" s="25" t="str">
        <x:v>Provider Explorer</x:v>
      </x:c>
      <x:c r="F451" s="25" t="str">
        <x:v>gold.dim_provider; gold.dim_provider_home; gold.dim_referral_provider_message; gold.dim_snapshot_month; gold.fact_ipa; gold.fact_offer; gold.fact_provider_kpi_monthly; gold.fact_referral_provider</x:v>
      </x:c>
      <x:c r="G451" s="25" t="str">
        <x:v>VAR scoringOrdinal = SELECTEDVALUE('Provider Scoring Evidence'[Ordinal])
			VAR opportunities = [Explorer Gold opportunities]
			VAR offers = [Explorer Gold offers]
			VAR successes = [Explorer Gold successful referrals]
			RETURN SWITCH(scoringOrdinal,
			0, IF(opportunities &gt; 0, FORMAT([Explorer Gold response rate],"0.0%"), "Insufficient evidence"),
			1, IF(offers &gt; 0, FORMAT([Explorer Gold offer acceptance rate],"0.0%"), "Insufficient evidence"),
			2, IF(successes &gt; 0, FORMAT([Explorer Gold target placement rate],"0.0%"), "Insufficient evidence"),
			3, IF(ISBLANK([Provider scoring median response hours]), "Insufficient evidence", FORMAT([Provider scoring median response hours],"0.0") &amp; " h"),
			8, "Not approved", "Not scored")</x:v>
      </x:c>
      <x:c r="H451" s="25" t="str">
        <x:v>KPI_LATEST_CALCULATIONS.md#business-provider-scoring-result</x:v>
      </x:c>
      <x:c r="I451" s="25" t="str">
        <x:v>Saved definition; runtime/acceptance pending</x:v>
      </x:c>
    </x:row>
    <x:row r="452" ht="202" customHeight="1">
      <x:c r="A452" s="25" t="str">
        <x:v>Provider scoring timed responses</x:v>
      </x:c>
      <x:c r="B452" s="25" t="str">
        <x:v>_Report Journey Measures</x:v>
      </x:c>
      <x:c r="C452" s="25" t="str">
        <x:v>Business metric</x:v>
      </x:c>
      <x:c r="D452" s="25" t="str">
        <x:v>GOLD-KPI-277</x:v>
      </x:c>
      <x:c r="E452" s="25" t="str">
        <x:v>No direct saved visual binding</x:v>
      </x:c>
      <x:c r="F452" s="25" t="str">
        <x:v>gold.dim_provider; gold.dim_provider_home; gold.dim_referral_provider_message; gold.dim_snapshot_month; gold.fact_ipa; gold.fact_offer; gold.fact_referral_provider</x:v>
      </x:c>
      <x:c r="G452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CALCULATE(VAR months = VALUES('dim_snapshot_month'[month_start]) VAR limited = ISFILTERED('dim_snapshot_month') RETURN CALCULATE(DISTINCTCO
[EXCERPT; complete logic in KPI_LATEST_CALCULATIONS.md]</x:v>
      </x:c>
      <x:c r="H452" s="25" t="str">
        <x:v>KPI_LATEST_CALCULATIONS.md#business-provider-scoring-timed-responses</x:v>
      </x:c>
      <x:c r="I452" s="25" t="str">
        <x:v>Saved definition; runtime/acceptance pending</x:v>
      </x:c>
    </x:row>
    <x:row r="453" ht="163" customHeight="1">
      <x:c r="A453" s="25" t="str">
        <x:v>Provider selection context</x:v>
      </x:c>
      <x:c r="B453" s="25" t="str">
        <x:v>_Report Journey Measures</x:v>
      </x:c>
      <x:c r="C453" s="25" t="str">
        <x:v>Display/context helper</x:v>
      </x:c>
      <x:c r="D453" s="25" t="str">
        <x:v>Helper/context; not registered as an additional KPI</x:v>
      </x:c>
      <x:c r="E453" s="25" t="str">
        <x:v>Provider Explorer</x:v>
      </x:c>
      <x:c r="F453" s="25" t="str">
        <x:v>gold.dim_provider; gold.dim_provider_home; gold.dim_referral_provider_message; gold.fact_ipa; gold.fact_offer; gold.fact_referral_provider</x:v>
      </x:c>
      <x:c r="G453" s="25" t="str">
        <x:v>VAR message = (
			VAR n = [Explorer providers] RETURN IF(n = 0,"No matching providers - clear a filter or stage", IF(HASONEVALUE('dim_provider'[provider_id]),"Selected provider: " &amp; SELECTEDVALUE('dim_provider'[provider_id]),FORMAT(n,"#,0") &amp; " matching providers - select a row to open detail")))
			VAR statuses = VALUES('Provider Offer Status'[Status])
			VAR _sample = TOPN(3, statuses, 'Provider Offer Status'[Status], ASC)
			VAR label = CONCATENATEX(_sample, 'Provider Offer Status'[Status], ", ", 'Provider Offer Status'[Status], ASC)
			RETURN message &amp; IF(ISFILTERED('Provider Offer Status'[Status]), " | With offer status: " &amp; label &amp; IF(COUNTROWS(statuses) &gt; 3, " + " &amp; FORMAT(COUNTROWS(statuses) - 3, "0") &amp; " more", ""), "")</x:v>
      </x:c>
      <x:c r="H453" s="25" t="str">
        <x:v>KPI_LATEST_CALCULATIONS.md#business-provider-selection-context</x:v>
      </x:c>
      <x:c r="I453" s="25" t="str">
        <x:v>Saved definition; runtime/acceptance pending</x:v>
      </x:c>
    </x:row>
    <x:row r="454" ht="202" customHeight="1">
      <x:c r="A454" s="25" t="str">
        <x:v>Provider unanswered assignments</x:v>
      </x:c>
      <x:c r="B454" s="25" t="str">
        <x:v>_Report Journey Measures</x:v>
      </x:c>
      <x:c r="C454" s="25" t="str">
        <x:v>Business metric</x:v>
      </x:c>
      <x:c r="D454" s="25" t="str">
        <x:v>GOLD-KPI-278</x:v>
      </x:c>
      <x:c r="E454" s="25" t="str">
        <x:v>Provider Explorer</x:v>
      </x:c>
      <x:c r="F454" s="25" t="str">
        <x:v>gold.dim_provider; gold.dim_provider_home; gold.dim_referral_provider_message; gold.fact_ipa; gold.fact_offer; gold.fact_referral_provider</x:v>
      </x:c>
      <x:c r="G454" s="25" t="str">
        <x:v>VAR unrestricted =
			    NOT ISFILTERED('Provider Offer Status'[Status])
			    &amp;&amp; SELECTEDVALUE('Journey Provider Selection'[Stage], -1) = -1
			VAR homeFilterActive = ISFILTERED('dim_provider_home')
			VAR homeProviderIds = VALUES('dim_provider_home'[provider_id])
			VAR eligible =
			    FILTER(VALUES('dim_provider'[provider_id]),
			        NOT ISBLANK('dim_provider'[provider_id])
			        &amp;&amp; IF(unrestricted,
			            NOT homeFilterActive || 'dim_provider'[provider_id] IN homeProviderIds,
			            CALCULATE([Explorer provider row visible]) = 1))
			RETURN CALCULATE(CALCULATE(COALESCE(DISTINCTCOUNTNOBLANK('fact_referral_provider'[referral_provider_id]),0), KEEPFILTERS(FILTER('fact_referral_pro
[EXCERPT; complete logic in KPI_LATEST_CALCULATIONS.md]</x:v>
      </x:c>
      <x:c r="H454" s="25" t="str">
        <x:v>KPI_LATEST_CALCULATIONS.md#business-provider-unanswered-assignments</x:v>
      </x:c>
      <x:c r="I454" s="25" t="str">
        <x:v>Saved definition; runtime/acceptance pending</x:v>
      </x:c>
    </x:row>
    <x:row r="455" ht="124" customHeight="1">
      <x:c r="A455" s="25" t="str">
        <x:v>Providers - Fostering</x:v>
      </x:c>
      <x:c r="B455" s="25" t="str">
        <x:v>_Measures</x:v>
      </x:c>
      <x:c r="C455" s="25" t="str">
        <x:v>Business metric</x:v>
      </x:c>
      <x:c r="D455" s="25" t="str">
        <x:v>KPI-51; KPI-42</x:v>
      </x:c>
      <x:c r="E455" s="25" t="str">
        <x:v>No direct saved visual binding</x:v>
      </x:c>
      <x:c r="F455" s="25" t="str">
        <x:v>gold.bridge_provider_framework; gold.dim_framework; gold.dim_provider; gold.dim_provider_home</x:v>
      </x:c>
      <x:c r="G455" s="25" t="str">
        <x:v>VAR framework_providers = CALCULATETABLE ( VALUES ( 'bridge_provider_framework'[provider_id] ), FILTER ( 'dim_framework', LOWER ( 'dim_framework'[placement_type] ) IN { "fostering", "plcm-fost" } ) )
			VAR home_providers = CALCULATETABLE ( VALUES ( 'dim_provider_home'[provider_id] ), FILTER ( 'dim_provider_home', LOWER ( 'dim_provider_home'[service_type] ) IN { "fostering", "plcm-fost" } ) )
			RETURN CALCULATE ( [Providers Registered], KEEPFILTERS ( TREATAS ( DISTINCT ( UNION ( framework_providers, home_providers ) ), 'dim_provider'[provider_id] ) ) )</x:v>
      </x:c>
      <x:c r="H455" s="25" t="str">
        <x:v>KPI_LATEST_CALCULATIONS.md#business-providers-fostering</x:v>
      </x:c>
      <x:c r="I455" s="25" t="str">
        <x:v>Saved definition; runtime/acceptance pending</x:v>
      </x:c>
    </x:row>
    <x:row r="456" ht="59" customHeight="1">
      <x:c r="A456" s="25" t="str">
        <x:v>Providers - Residential</x:v>
      </x:c>
      <x:c r="B456" s="25" t="str">
        <x:v>_Measures</x:v>
      </x:c>
      <x:c r="C456" s="25" t="str">
        <x:v>Business metric</x:v>
      </x:c>
      <x:c r="D456" s="25" t="str">
        <x:v>KPI-43</x:v>
      </x:c>
      <x:c r="E456" s="25" t="str">
        <x:v>No direct saved visual binding</x:v>
      </x:c>
      <x:c r="F456" s="25" t="str">
        <x:v>gold.dim_provider_home</x:v>
      </x:c>
      <x:c r="G456" s="25" t="str">
        <x:v>CALCULATE (
			    DISTINCTCOUNT ( 'dim_provider_home'[provider_id] ),
			    'dim_provider_home'[service_type] = "Residential"
			)</x:v>
      </x:c>
      <x:c r="H456" s="25" t="str">
        <x:v>KPI_LATEST_CALCULATIONS.md#business-providers-residential</x:v>
      </x:c>
      <x:c r="I456" s="25" t="str">
        <x:v>Saved definition; runtime/acceptance pending</x:v>
      </x:c>
    </x:row>
    <x:row r="457" ht="59" customHeight="1">
      <x:c r="A457" s="25" t="str">
        <x:v>Providers - Supported Accommodation</x:v>
      </x:c>
      <x:c r="B457" s="25" t="str">
        <x:v>_Measures</x:v>
      </x:c>
      <x:c r="C457" s="25" t="str">
        <x:v>Business metric</x:v>
      </x:c>
      <x:c r="D457" s="25" t="str">
        <x:v>KPI-44</x:v>
      </x:c>
      <x:c r="E457" s="25" t="str">
        <x:v>No direct saved visual binding</x:v>
      </x:c>
      <x:c r="F457" s="25" t="str">
        <x:v>gold.dim_provider_home</x:v>
      </x:c>
      <x:c r="G457" s="25" t="str">
        <x:v>CALCULATE (
			    DISTINCTCOUNT ( 'dim_provider_home'[provider_id] ),
			    'dim_provider_home'[service_type] = "Supported Accommodation"
			)</x:v>
      </x:c>
      <x:c r="H457" s="25" t="str">
        <x:v>KPI_LATEST_CALCULATIONS.md#business-providers-supported-accommodation</x:v>
      </x:c>
      <x:c r="I457" s="25" t="str">
        <x:v>Saved definition; runtime/acceptance pending</x:v>
      </x:c>
    </x:row>
    <x:row r="458" ht="72" customHeight="1">
      <x:c r="A458" s="25" t="str">
        <x:v>Providers Approved</x:v>
      </x:c>
      <x:c r="B458" s="25" t="str">
        <x:v>_Measures</x:v>
      </x:c>
      <x:c r="C458" s="25" t="str">
        <x:v>Business metric</x:v>
      </x:c>
      <x:c r="D458" s="25" t="str">
        <x:v>KPI-104</x:v>
      </x:c>
      <x:c r="E458" s="25" t="str">
        <x:v>No direct saved visual binding</x:v>
      </x:c>
      <x:c r="F458" s="25" t="str">
        <x:v>gold.dim_provider</x:v>
      </x:c>
      <x:c r="G458" s="25" t="str">
        <x:v>CALCULATE (
			    [Providers Registered],
			    FILTER ( 'dim_provider', LOWER ( COALESCE ( 'dim_provider'[provider_status], "" ) ) = "approved" )
			)</x:v>
      </x:c>
      <x:c r="H458" s="25" t="str">
        <x:v>KPI_LATEST_CALCULATIONS.md#business-providers-approved</x:v>
      </x:c>
      <x:c r="I458" s="25" t="str">
        <x:v>Saved definition; runtime/acceptance pending</x:v>
      </x:c>
    </x:row>
    <x:row r="459" ht="72" customHeight="1">
      <x:c r="A459" s="25" t="str">
        <x:v>Providers Pending Onboarding</x:v>
      </x:c>
      <x:c r="B459" s="25" t="str">
        <x:v>_Measures</x:v>
      </x:c>
      <x:c r="C459" s="25" t="str">
        <x:v>Business metric</x:v>
      </x:c>
      <x:c r="D459" s="25" t="str">
        <x:v>KPI-104; KPI-116</x:v>
      </x:c>
      <x:c r="E459" s="25" t="str">
        <x:v>No direct saved visual binding</x:v>
      </x:c>
      <x:c r="F459" s="25" t="str">
        <x:v>gold.dim_provider</x:v>
      </x:c>
      <x:c r="G459" s="25" t="str">
        <x:v>CALCULATE (
			    [Providers Registered],
			    FILTER ( 'dim_provider', LOWER ( COALESCE ( 'dim_provider'[provider_status], "" ) ) = "pending" )
			)</x:v>
      </x:c>
      <x:c r="H459" s="25" t="str">
        <x:v>KPI_LATEST_CALCULATIONS.md#business-providers-pending-onboarding</x:v>
      </x:c>
      <x:c r="I459" s="25" t="str">
        <x:v>Saved definition; runtime/acceptance pending</x:v>
      </x:c>
    </x:row>
    <x:row r="460" ht="24" customHeight="1">
      <x:c r="A460" s="25" t="str">
        <x:v>Providers Registered</x:v>
      </x:c>
      <x:c r="B460" s="25" t="str">
        <x:v>_Measures</x:v>
      </x:c>
      <x:c r="C460" s="25" t="str">
        <x:v>Business metric</x:v>
      </x:c>
      <x:c r="D460" s="25" t="str">
        <x:v>KPI-41</x:v>
      </x:c>
      <x:c r="E460" s="25" t="str">
        <x:v>No direct saved visual binding</x:v>
      </x:c>
      <x:c r="F460" s="25" t="str">
        <x:v>gold.dim_provider</x:v>
      </x:c>
      <x:c r="G460" s="25" t="str">
        <x:v>DISTINCTCOUNT(dim_provider[provider_id])</x:v>
      </x:c>
      <x:c r="H460" s="25" t="str">
        <x:v>KPI_LATEST_CALCULATIONS.md#business-providers-registered</x:v>
      </x:c>
      <x:c r="I460" s="25" t="str">
        <x:v>Saved definition; runtime/acceptance pending</x:v>
      </x:c>
    </x:row>
    <x:row r="461" ht="124" customHeight="1">
      <x:c r="A461" s="25" t="str">
        <x:v>Providers Who Made Offers</x:v>
      </x:c>
      <x:c r="B461" s="25" t="str">
        <x:v>_Measures</x:v>
      </x:c>
      <x:c r="C461" s="25" t="str">
        <x:v>Business metric</x:v>
      </x:c>
      <x:c r="D461" s="25" t="str">
        <x:v>KPI-11</x:v>
      </x:c>
      <x:c r="E461" s="25" t="str">
        <x:v>Provider &amp; Placement Supply</x:v>
      </x:c>
      <x:c r="F461" s="25" t="str">
        <x:v>gold.fact_offer</x:v>
      </x:c>
      <x:c r="G461" s="25" t="str">
        <x:v>CALCULATE (
			    DISTINCTCOUNT ( 'fact_offer'[provider_id] ),
			    FILTER (
			        'fact_offer',
			        NOT (
			            LOWER ( COALESCE ( 'fact_offer'[offer_status], "" ) )
			                IN { "draft", "withdrawn", "offer_withdrawn" }
			        )
			    ))</x:v>
      </x:c>
      <x:c r="H461" s="25" t="str">
        <x:v>KPI_LATEST_CALCULATIONS.md#business-providers-who-made-offers</x:v>
      </x:c>
      <x:c r="I461" s="25" t="str">
        <x:v>Saved definition; runtime/acceptance pending</x:v>
      </x:c>
    </x:row>
    <x:row r="462" ht="111" customHeight="1">
      <x:c r="A462" s="25" t="str">
        <x:v>Providers With Offers on Referrals Under Offer</x:v>
      </x:c>
      <x:c r="B462" s="25" t="str">
        <x:v>_Measures</x:v>
      </x:c>
      <x:c r="C462" s="25" t="str">
        <x:v>Business metric</x:v>
      </x:c>
      <x:c r="D462" s="25" t="str">
        <x:v>GOLD-KPI-279</x:v>
      </x:c>
      <x:c r="E462" s="25" t="str">
        <x:v>No direct saved visual binding</x:v>
      </x:c>
      <x:c r="F462" s="25" t="str">
        <x:v>gold.fact_offer; gold.fact_referral</x:v>
      </x:c>
      <x:c r="G462" s="25" t="str">
        <x:v>CALCULATE (
			    [Providers Who Made Offers],
			    FILTER (
			        'fact_referral',
			        'fact_referral'[is_open] = TRUE () &amp;&amp; 'fact_referral'[current_status] = "UNDER_OFFER"
			    )
			)</x:v>
      </x:c>
      <x:c r="H462" s="25" t="str">
        <x:v>KPI_LATEST_CALCULATIONS.md#business-providers-with-offers-on-referrals-under-offer</x:v>
      </x:c>
      <x:c r="I462" s="25" t="str">
        <x:v>Saved definition; runtime/acceptance pending</x:v>
      </x:c>
    </x:row>
    <x:row r="463" ht="85" customHeight="1">
      <x:c r="A463" s="25" t="str">
        <x:v>Providers With Pending Offers 30+ Days</x:v>
      </x:c>
      <x:c r="B463" s="25" t="str">
        <x:v>_Measures</x:v>
      </x:c>
      <x:c r="C463" s="25" t="str">
        <x:v>Business metric</x:v>
      </x:c>
      <x:c r="D463" s="25" t="str">
        <x:v>KPI-69</x:v>
      </x:c>
      <x:c r="E463" s="25" t="str">
        <x:v>No direct saved visual binding</x:v>
      </x:c>
      <x:c r="F463" s="25" t="str">
        <x:v>gold.fact_offer</x:v>
      </x:c>
      <x:c r="G463" s="25" t="str">
        <x:v>CALCULATE (
			    DISTINCTCOUNT ( 'fact_offer'[provider_id] ),
			    KEEPFILTERS ( FILTER ( 'fact_offer', LOWER ( COALESCE ( 'fact_offer'[offer_status], "" ) ) IN { "pending", "offer_made" } &amp;&amp; 'fact_offer'[offer_age_days] &gt;= 30 ) )
			)</x:v>
      </x:c>
      <x:c r="H463" s="25" t="str">
        <x:v>KPI_LATEST_CALCULATIONS.md#business-providers-with-pending-offers-30-days</x:v>
      </x:c>
      <x:c r="I463" s="25" t="str">
        <x:v>Saved definition; runtime/acceptance pending</x:v>
      </x:c>
    </x:row>
    <x:row r="464" ht="33" customHeight="1">
      <x:c r="A464" s="25" t="str">
        <x:v>Providers With QA Flags</x:v>
      </x:c>
      <x:c r="B464" s="25" t="str">
        <x:v>_Measures</x:v>
      </x:c>
      <x:c r="C464" s="25" t="str">
        <x:v>Business metric</x:v>
      </x:c>
      <x:c r="D464" s="25" t="str">
        <x:v>KPI-97 </x:v>
      </x:c>
      <x:c r="E464" s="25" t="str">
        <x:v>No direct saved visual binding</x:v>
      </x:c>
      <x:c r="F464" s="25" t="str">
        <x:v>gold.dim_provider</x:v>
      </x:c>
      <x:c r="G464" s="25" t="str">
        <x:v>CALCULATE ( [Providers Registered], KEEPFILTERS ( 'dim_provider'[qa_flag] = TRUE () ) )</x:v>
      </x:c>
      <x:c r="H464" s="25" t="str">
        <x:v>KPI_LATEST_CALCULATIONS.md#business-providers-with-qa-flags</x:v>
      </x:c>
      <x:c r="I464" s="25" t="str">
        <x:v>Saved definition; runtime/acceptance pending</x:v>
      </x:c>
    </x:row>
    <x:row r="465" ht="163" customHeight="1">
      <x:c r="A465" s="25" t="str">
        <x:v>QA Flagged Homes</x:v>
      </x:c>
      <x:c r="B465" s="25" t="str">
        <x:v>_Measures</x:v>
      </x:c>
      <x:c r="C465" s="25" t="str">
        <x:v>Business metric</x:v>
      </x:c>
      <x:c r="D465" s="25" t="str">
        <x:v>KPI-99 </x:v>
      </x:c>
      <x:c r="E465" s="25" t="str">
        <x:v>No direct saved visual binding</x:v>
      </x:c>
      <x:c r="F465" s="25" t="str">
        <x:v>gold.dim_provider; gold.dim_provider_home</x:v>
      </x:c>
      <x:c r="G465" s="25" t="str">
        <x:v>VAR flagged_providers = CALCULATETABLE ( VALUES ( 'dim_provider'[provider_id] ), 'dim_provider'[qa_flag] = TRUE () )
			VAR selected_providers = VALUES ( 'dim_provider'[provider_id] )
			RETURN
			    CALCULATE (
			        [Provider Homes Registered],
			        KEEPFILTERS ( TREATAS ( selected_providers, 'dim_provider_home'[provider_id] ) ),
			        KEEPFILTERS ( FILTER ( 'dim_provider_home', 'dim_provider_home'[qa_flag] = TRUE () || 'dim_provider_home'[provider_id] IN flagged_providers ) )
			    )</x:v>
      </x:c>
      <x:c r="H465" s="25" t="str">
        <x:v>KPI_LATEST_CALCULATIONS.md#business-qa-flagged-homes</x:v>
      </x:c>
      <x:c r="I465" s="25" t="str">
        <x:v>Saved definition; runtime/acceptance pending</x:v>
      </x:c>
    </x:row>
    <x:row r="466" ht="85" customHeight="1">
      <x:c r="A466" s="25" t="str">
        <x:v>Rail activity caption</x:v>
      </x:c>
      <x:c r="B466" s="25" t="str">
        <x:v>_Journey Interaction</x:v>
      </x:c>
      <x:c r="C466" s="25" t="str">
        <x:v>Display/filter/context helper</x:v>
      </x:c>
      <x:c r="D466" s="25" t="str">
        <x:v>Helper/context; not registered as an additional KPI</x:v>
      </x:c>
      <x:c r="E466" s="25" t="str">
        <x:v>Referral Detail (Drillthrough)</x:v>
      </x:c>
      <x:c r="F466" s="25" t="str">
        <x:v>gold.fact_referral</x:v>
      </x:c>
      <x:c r="G466" s="25" t="str">
        <x:v>VAR stage = SELECTEDVALUE('Journey Detail Selection'[Stage], -1)
			VAR focus = SWITCH(stage, 1,"Referral activity",2,"Provider-message activity",3,"Offer activity",4,"Offer updates (acceptance is not an explicit event)",5,"IPA activity",6,"IPA updates (signature is not an explicit event)","All recorded activity")
			RETURN "Activity focus: " &amp; focus &amp; ". " &amp; [Journey next action]</x:v>
      </x:c>
      <x:c r="H466" s="25" t="str">
        <x:v>KPI_LATEST_CALCULATIONS.md#business-rail-activity-caption</x:v>
      </x:c>
      <x:c r="I466" s="25" t="str">
        <x:v>Saved definition; runtime/acceptance pending</x:v>
      </x:c>
    </x:row>
    <x:row r="467" ht="137" customHeight="1">
      <x:c r="A467" s="25" t="str">
        <x:v>Rail activity row visible</x:v>
      </x:c>
      <x:c r="B467" s="25" t="str">
        <x:v>_Journey Interaction</x:v>
      </x:c>
      <x:c r="C467" s="25" t="str">
        <x:v>Display/filter/context helper</x:v>
      </x:c>
      <x:c r="D467" s="25" t="str">
        <x:v>Helper/context; not registered as an additional KPI</x:v>
      </x:c>
      <x:c r="E467" s="25" t="str">
        <x:v>Referral Detail (Drillthrough)</x:v>
      </x:c>
      <x:c r="F467" s="25" t="str">
        <x:v>gold.fact_referral_lifecycle_event</x:v>
      </x:c>
      <x:c r="G467" s="25" t="str">
        <x:v>VAR stage = SELECTEDVALUE('Journey Detail Selection'[Stage], -1)
			VAR eventType = SELECTEDVALUE('fact_referral_lifecycle_event'[event_type])
			RETURN IF(stage = -1, 1, IF(SWITCH(stage,
			1, eventType IN {"ReferralCreated", "ReferralModified"},
			2, eventType = "ProviderMessageSent",
			3, eventType IN {"OfferSubmitted", "OfferUpdated"},
			4, eventType = "OfferUpdated",
			5, eventType IN {"IPACreated", "IPAUpdated"},
			6, eventType = "IPAUpdated", FALSE()), 1, BLANK()))</x:v>
      </x:c>
      <x:c r="H467" s="25" t="str">
        <x:v>KPI_LATEST_CALCULATIONS.md#business-rail-activity-row-visible</x:v>
      </x:c>
      <x:c r="I467" s="25" t="str">
        <x:v>Saved definition; runtime/acceptance pending</x:v>
      </x:c>
    </x:row>
    <x:row r="468" ht="46" customHeight="1">
      <x:c r="A468" s="25" t="str">
        <x:v>Rail provider circle 1</x:v>
      </x:c>
      <x:c r="B468" s="25" t="str">
        <x:v>_Journey Interaction</x:v>
      </x:c>
      <x:c r="C468" s="25" t="str">
        <x:v>Display/filter/context helper</x:v>
      </x:c>
      <x:c r="D468" s="25" t="str">
        <x:v>Helper/context; not registered as an additional KPI</x:v>
      </x:c>
      <x:c r="E468" s="25" t="str">
        <x:v>Provider Explorer</x:v>
      </x:c>
      <x:c r="F468" s="25" t="str"/>
      <x:c r="G468" s="25" t="str">
        <x:v>IF(1=4, "#F0EBE7", IF(ISFILTERED('Journey Provider Selection'[Stage]), IF(SELECTEDVALUE('Journey Provider Selection'[Stage]) = 1, "#EF7911", "#F0EBE7"), "#FCA356"))</x:v>
      </x:c>
      <x:c r="H468" s="25" t="str">
        <x:v>KPI_LATEST_CALCULATIONS.md#business-rail-provider-circle-1</x:v>
      </x:c>
      <x:c r="I468" s="25" t="str">
        <x:v>Saved definition; runtime/acceptance pending</x:v>
      </x:c>
    </x:row>
    <x:row r="469" ht="46" customHeight="1">
      <x:c r="A469" s="25" t="str">
        <x:v>Rail provider circle 2</x:v>
      </x:c>
      <x:c r="B469" s="25" t="str">
        <x:v>_Journey Interaction</x:v>
      </x:c>
      <x:c r="C469" s="25" t="str">
        <x:v>Display/filter/context helper</x:v>
      </x:c>
      <x:c r="D469" s="25" t="str">
        <x:v>Helper/context; not registered as an additional KPI</x:v>
      </x:c>
      <x:c r="E469" s="25" t="str">
        <x:v>Provider Explorer</x:v>
      </x:c>
      <x:c r="F469" s="25" t="str"/>
      <x:c r="G469" s="25" t="str">
        <x:v>IF(2=4, "#F0EBE7", IF(ISFILTERED('Journey Provider Selection'[Stage]), IF(SELECTEDVALUE('Journey Provider Selection'[Stage]) = 2, "#EF7911", "#F0EBE7"), "#FCA356"))</x:v>
      </x:c>
      <x:c r="H469" s="25" t="str">
        <x:v>KPI_LATEST_CALCULATIONS.md#business-rail-provider-circle-2</x:v>
      </x:c>
      <x:c r="I469" s="25" t="str">
        <x:v>Saved definition; runtime/acceptance pending</x:v>
      </x:c>
    </x:row>
    <x:row r="470" ht="46" customHeight="1">
      <x:c r="A470" s="25" t="str">
        <x:v>Rail provider circle 3</x:v>
      </x:c>
      <x:c r="B470" s="25" t="str">
        <x:v>_Journey Interaction</x:v>
      </x:c>
      <x:c r="C470" s="25" t="str">
        <x:v>Display/filter/context helper</x:v>
      </x:c>
      <x:c r="D470" s="25" t="str">
        <x:v>Helper/context; not registered as an additional KPI</x:v>
      </x:c>
      <x:c r="E470" s="25" t="str">
        <x:v>Provider Explorer</x:v>
      </x:c>
      <x:c r="F470" s="25" t="str"/>
      <x:c r="G470" s="25" t="str">
        <x:v>IF(3=4, "#F0EBE7", IF(ISFILTERED('Journey Provider Selection'[Stage]), IF(SELECTEDVALUE('Journey Provider Selection'[Stage]) = 3, "#EF7911", "#F0EBE7"), "#FCA356"))</x:v>
      </x:c>
      <x:c r="H470" s="25" t="str">
        <x:v>KPI_LATEST_CALCULATIONS.md#business-rail-provider-circle-3</x:v>
      </x:c>
      <x:c r="I470" s="25" t="str">
        <x:v>Saved definition; runtime/acceptance pending</x:v>
      </x:c>
    </x:row>
    <x:row r="471" ht="46" customHeight="1">
      <x:c r="A471" s="25" t="str">
        <x:v>Rail provider circle 4</x:v>
      </x:c>
      <x:c r="B471" s="25" t="str">
        <x:v>_Journey Interaction</x:v>
      </x:c>
      <x:c r="C471" s="25" t="str">
        <x:v>Display/filter/context helper</x:v>
      </x:c>
      <x:c r="D471" s="25" t="str">
        <x:v>Helper/context; not registered as an additional KPI</x:v>
      </x:c>
      <x:c r="E471" s="25" t="str">
        <x:v>Provider Explorer</x:v>
      </x:c>
      <x:c r="F471" s="25" t="str"/>
      <x:c r="G471" s="25" t="str">
        <x:v>IF(4=4, "#F0EBE7", IF(ISFILTERED('Journey Provider Selection'[Stage]), IF(SELECTEDVALUE('Journey Provider Selection'[Stage]) = 4, "#EF7911", "#F0EBE7"), "#FCA356"))</x:v>
      </x:c>
      <x:c r="H471" s="25" t="str">
        <x:v>KPI_LATEST_CALCULATIONS.md#business-rail-provider-circle-4</x:v>
      </x:c>
      <x:c r="I471" s="25" t="str">
        <x:v>Saved definition; runtime/acceptance pending</x:v>
      </x:c>
    </x:row>
    <x:row r="472" ht="46" customHeight="1">
      <x:c r="A472" s="25" t="str">
        <x:v>Rail provider circle 5</x:v>
      </x:c>
      <x:c r="B472" s="25" t="str">
        <x:v>_Journey Interaction</x:v>
      </x:c>
      <x:c r="C472" s="25" t="str">
        <x:v>Display/filter/context helper</x:v>
      </x:c>
      <x:c r="D472" s="25" t="str">
        <x:v>Helper/context; not registered as an additional KPI</x:v>
      </x:c>
      <x:c r="E472" s="25" t="str">
        <x:v>Provider Explorer</x:v>
      </x:c>
      <x:c r="F472" s="25" t="str"/>
      <x:c r="G472" s="25" t="str">
        <x:v>IF(5=4, "#F0EBE7", IF(ISFILTERED('Journey Provider Selection'[Stage]), IF(SELECTEDVALUE('Journey Provider Selection'[Stage]) = 5, "#EF7911", "#F0EBE7"), "#FCA356"))</x:v>
      </x:c>
      <x:c r="H472" s="25" t="str">
        <x:v>KPI_LATEST_CALCULATIONS.md#business-rail-provider-circle-5</x:v>
      </x:c>
      <x:c r="I472" s="25" t="str">
        <x:v>Saved definition; runtime/acceptance pending</x:v>
      </x:c>
    </x:row>
    <x:row r="473" ht="59" customHeight="1">
      <x:c r="A473" s="25" t="str">
        <x:v>Rail provider cohort label</x:v>
      </x:c>
      <x:c r="B473" s="25" t="str">
        <x:v>_Journey Interaction</x:v>
      </x:c>
      <x:c r="C473" s="25" t="str">
        <x:v>Display/filter/context helper</x:v>
      </x:c>
      <x:c r="D473" s="25" t="str">
        <x:v>Helper/context; not registered as an additional KPI</x:v>
      </x:c>
      <x:c r="E473" s="25" t="str">
        <x:v>No direct saved visual binding</x:v>
      </x:c>
      <x:c r="F473" s="25" t="str">
        <x:v>gold.dim_provider; gold.dim_provider_home; gold.dim_referral_provider_message; gold.fact_ipa; gold.fact_offer; gold.fact_referral_provider</x:v>
      </x:c>
      <x:c r="G473" s="25" t="str">
        <x:v>VAR providerKey = SELECTEDVALUE('dim_provider'[provider_id])
			RETURN IF(NOT ISBLANK(providerKey), CALCULATE([Journey provider label], ALLSELECTED(), KEEPFILTERS(TREATAS({providerKey},'dim_provider'[provider_id]))))</x:v>
      </x:c>
      <x:c r="H473" s="25" t="str">
        <x:v>KPI_LATEST_CALCULATIONS.md#business-rail-provider-cohort-label</x:v>
      </x:c>
      <x:c r="I473" s="25" t="str">
        <x:v>Saved definition; runtime/acceptance pending</x:v>
      </x:c>
    </x:row>
    <x:row r="474" ht="46" customHeight="1">
      <x:c r="A474" s="25" t="str">
        <x:v>Rail provider row visible</x:v>
      </x:c>
      <x:c r="B474" s="25" t="str">
        <x:v>_Journey Interaction</x:v>
      </x:c>
      <x:c r="C474" s="25" t="str">
        <x:v>Display/filter/context helper</x:v>
      </x:c>
      <x:c r="D474" s="25" t="str">
        <x:v>Helper/context; not registered as an additional KPI</x:v>
      </x:c>
      <x:c r="E474" s="25" t="str">
        <x:v>No direct saved visual binding</x:v>
      </x:c>
      <x:c r="F474" s="25" t="str">
        <x:v>gold.dim_provider; gold.dim_provider_home; gold.dim_referral_provider_message; gold.fact_ipa; gold.fact_offer; gold.fact_referral_provider</x:v>
      </x:c>
      <x:c r="G474" s="25" t="str">
        <x:v>[Explorer provider row visible]</x:v>
      </x:c>
      <x:c r="H474" s="25" t="str">
        <x:v>KPI_LATEST_CALCULATIONS.md#business-rail-provider-row-visible</x:v>
      </x:c>
      <x:c r="I474" s="25" t="str">
        <x:v>Saved definition; runtime/acceptance pending</x:v>
      </x:c>
    </x:row>
    <x:row r="475" ht="85" customHeight="1">
      <x:c r="A475" s="25" t="str">
        <x:v>Rail provider selected metric</x:v>
      </x:c>
      <x:c r="B475" s="25" t="str">
        <x:v>_Journey Interaction</x:v>
      </x:c>
      <x:c r="C475" s="25" t="str">
        <x:v>Display/filter/context helper</x:v>
      </x:c>
      <x:c r="D475" s="25" t="str">
        <x:v>Helper/context; not registered as an additional KPI</x:v>
      </x:c>
      <x:c r="E475" s="25" t="str">
        <x:v>Provider Explorer</x:v>
      </x:c>
      <x:c r="F475" s="25" t="str">
        <x:v>gold.dim_provider; gold.dim_provider_home; gold.dim_referral_provider_message; gold.fact_ipa; gold.fact_offer; gold.fact_referral_provider</x:v>
      </x:c>
      <x:c r="G475" s="25" t="str">
        <x:v>VAR metric = IF(NOT ISCROSSFILTERED('Dashboard Metric Selector'), 3, SELECTEDVALUE('Dashboard Metric Selector'[Dashboard Metric Selector Order]))
			RETURN SWITCH(metric, 0,[Explorer provider assigned referrals],3,[Explorer provider offers],4,[Explorer provider accepted offers],5,[Explorer provider pending offers],6,[Explorer provider IPAs],7,[Explorer provider completed IPAs],BLANK())</x:v>
      </x:c>
      <x:c r="H475" s="25" t="str">
        <x:v>KPI_LATEST_CALCULATIONS.md#business-rail-provider-selected-metric</x:v>
      </x:c>
      <x:c r="I475" s="25" t="str">
        <x:v>Saved definition; runtime/acceptance pending</x:v>
      </x:c>
    </x:row>
    <x:row r="476" ht="33" customHeight="1">
      <x:c r="A476" s="25" t="str">
        <x:v>Rail referral circle 1</x:v>
      </x:c>
      <x:c r="B476" s="25" t="str">
        <x:v>_Journey Interaction</x:v>
      </x:c>
      <x:c r="C476" s="25" t="str">
        <x:v>Display/filter/context helper</x:v>
      </x:c>
      <x:c r="D476" s="25" t="str">
        <x:v>Helper/context; not registered as an additional KPI</x:v>
      </x:c>
      <x:c r="E476" s="25" t="str">
        <x:v>Referral Explorer</x:v>
      </x:c>
      <x:c r="F476" s="25" t="str">
        <x:v>gold.fact_referral</x:v>
      </x:c>
      <x:c r="G476" s="25" t="str">
        <x:v>IF(ISFILTERED('fact_referral'[Journey stage order]), IF(SELECTEDVALUE('fact_referral'[Journey stage order]) = 1, "#EF7911", "#F0EBE7"), "#FCA356")</x:v>
      </x:c>
      <x:c r="H476" s="25" t="str">
        <x:v>KPI_LATEST_CALCULATIONS.md#business-rail-referral-circle-1</x:v>
      </x:c>
      <x:c r="I476" s="25" t="str">
        <x:v>Saved definition; runtime/acceptance pending</x:v>
      </x:c>
    </x:row>
    <x:row r="477" ht="33" customHeight="1">
      <x:c r="A477" s="25" t="str">
        <x:v>Rail referral circle 2</x:v>
      </x:c>
      <x:c r="B477" s="25" t="str">
        <x:v>_Journey Interaction</x:v>
      </x:c>
      <x:c r="C477" s="25" t="str">
        <x:v>Display/filter/context helper</x:v>
      </x:c>
      <x:c r="D477" s="25" t="str">
        <x:v>Helper/context; not registered as an additional KPI</x:v>
      </x:c>
      <x:c r="E477" s="25" t="str">
        <x:v>Referral Explorer</x:v>
      </x:c>
      <x:c r="F477" s="25" t="str">
        <x:v>gold.fact_referral</x:v>
      </x:c>
      <x:c r="G477" s="25" t="str">
        <x:v>IF(ISFILTERED('fact_referral'[Journey stage order]), IF(SELECTEDVALUE('fact_referral'[Journey stage order]) = 2, "#EF7911", "#F0EBE7"), "#FCA356")</x:v>
      </x:c>
      <x:c r="H477" s="25" t="str">
        <x:v>KPI_LATEST_CALCULATIONS.md#business-rail-referral-circle-2</x:v>
      </x:c>
      <x:c r="I477" s="25" t="str">
        <x:v>Saved definition; runtime/acceptance pending</x:v>
      </x:c>
    </x:row>
    <x:row r="478" ht="33" customHeight="1">
      <x:c r="A478" s="25" t="str">
        <x:v>Rail referral circle 3</x:v>
      </x:c>
      <x:c r="B478" s="25" t="str">
        <x:v>_Journey Interaction</x:v>
      </x:c>
      <x:c r="C478" s="25" t="str">
        <x:v>Display/filter/context helper</x:v>
      </x:c>
      <x:c r="D478" s="25" t="str">
        <x:v>Helper/context; not registered as an additional KPI</x:v>
      </x:c>
      <x:c r="E478" s="25" t="str">
        <x:v>Referral Explorer</x:v>
      </x:c>
      <x:c r="F478" s="25" t="str">
        <x:v>gold.fact_referral</x:v>
      </x:c>
      <x:c r="G478" s="25" t="str">
        <x:v>IF(ISFILTERED('fact_referral'[Journey stage order]), IF(SELECTEDVALUE('fact_referral'[Journey stage order]) = 3, "#EF7911", "#F0EBE7"), "#FCA356")</x:v>
      </x:c>
      <x:c r="H478" s="25" t="str">
        <x:v>KPI_LATEST_CALCULATIONS.md#business-rail-referral-circle-3</x:v>
      </x:c>
      <x:c r="I478" s="25" t="str">
        <x:v>Saved definition; runtime/acceptance pending</x:v>
      </x:c>
    </x:row>
    <x:row r="479" ht="33" customHeight="1">
      <x:c r="A479" s="25" t="str">
        <x:v>Rail referral circle 4</x:v>
      </x:c>
      <x:c r="B479" s="25" t="str">
        <x:v>_Journey Interaction</x:v>
      </x:c>
      <x:c r="C479" s="25" t="str">
        <x:v>Display/filter/context helper</x:v>
      </x:c>
      <x:c r="D479" s="25" t="str">
        <x:v>Helper/context; not registered as an additional KPI</x:v>
      </x:c>
      <x:c r="E479" s="25" t="str">
        <x:v>Referral Explorer</x:v>
      </x:c>
      <x:c r="F479" s="25" t="str">
        <x:v>gold.fact_referral</x:v>
      </x:c>
      <x:c r="G479" s="25" t="str">
        <x:v>IF(ISFILTERED('fact_referral'[Journey stage order]), IF(SELECTEDVALUE('fact_referral'[Journey stage order]) = 4, "#EF7911", "#F0EBE7"), "#FCA356")</x:v>
      </x:c>
      <x:c r="H479" s="25" t="str">
        <x:v>KPI_LATEST_CALCULATIONS.md#business-rail-referral-circle-4</x:v>
      </x:c>
      <x:c r="I479" s="25" t="str">
        <x:v>Saved definition; runtime/acceptance pending</x:v>
      </x:c>
    </x:row>
    <x:row r="480" ht="33" customHeight="1">
      <x:c r="A480" s="25" t="str">
        <x:v>Rail referral circle 5</x:v>
      </x:c>
      <x:c r="B480" s="25" t="str">
        <x:v>_Journey Interaction</x:v>
      </x:c>
      <x:c r="C480" s="25" t="str">
        <x:v>Display/filter/context helper</x:v>
      </x:c>
      <x:c r="D480" s="25" t="str">
        <x:v>Helper/context; not registered as an additional KPI</x:v>
      </x:c>
      <x:c r="E480" s="25" t="str">
        <x:v>Referral Explorer</x:v>
      </x:c>
      <x:c r="F480" s="25" t="str">
        <x:v>gold.fact_referral</x:v>
      </x:c>
      <x:c r="G480" s="25" t="str">
        <x:v>IF(ISFILTERED('fact_referral'[Journey stage order]), IF(SELECTEDVALUE('fact_referral'[Journey stage order]) = 5, "#EF7911", "#F0EBE7"), "#FCA356")</x:v>
      </x:c>
      <x:c r="H480" s="25" t="str">
        <x:v>KPI_LATEST_CALCULATIONS.md#business-rail-referral-circle-5</x:v>
      </x:c>
      <x:c r="I480" s="25" t="str">
        <x:v>Saved definition; runtime/acceptance pending</x:v>
      </x:c>
    </x:row>
    <x:row r="481" ht="33" customHeight="1">
      <x:c r="A481" s="25" t="str">
        <x:v>Rail referral circle 6</x:v>
      </x:c>
      <x:c r="B481" s="25" t="str">
        <x:v>_Journey Interaction</x:v>
      </x:c>
      <x:c r="C481" s="25" t="str">
        <x:v>Display/filter/context helper</x:v>
      </x:c>
      <x:c r="D481" s="25" t="str">
        <x:v>Helper/context; not registered as an additional KPI</x:v>
      </x:c>
      <x:c r="E481" s="25" t="str">
        <x:v>Referral Explorer</x:v>
      </x:c>
      <x:c r="F481" s="25" t="str">
        <x:v>gold.fact_referral</x:v>
      </x:c>
      <x:c r="G481" s="25" t="str">
        <x:v>IF(ISFILTERED('fact_referral'[Journey stage order]), IF(SELECTEDVALUE('fact_referral'[Journey stage order]) = 6, "#EF7911", "#F0EBE7"), "#FCA356")</x:v>
      </x:c>
      <x:c r="H481" s="25" t="str">
        <x:v>KPI_LATEST_CALCULATIONS.md#business-rail-referral-circle-6</x:v>
      </x:c>
      <x:c r="I481" s="25" t="str">
        <x:v>Saved definition; runtime/acceptance pending</x:v>
      </x:c>
    </x:row>
    <x:row r="482" ht="46" customHeight="1">
      <x:c r="A482" s="25" t="str">
        <x:v>Rail referral summary</x:v>
      </x:c>
      <x:c r="B482" s="25" t="str">
        <x:v>_Journey Interaction</x:v>
      </x:c>
      <x:c r="C482" s="25" t="str">
        <x:v>Display/filter/context helper</x:v>
      </x:c>
      <x:c r="D482" s="25" t="str">
        <x:v>Helper/context; not registered as an additional KPI</x:v>
      </x:c>
      <x:c r="E482" s="25" t="str">
        <x:v>Referral Explorer</x:v>
      </x:c>
      <x:c r="F482" s="25" t="str">
        <x:v>gold.bridge_referral_framework_category; gold.dim_framework_category; gold.fact_offer; gold.fact_referral</x:v>
      </x:c>
      <x:c r="G482" s="25" t="str">
        <x:v>CALCULATE([Journey referral exceptions], REMOVEFILTERS('fact_referral'[Journey stage order]))</x:v>
      </x:c>
      <x:c r="H482" s="25" t="str">
        <x:v>KPI_LATEST_CALCULATIONS.md#business-rail-referral-summary</x:v>
      </x:c>
      <x:c r="I482" s="25" t="str">
        <x:v>Saved definition; runtime/acceptance pending</x:v>
      </x:c>
    </x:row>
    <x:row r="483" ht="46" customHeight="1">
      <x:c r="A483" s="25" t="str">
        <x:v>Rail referrals 1</x:v>
      </x:c>
      <x:c r="B483" s="25" t="str">
        <x:v>_Journey Interaction</x:v>
      </x:c>
      <x:c r="C483" s="25" t="str">
        <x:v>Display/filter/context helper</x:v>
      </x:c>
      <x:c r="D483" s="25" t="str">
        <x:v>Helper/context; not registered as an additional KPI</x:v>
      </x:c>
      <x:c r="E483" s="25" t="str">
        <x:v>Referral Explorer</x:v>
      </x:c>
      <x:c r="F483" s="25" t="str">
        <x:v>gold.bridge_referral_framework_category; gold.dim_framework_category; gold.fact_offer; gold.fact_referral</x:v>
      </x:c>
      <x:c r="G483" s="25" t="str">
        <x:v>CALCULATE([Journey referrals 1], REMOVEFILTERS('fact_referral'[Journey stage order]))</x:v>
      </x:c>
      <x:c r="H483" s="25" t="str">
        <x:v>KPI_LATEST_CALCULATIONS.md#business-rail-referrals-1</x:v>
      </x:c>
      <x:c r="I483" s="25" t="str">
        <x:v>Saved definition; runtime/acceptance pending</x:v>
      </x:c>
    </x:row>
    <x:row r="484" ht="46" customHeight="1">
      <x:c r="A484" s="25" t="str">
        <x:v>Rail referrals 2</x:v>
      </x:c>
      <x:c r="B484" s="25" t="str">
        <x:v>_Journey Interaction</x:v>
      </x:c>
      <x:c r="C484" s="25" t="str">
        <x:v>Display/filter/context helper</x:v>
      </x:c>
      <x:c r="D484" s="25" t="str">
        <x:v>Helper/context; not registered as an additional KPI</x:v>
      </x:c>
      <x:c r="E484" s="25" t="str">
        <x:v>Referral Explorer</x:v>
      </x:c>
      <x:c r="F484" s="25" t="str">
        <x:v>gold.bridge_referral_framework_category; gold.dim_framework_category; gold.fact_offer; gold.fact_referral</x:v>
      </x:c>
      <x:c r="G484" s="25" t="str">
        <x:v>CALCULATE([Journey referrals 2], REMOVEFILTERS('fact_referral'[Journey stage order]))</x:v>
      </x:c>
      <x:c r="H484" s="25" t="str">
        <x:v>KPI_LATEST_CALCULATIONS.md#business-rail-referrals-2</x:v>
      </x:c>
      <x:c r="I484" s="25" t="str">
        <x:v>Saved definition; runtime/acceptance pending</x:v>
      </x:c>
    </x:row>
    <x:row r="485" ht="46" customHeight="1">
      <x:c r="A485" s="25" t="str">
        <x:v>Rail referrals 3</x:v>
      </x:c>
      <x:c r="B485" s="25" t="str">
        <x:v>_Journey Interaction</x:v>
      </x:c>
      <x:c r="C485" s="25" t="str">
        <x:v>Display/filter/context helper</x:v>
      </x:c>
      <x:c r="D485" s="25" t="str">
        <x:v>Helper/context; not registered as an additional KPI</x:v>
      </x:c>
      <x:c r="E485" s="25" t="str">
        <x:v>Referral Explorer</x:v>
      </x:c>
      <x:c r="F485" s="25" t="str">
        <x:v>gold.bridge_referral_framework_category; gold.dim_framework_category; gold.fact_offer; gold.fact_referral</x:v>
      </x:c>
      <x:c r="G485" s="25" t="str">
        <x:v>CALCULATE([Journey referrals 3], REMOVEFILTERS('fact_referral'[Journey stage order]))</x:v>
      </x:c>
      <x:c r="H485" s="25" t="str">
        <x:v>KPI_LATEST_CALCULATIONS.md#business-rail-referrals-3</x:v>
      </x:c>
      <x:c r="I485" s="25" t="str">
        <x:v>Saved definition; runtime/acceptance pending</x:v>
      </x:c>
    </x:row>
    <x:row r="486" ht="46" customHeight="1">
      <x:c r="A486" s="25" t="str">
        <x:v>Rail referrals 4</x:v>
      </x:c>
      <x:c r="B486" s="25" t="str">
        <x:v>_Journey Interaction</x:v>
      </x:c>
      <x:c r="C486" s="25" t="str">
        <x:v>Display/filter/context helper</x:v>
      </x:c>
      <x:c r="D486" s="25" t="str">
        <x:v>Helper/context; not registered as an additional KPI</x:v>
      </x:c>
      <x:c r="E486" s="25" t="str">
        <x:v>Referral Explorer</x:v>
      </x:c>
      <x:c r="F486" s="25" t="str">
        <x:v>gold.bridge_referral_framework_category; gold.dim_framework_category; gold.fact_offer; gold.fact_referral</x:v>
      </x:c>
      <x:c r="G486" s="25" t="str">
        <x:v>CALCULATE([Journey referrals 4], REMOVEFILTERS('fact_referral'[Journey stage order]))</x:v>
      </x:c>
      <x:c r="H486" s="25" t="str">
        <x:v>KPI_LATEST_CALCULATIONS.md#business-rail-referrals-4</x:v>
      </x:c>
      <x:c r="I486" s="25" t="str">
        <x:v>Saved definition; runtime/acceptance pending</x:v>
      </x:c>
    </x:row>
    <x:row r="487" ht="46" customHeight="1">
      <x:c r="A487" s="25" t="str">
        <x:v>Rail referrals 5</x:v>
      </x:c>
      <x:c r="B487" s="25" t="str">
        <x:v>_Journey Interaction</x:v>
      </x:c>
      <x:c r="C487" s="25" t="str">
        <x:v>Display/filter/context helper</x:v>
      </x:c>
      <x:c r="D487" s="25" t="str">
        <x:v>Helper/context; not registered as an additional KPI</x:v>
      </x:c>
      <x:c r="E487" s="25" t="str">
        <x:v>Referral Explorer</x:v>
      </x:c>
      <x:c r="F487" s="25" t="str">
        <x:v>gold.bridge_referral_framework_category; gold.dim_framework_category; gold.fact_offer; gold.fact_referral</x:v>
      </x:c>
      <x:c r="G487" s="25" t="str">
        <x:v>CALCULATE([Journey referrals 5], REMOVEFILTERS('fact_referral'[Journey stage order]))</x:v>
      </x:c>
      <x:c r="H487" s="25" t="str">
        <x:v>KPI_LATEST_CALCULATIONS.md#business-rail-referrals-5</x:v>
      </x:c>
      <x:c r="I487" s="25" t="str">
        <x:v>Saved definition; runtime/acceptance pending</x:v>
      </x:c>
    </x:row>
    <x:row r="488" ht="46" customHeight="1">
      <x:c r="A488" s="25" t="str">
        <x:v>Rail referrals 6</x:v>
      </x:c>
      <x:c r="B488" s="25" t="str">
        <x:v>_Journey Interaction</x:v>
      </x:c>
      <x:c r="C488" s="25" t="str">
        <x:v>Display/filter/context helper</x:v>
      </x:c>
      <x:c r="D488" s="25" t="str">
        <x:v>Helper/context; not registered as an additional KPI</x:v>
      </x:c>
      <x:c r="E488" s="25" t="str">
        <x:v>Referral Explorer</x:v>
      </x:c>
      <x:c r="F488" s="25" t="str">
        <x:v>gold.bridge_referral_framework_category; gold.dim_framework_category; gold.fact_offer; gold.fact_referral</x:v>
      </x:c>
      <x:c r="G488" s="25" t="str">
        <x:v>CALCULATE([Journey referrals 6], REMOVEFILTERS('fact_referral'[Journey stage order]))</x:v>
      </x:c>
      <x:c r="H488" s="25" t="str">
        <x:v>KPI_LATEST_CALCULATIONS.md#business-rail-referrals-6</x:v>
      </x:c>
      <x:c r="I488" s="25" t="str">
        <x:v>Saved definition; runtime/acceptance pending</x:v>
      </x:c>
    </x:row>
    <x:row r="489" ht="176" customHeight="1">
      <x:c r="A489" s="25" t="str">
        <x:v>Referral IPAs awaiting signatures</x:v>
      </x:c>
      <x:c r="B489" s="25" t="str">
        <x:v>_Report Journey Measures</x:v>
      </x:c>
      <x:c r="C489" s="25" t="str">
        <x:v>Business metric</x:v>
      </x:c>
      <x:c r="D489" s="25" t="str">
        <x:v>GOLD-KPI-281</x:v>
      </x:c>
      <x:c r="E489" s="25" t="str">
        <x:v>No direct saved visual binding</x:v>
      </x:c>
      <x:c r="F489" s="25" t="str">
        <x:v>gold.bridge_referral_framework_category; gold.dim_framework_category; gold.fact_ipa; gold.fact_offer; gold.fact_referral</x:v>
      </x:c>
      <x:c r="G489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489" s="25" t="str">
        <x:v>KPI_LATEST_CALCULATIONS.md#business-referral-ipas-awaiting-signatures</x:v>
      </x:c>
      <x:c r="I489" s="25" t="str">
        <x:v>Saved definition; runtime/acceptance pending</x:v>
      </x:c>
    </x:row>
    <x:row r="490" ht="24" customHeight="1">
      <x:c r="A490" s="25" t="str">
        <x:v>Referral Lifecycle Events</x:v>
      </x:c>
      <x:c r="B490" s="25" t="str">
        <x:v>_Measures</x:v>
      </x:c>
      <x:c r="C490" s="25" t="str">
        <x:v>Business metric</x:v>
      </x:c>
      <x:c r="D490" s="25" t="str">
        <x:v>KPI-113</x:v>
      </x:c>
      <x:c r="E490" s="25" t="str">
        <x:v>No direct saved visual binding</x:v>
      </x:c>
      <x:c r="F490" s="25" t="str">
        <x:v>gold.fact_referral_lifecycle_event</x:v>
      </x:c>
      <x:c r="G490" s="25" t="str">
        <x:v>DISTINCTCOUNT ( 'fact_referral_lifecycle_event'[event_id] )</x:v>
      </x:c>
      <x:c r="H490" s="25" t="str">
        <x:v>KPI_LATEST_CALCULATIONS.md#business-referral-lifecycle-events</x:v>
      </x:c>
      <x:c r="I490" s="25" t="str">
        <x:v>Saved definition; runtime/acceptance pending</x:v>
      </x:c>
    </x:row>
    <x:row r="491" ht="33" customHeight="1">
      <x:c r="A491" s="25" t="str">
        <x:v>Referral Volume Month on Month</x:v>
      </x:c>
      <x:c r="B491" s="25" t="str">
        <x:v>_Measures</x:v>
      </x:c>
      <x:c r="C491" s="25" t="str">
        <x:v>Business metric</x:v>
      </x:c>
      <x:c r="D491" s="25" t="str">
        <x:v>GOLD-KPI-038</x:v>
      </x:c>
      <x:c r="E491" s="25" t="str">
        <x:v>No direct saved visual binding</x:v>
      </x:c>
      <x:c r="F491" s="25" t="str">
        <x:v>gold.dim_date; gold.fact_referral</x:v>
      </x:c>
      <x:c r="G491" s="25" t="str">
        <x:v>[Total Referrals] - [Referrals Created Previous Month]</x:v>
      </x:c>
      <x:c r="H491" s="25" t="str">
        <x:v>KPI_LATEST_CALCULATIONS.md#business-referral-volume-month-on-month</x:v>
      </x:c>
      <x:c r="I491" s="25" t="str">
        <x:v>Saved definition; runtime/acceptance pending</x:v>
      </x:c>
    </x:row>
    <x:row r="492" ht="33" customHeight="1">
      <x:c r="A492" s="25" t="str">
        <x:v>Referral Volume Month on Month %</x:v>
      </x:c>
      <x:c r="B492" s="25" t="str">
        <x:v>_Measures</x:v>
      </x:c>
      <x:c r="C492" s="25" t="str">
        <x:v>Business metric</x:v>
      </x:c>
      <x:c r="D492" s="25" t="str">
        <x:v>GOLD-KPI-039</x:v>
      </x:c>
      <x:c r="E492" s="25" t="str">
        <x:v>No direct saved visual binding</x:v>
      </x:c>
      <x:c r="F492" s="25" t="str">
        <x:v>gold.dim_date; gold.fact_referral</x:v>
      </x:c>
      <x:c r="G492" s="25" t="str">
        <x:v>DIVIDE ( [Referral Volume Month on Month], [Referrals Created Previous Month] )</x:v>
      </x:c>
      <x:c r="H492" s="25" t="str">
        <x:v>KPI_LATEST_CALCULATIONS.md#business-referral-volume-month-on-month-percent</x:v>
      </x:c>
      <x:c r="I492" s="25" t="str">
        <x:v>Saved definition; runtime/acceptance pending</x:v>
      </x:c>
    </x:row>
    <x:row r="493" ht="176" customHeight="1">
      <x:c r="A493" s="25" t="str">
        <x:v>Referral accepted without IPA</x:v>
      </x:c>
      <x:c r="B493" s="25" t="str">
        <x:v>_Report Journey Measures</x:v>
      </x:c>
      <x:c r="C493" s="25" t="str">
        <x:v>Business metric</x:v>
      </x:c>
      <x:c r="D493" s="25" t="str">
        <x:v>GOLD-KPI-280</x:v>
      </x:c>
      <x:c r="E493" s="25" t="str">
        <x:v>Referral Explorer</x:v>
      </x:c>
      <x:c r="F493" s="25" t="str">
        <x:v>gold.bridge_referral_framework_category; gold.dim_framework_category; gold.fact_ipa; gold.fact_offer; gold.fact_referral</x:v>
      </x:c>
      <x:c r="G493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493" s="25" t="str">
        <x:v>KPI_LATEST_CALCULATIONS.md#business-referral-accepted-without-ipa</x:v>
      </x:c>
      <x:c r="I493" s="25" t="str">
        <x:v>Saved definition; runtime/acceptance pending</x:v>
      </x:c>
    </x:row>
    <x:row r="494" ht="215" customHeight="1">
      <x:c r="A494" s="25" t="str">
        <x:v>Referral detail KPI value</x:v>
      </x:c>
      <x:c r="B494" s="25" t="str">
        <x:v>_Explorer KPI Measures</x:v>
      </x:c>
      <x:c r="C494" s="25" t="str">
        <x:v>Filter/context helper</x:v>
      </x:c>
      <x:c r="D494" s="25" t="str">
        <x:v>Helper/context; not registered as an additional KPI</x:v>
      </x:c>
      <x:c r="E494" s="25" t="str">
        <x:v>Referral Detail (Drillthrough)</x:v>
      </x:c>
      <x:c r="F494" s="25" t="str">
        <x:v>gold.bridge_referral_framework_category; gold.dim_framework_category; gold.dim_referral_provider_message; gold.fact_ipa; gold.fact_offer; gold.fact_referral; gold.fact_referral_provider</x:v>
      </x:c>
      <x:c r="G494" s="25" t="str">
        <x:v>IF(HASONEVALUE('fact_referral'[referral_id]), SWITCH(SELECTEDVALUE('Referral Explorer KPI'[Ordinal]),
			0, IF(ISBLANK([Explorer referrals]), "—", FORMAT([Explorer referrals], "#,0")),
			1, IF(ISBLANK([Explorer referrals open]), "—", FORMAT([Explorer referrals open], "#,0")),
			2, IF(ISBLANK([Explorer referrals open overdue]), "—", FORMAT([Explorer referrals open overdue], "#,0")),
			3, IF(ISBLANK([Explorer referrals closed]), "—", FORMAT([Explorer referrals closed], "#,0")),
			4, IF(ISBLANK([Explorer referrals with offers]), "—", FORMAT([Explorer referrals with offers], "#,0")),
			5, IF(ISBLANK([Explorer referrals without offers]), "—", FORMAT([Explorer referrals without offers], "#,0")),
			6, IF(ISBLANK
[EXCERPT; complete logic in KPI_LATEST_CALCULATIONS.md]</x:v>
      </x:c>
      <x:c r="H494" s="25" t="str">
        <x:v>KPI_LATEST_CALCULATIONS.md#business-referral-detail-kpi-value</x:v>
      </x:c>
      <x:c r="I494" s="25" t="str">
        <x:v>Saved definition; runtime/acceptance pending</x:v>
      </x:c>
    </x:row>
    <x:row r="495" ht="46" customHeight="1">
      <x:c r="A495" s="25" t="str">
        <x:v>Referral detail headline Explorer referral assignments</x:v>
      </x:c>
      <x:c r="B495" s="25" t="str">
        <x:v>_Report Journey Measures</x:v>
      </x:c>
      <x:c r="C495" s="25" t="str">
        <x:v>Display/context helper</x:v>
      </x:c>
      <x:c r="D495" s="25" t="str">
        <x:v>Helper/context; not registered as an additional KPI</x:v>
      </x:c>
      <x:c r="E495" s="25" t="str">
        <x:v>Referral Detail (Drillthrough)</x:v>
      </x:c>
      <x:c r="F495" s="25" t="str">
        <x:v>gold.bridge_referral_framework_category; gold.dim_framework_category; gold.fact_offer; gold.fact_referral; gold.fact_referral_provider</x:v>
      </x:c>
      <x:c r="G495" s="25" t="str">
        <x:v>IF(HASONEVALUE('fact_referral'[referral_id]),[Explorer referral assignments])</x:v>
      </x:c>
      <x:c r="H495" s="25" t="str">
        <x:v>KPI_LATEST_CALCULATIONS.md#business-referral-detail-headline-explorer-referral-assignments</x:v>
      </x:c>
      <x:c r="I495" s="25" t="str">
        <x:v>Saved definition; runtime/acceptance pending</x:v>
      </x:c>
    </x:row>
    <x:row r="496" ht="59" customHeight="1">
      <x:c r="A496" s="25" t="str">
        <x:v>Referral detail headline Explorer referral messages</x:v>
      </x:c>
      <x:c r="B496" s="25" t="str">
        <x:v>_Report Journey Measures</x:v>
      </x:c>
      <x:c r="C496" s="25" t="str">
        <x:v>Display/context helper</x:v>
      </x:c>
      <x:c r="D496" s="25" t="str">
        <x:v>Helper/context; not registered as an additional KPI</x:v>
      </x:c>
      <x:c r="E496" s="25" t="str">
        <x:v>Referral Detail (Drillthrough)</x:v>
      </x:c>
      <x:c r="F496" s="25" t="str">
        <x:v>gold.bridge_referral_framework_category; gold.dim_framework_category; gold.dim_referral_provider_message; gold.fact_offer; gold.fact_referral</x:v>
      </x:c>
      <x:c r="G496" s="25" t="str">
        <x:v>IF(HASONEVALUE('fact_referral'[referral_id]),[Explorer referral messages])</x:v>
      </x:c>
      <x:c r="H496" s="25" t="str">
        <x:v>KPI_LATEST_CALCULATIONS.md#business-referral-detail-headline-explorer-referral-messages</x:v>
      </x:c>
      <x:c r="I496" s="25" t="str">
        <x:v>Saved definition; runtime/acceptance pending</x:v>
      </x:c>
    </x:row>
    <x:row r="497" ht="46" customHeight="1">
      <x:c r="A497" s="25" t="str">
        <x:v>Referral detail headline Explorer referral offers</x:v>
      </x:c>
      <x:c r="B497" s="25" t="str">
        <x:v>_Report Journey Measures</x:v>
      </x:c>
      <x:c r="C497" s="25" t="str">
        <x:v>Display/context helper</x:v>
      </x:c>
      <x:c r="D497" s="25" t="str">
        <x:v>Helper/context; not registered as an additional KPI</x:v>
      </x:c>
      <x:c r="E497" s="25" t="str">
        <x:v>Referral Detail (Drillthrough)</x:v>
      </x:c>
      <x:c r="F497" s="25" t="str">
        <x:v>gold.bridge_referral_framework_category; gold.dim_framework_category; gold.fact_offer; gold.fact_referral</x:v>
      </x:c>
      <x:c r="G497" s="25" t="str">
        <x:v>IF(HASONEVALUE('fact_referral'[referral_id]),[Explorer referral offers])</x:v>
      </x:c>
      <x:c r="H497" s="25" t="str">
        <x:v>KPI_LATEST_CALCULATIONS.md#business-referral-detail-headline-explorer-referral-offers</x:v>
      </x:c>
      <x:c r="I497" s="25" t="str">
        <x:v>Saved definition; runtime/acceptance pending</x:v>
      </x:c>
    </x:row>
    <x:row r="498" ht="46" customHeight="1">
      <x:c r="A498" s="25" t="str">
        <x:v>Referral detail headline Referral IPAs awaiting signatures</x:v>
      </x:c>
      <x:c r="B498" s="25" t="str">
        <x:v>_Report Journey Measures</x:v>
      </x:c>
      <x:c r="C498" s="25" t="str">
        <x:v>Display/context helper</x:v>
      </x:c>
      <x:c r="D498" s="25" t="str">
        <x:v>Helper/context; not registered as an additional KPI</x:v>
      </x:c>
      <x:c r="E498" s="25" t="str">
        <x:v>Referral Detail (Drillthrough)</x:v>
      </x:c>
      <x:c r="F498" s="25" t="str">
        <x:v>gold.bridge_referral_framework_category; gold.dim_framework_category; gold.fact_ipa; gold.fact_offer; gold.fact_referral</x:v>
      </x:c>
      <x:c r="G498" s="25" t="str">
        <x:v>IF(HASONEVALUE('fact_referral'[referral_id]),[Referral IPAs awaiting signatures])</x:v>
      </x:c>
      <x:c r="H498" s="25" t="str">
        <x:v>KPI_LATEST_CALCULATIONS.md#business-referral-detail-headline-referral-ipas-awaiting-signatures</x:v>
      </x:c>
      <x:c r="I498" s="25" t="str">
        <x:v>Saved definition; runtime/acceptance pending</x:v>
      </x:c>
    </x:row>
    <x:row r="499" ht="202" customHeight="1">
      <x:c r="A499" s="25" t="str">
        <x:v>Referral explorer KPI value</x:v>
      </x:c>
      <x:c r="B499" s="25" t="str">
        <x:v>_Explorer KPI Measures</x:v>
      </x:c>
      <x:c r="C499" s="25" t="str">
        <x:v>Filter/context helper</x:v>
      </x:c>
      <x:c r="D499" s="25" t="str">
        <x:v>Helper/context; not registered as an additional KPI</x:v>
      </x:c>
      <x:c r="E499" s="25" t="str">
        <x:v>Referral Explorer</x:v>
      </x:c>
      <x:c r="F499" s="25" t="str">
        <x:v>gold.bridge_referral_framework_category; gold.dim_framework_category; gold.dim_referral_provider_message; gold.fact_ipa; gold.fact_offer; gold.fact_referral; gold.fact_referral_provider</x:v>
      </x:c>
      <x:c r="G499" s="25" t="str">
        <x:v>SWITCH(SELECTEDVALUE('Referral Explorer KPI'[Ordinal]),
			0, IF(ISBLANK([Explorer referrals]), "—", FORMAT([Explorer referrals], "#,0")),
			1, IF(ISBLANK([Explorer referrals open]), "—", FORMAT([Explorer referrals open], "#,0")),
			2, IF(ISBLANK([Explorer referrals open overdue]), "—", FORMAT([Explorer referrals open overdue], "#,0")),
			3, IF(ISBLANK([Explorer referrals closed]), "—", FORMAT([Explorer referrals closed], "#,0")),
			4, IF(ISBLANK([Explorer referrals with offers]), "—", FORMAT([Explorer referrals with offers], "#,0")),
			5, IF(ISBLANK([Explorer referrals without offers]), "—", FORMAT([Explorer referrals without offers], "#,0")),
			6, IF(ISBLANK([Explorer referral offer coverage]), "—", FOR
[EXCERPT; complete logic in KPI_LATEST_CALCULATIONS.md]</x:v>
      </x:c>
      <x:c r="H499" s="25" t="str">
        <x:v>KPI_LATEST_CALCULATIONS.md#business-referral-explorer-kpi-value</x:v>
      </x:c>
      <x:c r="I499" s="25" t="str">
        <x:v>Saved definition; runtime/acceptance pending</x:v>
      </x:c>
    </x:row>
    <x:row r="500" ht="46" customHeight="1">
      <x:c r="A500" s="25" t="str">
        <x:v>Referral open overdue share</x:v>
      </x:c>
      <x:c r="B500" s="25" t="str">
        <x:v>_Report Journey Measures</x:v>
      </x:c>
      <x:c r="C500" s="25" t="str">
        <x:v>Business metric</x:v>
      </x:c>
      <x:c r="D500" s="25" t="str">
        <x:v>GOLD-KPI-282</x:v>
      </x:c>
      <x:c r="E500" s="25" t="str">
        <x:v>No direct saved visual binding</x:v>
      </x:c>
      <x:c r="F500" s="25" t="str">
        <x:v>gold.bridge_referral_framework_category; gold.dim_framework_category; gold.fact_offer; gold.fact_referral</x:v>
      </x:c>
      <x:c r="G500" s="25" t="str">
        <x:v>DIVIDE([Explorer referrals open overdue],[Explorer referrals open])</x:v>
      </x:c>
      <x:c r="H500" s="25" t="str">
        <x:v>KPI_LATEST_CALCULATIONS.md#business-referral-open-overdue-share</x:v>
      </x:c>
      <x:c r="I500" s="25" t="str">
        <x:v>Saved definition; runtime/acceptance pending</x:v>
      </x:c>
    </x:row>
    <x:row r="501" ht="176" customHeight="1">
      <x:c r="A501" s="25" t="str">
        <x:v>Referral open without assignments</x:v>
      </x:c>
      <x:c r="B501" s="25" t="str">
        <x:v>_Report Journey Measures</x:v>
      </x:c>
      <x:c r="C501" s="25" t="str">
        <x:v>Business metric</x:v>
      </x:c>
      <x:c r="D501" s="25" t="str">
        <x:v>GOLD-KPI-283</x:v>
      </x:c>
      <x:c r="E501" s="25" t="str">
        <x:v>No direct saved visual binding</x:v>
      </x:c>
      <x:c r="F501" s="25" t="str">
        <x:v>gold.bridge_referral_framework_category; gold.dim_framework_category; gold.fact_offer; gold.fact_referral; gold.fact_referral_provider</x:v>
      </x:c>
      <x:c r="G501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501" s="25" t="str">
        <x:v>KPI_LATEST_CALCULATIONS.md#business-referral-open-without-assignments</x:v>
      </x:c>
      <x:c r="I501" s="25" t="str">
        <x:v>Saved definition; runtime/acceptance pending</x:v>
      </x:c>
    </x:row>
    <x:row r="502" ht="176" customHeight="1">
      <x:c r="A502" s="25" t="str">
        <x:v>Referral open without offers</x:v>
      </x:c>
      <x:c r="B502" s="25" t="str">
        <x:v>_Report Journey Measures</x:v>
      </x:c>
      <x:c r="C502" s="25" t="str">
        <x:v>Business metric</x:v>
      </x:c>
      <x:c r="D502" s="25" t="str">
        <x:v>GOLD-KPI-284</x:v>
      </x:c>
      <x:c r="E502" s="25" t="str">
        <x:v>Referral Explorer</x:v>
      </x:c>
      <x:c r="F502" s="25" t="str">
        <x:v>gold.bridge_referral_framework_category; gold.dim_framework_category; gold.fact_offer; gold.fact_referral</x:v>
      </x:c>
      <x:c r="G502" s="25" t="str">
        <x:v>VAR categories = VALUES('Referral Category'[Category ID])
			VAR categoryRefs = CALCULATETABLE(VALUES('bridge_referral_framework_category'[referral_id]), TREATAS(categories,'bridge_referral_framework_category'[framework_category_id]))
			VAR statuses = VALUES('Explorer Offer Status'[Status])
			VAR bands = VALUES('Explorer Offer Activity'[Band])
			VAR statusFilter = ISFILTERED('Explorer Offer Status'[Status])
			VAR bandFilter = ISFILTERED('Explorer Offer Activity'[Band])
			VAR offerRows = FILTER('fact_offer', (NOT statusFilter || COALESCE('fact_offer'[offer_status],"(Unknown status)") IN statuses) &amp;&amp; (NOT bandFilter || COALESCE('fact_offer'[Offer activity band],"(Unknown activity)") IN bands))
			VAR offered
[EXCERPT; complete logic in KPI_LATEST_CALCULATIONS.md]</x:v>
      </x:c>
      <x:c r="H502" s="25" t="str">
        <x:v>KPI_LATEST_CALCULATIONS.md#business-referral-open-without-offers</x:v>
      </x:c>
      <x:c r="I502" s="25" t="str">
        <x:v>Saved definition; runtime/acceptance pending</x:v>
      </x:c>
    </x:row>
    <x:row r="503" ht="59" customHeight="1">
      <x:c r="A503" s="25" t="str">
        <x:v>Referral selection context</x:v>
      </x:c>
      <x:c r="B503" s="25" t="str">
        <x:v>_Report Journey Measures</x:v>
      </x:c>
      <x:c r="C503" s="25" t="str">
        <x:v>Display/context helper</x:v>
      </x:c>
      <x:c r="D503" s="25" t="str">
        <x:v>Helper/context; not registered as an additional KPI</x:v>
      </x:c>
      <x:c r="E503" s="25" t="str">
        <x:v>Referral Explorer</x:v>
      </x:c>
      <x:c r="F503" s="25" t="str">
        <x:v>gold.bridge_referral_framework_category; gold.dim_framework_category; gold.fact_offer; gold.fact_referral</x:v>
      </x:c>
      <x:c r="G503" s="25" t="str">
        <x:v>VAR n = [Explorer referrals] RETURN IF(n = 0,"No matching referrals - clear a filter or stage", IF(HASONEVALUE('fact_referral'[referral_id]),"Selected referral: " &amp; SELECTEDVALUE('fact_referral'[referral_id]),FORMAT(n,"#,0") &amp; " matching referrals - select a row to open detail"))</x:v>
      </x:c>
      <x:c r="H503" s="25" t="str">
        <x:v>KPI_LATEST_CALCULATIONS.md#business-referral-selection-context</x:v>
      </x:c>
      <x:c r="I503" s="25" t="str">
        <x:v>Saved definition; runtime/acceptance pending</x:v>
      </x:c>
    </x:row>
    <x:row r="504" ht="85" customHeight="1">
      <x:c r="A504" s="25" t="str">
        <x:v>Referrals</x:v>
      </x:c>
      <x:c r="B504" s="25" t="str">
        <x:v>_Explore Measures</x:v>
      </x:c>
      <x:c r="C504" s="25" t="str">
        <x:v>Business metric</x:v>
      </x:c>
      <x:c r="D504" s="25" t="str">
        <x:v>GOLD-KPI-285</x:v>
      </x:c>
      <x:c r="E504" s="25" t="str">
        <x:v>Referral Geography</x:v>
      </x:c>
      <x:c r="F504" s="25" t="str">
        <x:v>gold.bridge_referral_framework_category; gold.dim_framework_category; gold.fact_referral</x:v>
      </x:c>
      <x:c r="G504" s="25" t="str">
        <x:v>VAR selectedCategories=VALUES('Referral Category'[Category ID])
			VAR ids=CALCULATETABLE(VALUES('bridge_referral_framework_category'[referral_id]),TREATAS(selectedCategories,'bridge_referral_framework_category'[framework_category_id]))
			RETURN IF(ISCROSSFILTERED('Referral Category'),CALCULATE([Total Referrals],KEEPFILTERS(TREATAS(ids,'fact_referral'[referral_id]))),[Total Referrals])</x:v>
      </x:c>
      <x:c r="H504" s="25" t="str">
        <x:v>KPI_LATEST_CALCULATIONS.md#business-referrals</x:v>
      </x:c>
      <x:c r="I504" s="25" t="str">
        <x:v>Saved definition; runtime/acceptance pending</x:v>
      </x:c>
    </x:row>
    <x:row r="505" ht="24" customHeight="1">
      <x:c r="A505" s="25" t="str">
        <x:v>Referrals Awaiting Offer</x:v>
      </x:c>
      <x:c r="B505" s="25" t="str">
        <x:v>_Measures</x:v>
      </x:c>
      <x:c r="C505" s="25" t="str">
        <x:v>Business metric</x:v>
      </x:c>
      <x:c r="D505" s="25" t="str">
        <x:v>KPI-32; KPI-03</x:v>
      </x:c>
      <x:c r="E505" s="25" t="str">
        <x:v>Historic; Offers Overview</x:v>
      </x:c>
      <x:c r="F505" s="25" t="str">
        <x:v>gold.fact_referral</x:v>
      </x:c>
      <x:c r="G505" s="25" t="str">
        <x:v>CALCULATE ( [Total Referrals], 'fact_referral'[is_awaiting_offer] = TRUE () )</x:v>
      </x:c>
      <x:c r="H505" s="25" t="str">
        <x:v>KPI_LATEST_CALCULATIONS.md#business-referrals-awaiting-offer</x:v>
      </x:c>
      <x:c r="I505" s="25" t="str">
        <x:v>Saved definition; runtime/acceptance pending</x:v>
      </x:c>
    </x:row>
    <x:row r="506" ht="33" customHeight="1">
      <x:c r="A506" s="25" t="str">
        <x:v>Referrals Awaiting Offer MoM %</x:v>
      </x:c>
      <x:c r="B506" s="25" t="str">
        <x:v>_Measures</x:v>
      </x:c>
      <x:c r="C506" s="25" t="str">
        <x:v>Business metric</x:v>
      </x:c>
      <x:c r="D506" s="25" t="str">
        <x:v>GOLD-KPI-286</x:v>
      </x:c>
      <x:c r="E506" s="25" t="str">
        <x:v>No direct saved visual binding</x:v>
      </x:c>
      <x:c r="F506" s="25" t="str">
        <x:v>gold.dim_date; gold.fact_referral</x:v>
      </x:c>
      <x:c r="G506" s="25" t="str">
        <x:v>DIVIDE ( [Referrals Awaiting Offer Variance], [Referrals Awaiting Offer Previous Month] )</x:v>
      </x:c>
      <x:c r="H506" s="25" t="str">
        <x:v>KPI_LATEST_CALCULATIONS.md#business-referrals-awaiting-offer-mom-percent</x:v>
      </x:c>
      <x:c r="I506" s="25" t="str">
        <x:v>Saved definition; runtime/acceptance pending</x:v>
      </x:c>
    </x:row>
    <x:row r="507" ht="33" customHeight="1">
      <x:c r="A507" s="25" t="str">
        <x:v>Referrals Awaiting Offer Previous Month</x:v>
      </x:c>
      <x:c r="B507" s="25" t="str">
        <x:v>_Measures</x:v>
      </x:c>
      <x:c r="C507" s="25" t="str">
        <x:v>Business metric</x:v>
      </x:c>
      <x:c r="D507" s="25" t="str">
        <x:v>GOLD-KPI-287</x:v>
      </x:c>
      <x:c r="E507" s="25" t="str">
        <x:v>No direct saved visual binding</x:v>
      </x:c>
      <x:c r="F507" s="25" t="str">
        <x:v>gold.dim_date; gold.fact_referral</x:v>
      </x:c>
      <x:c r="G507" s="25" t="str">
        <x:v>CALCULATE ( [Referrals Awaiting Offer], DATEADD ( 'dim_date'[date], -1, MONTH ) )</x:v>
      </x:c>
      <x:c r="H507" s="25" t="str">
        <x:v>KPI_LATEST_CALCULATIONS.md#business-referrals-awaiting-offer-previous-month</x:v>
      </x:c>
      <x:c r="I507" s="25" t="str">
        <x:v>Saved definition; runtime/acceptance pending</x:v>
      </x:c>
    </x:row>
    <x:row r="508" ht="33" customHeight="1">
      <x:c r="A508" s="25" t="str">
        <x:v>Referrals Awaiting Offer Variance</x:v>
      </x:c>
      <x:c r="B508" s="25" t="str">
        <x:v>_Measures</x:v>
      </x:c>
      <x:c r="C508" s="25" t="str">
        <x:v>Business metric</x:v>
      </x:c>
      <x:c r="D508" s="25" t="str">
        <x:v>GOLD-KPI-288</x:v>
      </x:c>
      <x:c r="E508" s="25" t="str">
        <x:v>No direct saved visual binding</x:v>
      </x:c>
      <x:c r="F508" s="25" t="str">
        <x:v>gold.dim_date; gold.fact_referral</x:v>
      </x:c>
      <x:c r="G508" s="25" t="str">
        <x:v>[Referrals Awaiting Offer] - [Referrals Awaiting Offer Previous Month]</x:v>
      </x:c>
      <x:c r="H508" s="25" t="str">
        <x:v>KPI_LATEST_CALCULATIONS.md#business-referrals-awaiting-offer-variance</x:v>
      </x:c>
      <x:c r="I508" s="25" t="str">
        <x:v>Saved definition; runtime/acceptance pending</x:v>
      </x:c>
    </x:row>
    <x:row r="509" ht="33" customHeight="1">
      <x:c r="A509" s="25" t="str">
        <x:v>Referrals Awaiting Offer Variance Indicator</x:v>
      </x:c>
      <x:c r="B509" s="25" t="str">
        <x:v>_Measures</x:v>
      </x:c>
      <x:c r="C509" s="25" t="str">
        <x:v>Display/filter helper</x:v>
      </x:c>
      <x:c r="D509" s="25" t="str">
        <x:v>Helper/context; not registered as an additional KPI</x:v>
      </x:c>
      <x:c r="E509" s="25" t="str">
        <x:v>No direct saved visual binding</x:v>
      </x:c>
      <x:c r="F509" s="25" t="str">
        <x:v>gold.dim_date; gold.fact_referral</x:v>
      </x:c>
      <x:c r="G509" s="25" t="str">
        <x:v>IF ( [Referrals Awaiting Offer Variance] &gt; 0, "▲", IF ( [Referrals Awaiting Offer Variance] &lt; 0, "▼", "–" ) )</x:v>
      </x:c>
      <x:c r="H509" s="25" t="str">
        <x:v>KPI_LATEST_CALCULATIONS.md#business-referrals-awaiting-offer-variance-indicator</x:v>
      </x:c>
      <x:c r="I509" s="25" t="str">
        <x:v>Saved definition; runtime/acceptance pending</x:v>
      </x:c>
    </x:row>
    <x:row r="510" ht="33" customHeight="1">
      <x:c r="A510" s="25" t="str">
        <x:v>Referrals Awaiting Offer Variance Indicator Color</x:v>
      </x:c>
      <x:c r="B510" s="25" t="str">
        <x:v>_Measures</x:v>
      </x:c>
      <x:c r="C510" s="25" t="str">
        <x:v>Display/filter helper</x:v>
      </x:c>
      <x:c r="D510" s="25" t="str">
        <x:v>Helper/context; not registered as an additional KPI</x:v>
      </x:c>
      <x:c r="E510" s="25" t="str">
        <x:v>No direct saved visual binding</x:v>
      </x:c>
      <x:c r="F510" s="25" t="str">
        <x:v>gold.dim_date; gold.fact_referral</x:v>
      </x:c>
      <x:c r="G510" s="25" t="str">
        <x:v>IF ( [Referrals Awaiting Offer Variance] &gt; 0, "green", IF ( [Referrals Awaiting Offer Variance] &lt; 0, "red", "grey" ) )</x:v>
      </x:c>
      <x:c r="H510" s="25" t="str">
        <x:v>KPI_LATEST_CALCULATIONS.md#business-referrals-awaiting-offer-variance-indicator-color</x:v>
      </x:c>
      <x:c r="I510" s="25" t="str">
        <x:v>Saved definition; runtime/acceptance pending</x:v>
      </x:c>
    </x:row>
    <x:row r="511" ht="33" customHeight="1">
      <x:c r="A511" s="25" t="str">
        <x:v>Referrals Cancelled/Closed Indicator</x:v>
      </x:c>
      <x:c r="B511" s="25" t="str">
        <x:v>_Measures</x:v>
      </x:c>
      <x:c r="C511" s="25" t="str">
        <x:v>Display/filter helper</x:v>
      </x:c>
      <x:c r="D511" s="25" t="str">
        <x:v>Helper/context; not registered as an additional KPI</x:v>
      </x:c>
      <x:c r="E511" s="25" t="str">
        <x:v>No direct saved visual binding</x:v>
      </x:c>
      <x:c r="F511" s="25" t="str">
        <x:v>gold.dim_snapshot_month; gold.fact_referral_snapshot</x:v>
      </x:c>
      <x:c r="G511" s="25" t="str">
        <x:v>IF([Referrals Cancelled/Closed Variance] &gt; 0, "▲", IF([Referrals Cancelled/Closed Variance]&lt; 0, "▼", "–"))</x:v>
      </x:c>
      <x:c r="H511" s="25" t="str">
        <x:v>KPI_LATEST_CALCULATIONS.md#business-referrals-cancelled-closed-indicator</x:v>
      </x:c>
      <x:c r="I511" s="25" t="str">
        <x:v>Saved definition; runtime/acceptance pending</x:v>
      </x:c>
    </x:row>
    <x:row r="512" ht="33" customHeight="1">
      <x:c r="A512" s="25" t="str">
        <x:v>Referrals Cancelled/Closed Previous Month</x:v>
      </x:c>
      <x:c r="B512" s="25" t="str">
        <x:v>_Measures</x:v>
      </x:c>
      <x:c r="C512" s="25" t="str">
        <x:v>Business metric</x:v>
      </x:c>
      <x:c r="D512" s="25" t="str">
        <x:v>GOLD-KPI-289</x:v>
      </x:c>
      <x:c r="E512" s="25" t="str">
        <x:v>No direct saved visual binding</x:v>
      </x:c>
      <x:c r="F512" s="25" t="str">
        <x:v>gold.dim_snapshot_month; gold.fact_referral_snapshot</x:v>
      </x:c>
      <x:c r="G512" s="25" t="str">
        <x:v>CALCULATE ( [Closed or Cancelled Referrals at Snapshot], DATEADD ( 'dim_snapshot_month'[month_start], -1, MONTH ) )</x:v>
      </x:c>
      <x:c r="H512" s="25" t="str">
        <x:v>KPI_LATEST_CALCULATIONS.md#business-referrals-cancelled-closed-previous-month</x:v>
      </x:c>
      <x:c r="I512" s="25" t="str">
        <x:v>Saved definition; runtime/acceptance pending</x:v>
      </x:c>
    </x:row>
    <x:row r="513" ht="33" customHeight="1">
      <x:c r="A513" s="25" t="str">
        <x:v>Referrals Cancelled/Closed Variance</x:v>
      </x:c>
      <x:c r="B513" s="25" t="str">
        <x:v>_Measures</x:v>
      </x:c>
      <x:c r="C513" s="25" t="str">
        <x:v>Business metric</x:v>
      </x:c>
      <x:c r="D513" s="25" t="str">
        <x:v>GOLD-KPI-290</x:v>
      </x:c>
      <x:c r="E513" s="25" t="str">
        <x:v>No direct saved visual binding</x:v>
      </x:c>
      <x:c r="F513" s="25" t="str">
        <x:v>gold.dim_snapshot_month; gold.fact_referral_snapshot</x:v>
      </x:c>
      <x:c r="G513" s="25" t="str">
        <x:v>[Closed or Cancelled Referrals at Snapshot] - [Referrals Cancelled/Closed Previous Month]</x:v>
      </x:c>
      <x:c r="H513" s="25" t="str">
        <x:v>KPI_LATEST_CALCULATIONS.md#business-referrals-cancelled-closed-variance</x:v>
      </x:c>
      <x:c r="I513" s="25" t="str">
        <x:v>Saved definition; runtime/acceptance pending</x:v>
      </x:c>
    </x:row>
    <x:row r="514" ht="33" customHeight="1">
      <x:c r="A514" s="25" t="str">
        <x:v>Referrals Created Previous Month</x:v>
      </x:c>
      <x:c r="B514" s="25" t="str">
        <x:v>_Measures</x:v>
      </x:c>
      <x:c r="C514" s="25" t="str">
        <x:v>Business metric</x:v>
      </x:c>
      <x:c r="D514" s="25" t="str">
        <x:v>GOLD-KPI-037</x:v>
      </x:c>
      <x:c r="E514" s="25" t="str">
        <x:v>No direct saved visual binding</x:v>
      </x:c>
      <x:c r="F514" s="25" t="str">
        <x:v>gold.dim_date; gold.fact_referral</x:v>
      </x:c>
      <x:c r="G514" s="25" t="str">
        <x:v>CALCULATE ( [Total Referrals], DATEADD ( 'dim_date'[date], -1, MONTH ) )</x:v>
      </x:c>
      <x:c r="H514" s="25" t="str">
        <x:v>KPI_LATEST_CALCULATIONS.md#business-referrals-created-previous-month</x:v>
      </x:c>
      <x:c r="I514" s="25" t="str">
        <x:v>Saved definition; runtime/acceptance pending</x:v>
      </x:c>
    </x:row>
    <x:row r="515" ht="72" customHeight="1">
      <x:c r="A515" s="25" t="str">
        <x:v>Referrals Created This Financial Year</x:v>
      </x:c>
      <x:c r="B515" s="25" t="str">
        <x:v>_Measures</x:v>
      </x:c>
      <x:c r="C515" s="25" t="str">
        <x:v>Business metric</x:v>
      </x:c>
      <x:c r="D515" s="25" t="str">
        <x:v>KPI-24</x:v>
      </x:c>
      <x:c r="E515" s="25" t="str">
        <x:v>No direct saved visual binding</x:v>
      </x:c>
      <x:c r="F515" s="25" t="str">
        <x:v>gold.dim_date; gold.fact_referral</x:v>
      </x:c>
      <x:c r="G515" s="25" t="str">
        <x:v>VAR as_of = MAX ( 'fact_referral'[as_of_date] )
			VAR year_start = DATE ( YEAR ( as_of ) - IF ( MONTH ( as_of ) &lt; 4, 1, 0 ), 4, 1 )
			RETURN IF ( NOT ISBLANK ( as_of ), CALCULATE ( [Total Referrals], DATESBETWEEN ( 'dim_date'[date], year_start, as_of ) ) )</x:v>
      </x:c>
      <x:c r="H515" s="25" t="str">
        <x:v>KPI_LATEST_CALCULATIONS.md#business-referrals-created-this-financial-year</x:v>
      </x:c>
      <x:c r="I515" s="25" t="str">
        <x:v>Saved definition; runtime/acceptance pending</x:v>
      </x:c>
    </x:row>
    <x:row r="516" ht="59" customHeight="1">
      <x:c r="A516" s="25" t="str">
        <x:v>Referrals Created This Month</x:v>
      </x:c>
      <x:c r="B516" s="25" t="str">
        <x:v>_Measures</x:v>
      </x:c>
      <x:c r="C516" s="25" t="str">
        <x:v>Business metric</x:v>
      </x:c>
      <x:c r="D516" s="25" t="str">
        <x:v>KPI-23</x:v>
      </x:c>
      <x:c r="E516" s="25" t="str">
        <x:v>No direct saved visual binding</x:v>
      </x:c>
      <x:c r="F516" s="25" t="str">
        <x:v>gold.dim_date; gold.fact_referral</x:v>
      </x:c>
      <x:c r="G516" s="25" t="str">
        <x:v>VAR as_of = MAX ( 'fact_referral'[as_of_date] )
			RETURN IF ( NOT ISBLANK ( as_of ), CALCULATE ( [Total Referrals], DATESBETWEEN ( 'dim_date'[date], DATE ( YEAR ( as_of ), MONTH ( as_of ), 1 ), as_of ) ) )</x:v>
      </x:c>
      <x:c r="H516" s="25" t="str">
        <x:v>KPI_LATEST_CALCULATIONS.md#business-referrals-created-this-month</x:v>
      </x:c>
      <x:c r="I516" s="25" t="str">
        <x:v>Saved definition; runtime/acceptance pending</x:v>
      </x:c>
    </x:row>
    <x:row r="517" ht="33" customHeight="1">
      <x:c r="A517" s="25" t="str">
        <x:v>Referrals Currently Active</x:v>
      </x:c>
      <x:c r="B517" s="25" t="str">
        <x:v>_Measures</x:v>
      </x:c>
      <x:c r="C517" s="25" t="str">
        <x:v>Business metric</x:v>
      </x:c>
      <x:c r="D517" s="25" t="str">
        <x:v>KPI-29</x:v>
      </x:c>
      <x:c r="E517" s="25" t="str">
        <x:v>Draft Offers; Historic; Offers Overview; Referrals; Requirement Matrix Overview</x:v>
      </x:c>
      <x:c r="F517" s="25" t="str">
        <x:v>gold.fact_referral</x:v>
      </x:c>
      <x:c r="G517" s="25" t="str">
        <x:v>CALCULATE ( [Total Referrals], 'fact_referral'[is_open] = TRUE () )</x:v>
      </x:c>
      <x:c r="H517" s="25" t="str">
        <x:v>KPI_LATEST_CALCULATIONS.md#business-referrals-currently-active</x:v>
      </x:c>
      <x:c r="I517" s="25" t="str">
        <x:v>Saved definition; runtime/acceptance pending</x:v>
      </x:c>
    </x:row>
    <x:row r="518" ht="33" customHeight="1">
      <x:c r="A518" s="25" t="str">
        <x:v>Referrals Currently Active MoM %</x:v>
      </x:c>
      <x:c r="B518" s="25" t="str">
        <x:v>_Measures</x:v>
      </x:c>
      <x:c r="C518" s="25" t="str">
        <x:v>Business metric</x:v>
      </x:c>
      <x:c r="D518" s="25" t="str">
        <x:v>GOLD-KPI-291</x:v>
      </x:c>
      <x:c r="E518" s="25" t="str">
        <x:v>No direct saved visual binding</x:v>
      </x:c>
      <x:c r="F518" s="25" t="str">
        <x:v>gold.dim_snapshot_month; gold.fact_referral_snapshot</x:v>
      </x:c>
      <x:c r="G518" s="25" t="str">
        <x:v>DIVIDE ( [Referrals Currently Active Variance], [Referrals Currently Active Previous Month] )</x:v>
      </x:c>
      <x:c r="H518" s="25" t="str">
        <x:v>KPI_LATEST_CALCULATIONS.md#business-referrals-currently-active-mom-percent</x:v>
      </x:c>
      <x:c r="I518" s="25" t="str">
        <x:v>Saved definition; runtime/acceptance pending</x:v>
      </x:c>
    </x:row>
    <x:row r="519" ht="33" customHeight="1">
      <x:c r="A519" s="25" t="str">
        <x:v>Referrals Currently Active Previous Month</x:v>
      </x:c>
      <x:c r="B519" s="25" t="str">
        <x:v>_Measures</x:v>
      </x:c>
      <x:c r="C519" s="25" t="str">
        <x:v>Business metric</x:v>
      </x:c>
      <x:c r="D519" s="25" t="str">
        <x:v>GOLD-KPI-292</x:v>
      </x:c>
      <x:c r="E519" s="25" t="str">
        <x:v>No direct saved visual binding</x:v>
      </x:c>
      <x:c r="F519" s="25" t="str">
        <x:v>gold.dim_snapshot_month; gold.fact_referral_snapshot</x:v>
      </x:c>
      <x:c r="G519" s="25" t="str">
        <x:v>CALCULATE ( [Open Referrals at Snapshot], DATEADD ( 'dim_snapshot_month'[month_start], -1, MONTH ) )</x:v>
      </x:c>
      <x:c r="H519" s="25" t="str">
        <x:v>KPI_LATEST_CALCULATIONS.md#business-referrals-currently-active-previous-month</x:v>
      </x:c>
      <x:c r="I519" s="25" t="str">
        <x:v>Saved definition; runtime/acceptance pending</x:v>
      </x:c>
    </x:row>
    <x:row r="520" ht="33" customHeight="1">
      <x:c r="A520" s="25" t="str">
        <x:v>Referrals Currently Active Variance</x:v>
      </x:c>
      <x:c r="B520" s="25" t="str">
        <x:v>_Measures</x:v>
      </x:c>
      <x:c r="C520" s="25" t="str">
        <x:v>Business metric</x:v>
      </x:c>
      <x:c r="D520" s="25" t="str">
        <x:v>GOLD-KPI-293</x:v>
      </x:c>
      <x:c r="E520" s="25" t="str">
        <x:v>No direct saved visual binding</x:v>
      </x:c>
      <x:c r="F520" s="25" t="str">
        <x:v>gold.dim_snapshot_month; gold.fact_referral_snapshot</x:v>
      </x:c>
      <x:c r="G520" s="25" t="str">
        <x:v>[Open Referrals at Snapshot] - [Referrals Currently Active Previous Month]</x:v>
      </x:c>
      <x:c r="H520" s="25" t="str">
        <x:v>KPI_LATEST_CALCULATIONS.md#business-referrals-currently-active-variance</x:v>
      </x:c>
      <x:c r="I520" s="25" t="str">
        <x:v>Saved definition; runtime/acceptance pending</x:v>
      </x:c>
    </x:row>
    <x:row r="521" ht="33" customHeight="1">
      <x:c r="A521" s="25" t="str">
        <x:v>Referrals Currently Active Variance Indicator</x:v>
      </x:c>
      <x:c r="B521" s="25" t="str">
        <x:v>_Measures</x:v>
      </x:c>
      <x:c r="C521" s="25" t="str">
        <x:v>Display/filter helper</x:v>
      </x:c>
      <x:c r="D521" s="25" t="str">
        <x:v>Helper/context; not registered as an additional KPI</x:v>
      </x:c>
      <x:c r="E521" s="25" t="str">
        <x:v>No direct saved visual binding</x:v>
      </x:c>
      <x:c r="F521" s="25" t="str">
        <x:v>gold.dim_snapshot_month; gold.fact_referral_snapshot</x:v>
      </x:c>
      <x:c r="G521" s="25" t="str">
        <x:v>IF ( [Referrals Currently Active Variance] &gt; 0, "▲", IF ( [Referrals Currently Active Variance] &lt; 0, "▼", "–" ) )</x:v>
      </x:c>
      <x:c r="H521" s="25" t="str">
        <x:v>KPI_LATEST_CALCULATIONS.md#business-referrals-currently-active-variance-indicator</x:v>
      </x:c>
      <x:c r="I521" s="25" t="str">
        <x:v>Saved definition; runtime/acceptance pending</x:v>
      </x:c>
    </x:row>
    <x:row r="522" ht="33" customHeight="1">
      <x:c r="A522" s="25" t="str">
        <x:v>Referrals Currently Active Variance Indicator Color</x:v>
      </x:c>
      <x:c r="B522" s="25" t="str">
        <x:v>_Measures</x:v>
      </x:c>
      <x:c r="C522" s="25" t="str">
        <x:v>Display/filter helper</x:v>
      </x:c>
      <x:c r="D522" s="25" t="str">
        <x:v>Helper/context; not registered as an additional KPI</x:v>
      </x:c>
      <x:c r="E522" s="25" t="str">
        <x:v>No direct saved visual binding</x:v>
      </x:c>
      <x:c r="F522" s="25" t="str">
        <x:v>gold.dim_snapshot_month; gold.fact_referral_snapshot</x:v>
      </x:c>
      <x:c r="G522" s="25" t="str">
        <x:v>IF ( [Referrals Currently Active Variance] &gt; 0, "green", IF ( [Referrals Currently Active Variance] &lt; 0, "red", "grey" ) )</x:v>
      </x:c>
      <x:c r="H522" s="25" t="str">
        <x:v>KPI_LATEST_CALCULATIONS.md#business-referrals-currently-active-variance-indicator-color</x:v>
      </x:c>
      <x:c r="I522" s="25" t="str">
        <x:v>Saved definition; runtime/acceptance pending</x:v>
      </x:c>
    </x:row>
    <x:row r="523" ht="111" customHeight="1">
      <x:c r="A523" s="25" t="str">
        <x:v>Referrals Due This As Of Month</x:v>
      </x:c>
      <x:c r="B523" s="25" t="str">
        <x:v>_Design Measures</x:v>
      </x:c>
      <x:c r="C523" s="25" t="str">
        <x:v>Business metric</x:v>
      </x:c>
      <x:c r="D523" s="25" t="str">
        <x:v>GOLD-KPI-295</x:v>
      </x:c>
      <x:c r="E523" s="25" t="str">
        <x:v>Target &amp; Urgency Performance</x:v>
      </x:c>
      <x:c r="F523" s="25" t="str">
        <x:v>gold.dim_date; gold.fact_referral</x:v>
      </x:c>
      <x:c r="G523" s="25" t="str">
        <x:v>VAR asof = [Current Referral As Of]
			VAR first_day = DATE ( YEAR ( asof ), MONTH ( asof ), 1 )
			RETURN IF ( NOT ISBLANK ( asof ), CALCULATE ( [Total Referrals], REMOVEFILTERS ( 'dim_date' ),
			    KEEPFILTERS ( 'fact_referral'[required_placement_date] &gt;= first_day ),
			    KEEPFILTERS ( 'fact_referral'[required_placement_date] &lt; EDATE ( first_day, 1 ) ) ) )</x:v>
      </x:c>
      <x:c r="H523" s="25" t="str">
        <x:v>KPI_LATEST_CALCULATIONS.md#business-referrals-due-this-as-of-month</x:v>
      </x:c>
      <x:c r="I523" s="25" t="str">
        <x:v>Saved definition; runtime/acceptance pending</x:v>
      </x:c>
    </x:row>
    <x:row r="524" ht="72" customHeight="1">
      <x:c r="A524" s="25" t="str">
        <x:v>Referrals Due in Reporting Period</x:v>
      </x:c>
      <x:c r="B524" s="25" t="str">
        <x:v>_Design Measures</x:v>
      </x:c>
      <x:c r="C524" s="25" t="str">
        <x:v>Business metric</x:v>
      </x:c>
      <x:c r="D524" s="25" t="str">
        <x:v>GOLD-KPI-294</x:v>
      </x:c>
      <x:c r="E524" s="25" t="str">
        <x:v>Target &amp; Urgency Performance</x:v>
      </x:c>
      <x:c r="F524" s="25" t="str">
        <x:v>gold.dim_date; gold.fact_referral</x:v>
      </x:c>
      <x:c r="G524" s="25" t="str">
        <x:v>CALCULATE ( [Total Referrals],
			    USERELATIONSHIP ( 'fact_referral'[required_placement_date], 'dim_date'[date] ),
			    KEEPFILTERS ( NOT ISBLANK ( 'fact_referral'[required_placement_date] ) ) )</x:v>
      </x:c>
      <x:c r="H524" s="25" t="str">
        <x:v>KPI_LATEST_CALCULATIONS.md#business-referrals-due-in-reporting-period</x:v>
      </x:c>
      <x:c r="I524" s="25" t="str">
        <x:v>Saved definition; runtime/acceptance pending</x:v>
      </x:c>
    </x:row>
    <x:row r="525" ht="24" customHeight="1">
      <x:c r="A525" s="25" t="str">
        <x:v>Referrals Not Yet Closed</x:v>
      </x:c>
      <x:c r="B525" s="25" t="str">
        <x:v>_Measures</x:v>
      </x:c>
      <x:c r="C525" s="25" t="str">
        <x:v>Business metric</x:v>
      </x:c>
      <x:c r="D525" s="25" t="str">
        <x:v>GOLD-KPI-296</x:v>
      </x:c>
      <x:c r="E525" s="25" t="str">
        <x:v>Draft Offers; Offers Overview; Referrals</x:v>
      </x:c>
      <x:c r="F525" s="25" t="str">
        <x:v>gold.fact_referral</x:v>
      </x:c>
      <x:c r="G525" s="25" t="str">
        <x:v>CALCULATE ( [Total Referrals], 'fact_referral'[is_open] = TRUE () )</x:v>
      </x:c>
      <x:c r="H525" s="25" t="str">
        <x:v>KPI_LATEST_CALCULATIONS.md#business-referrals-not-yet-closed</x:v>
      </x:c>
      <x:c r="I525" s="25" t="str">
        <x:v>Saved definition; runtime/acceptance pending</x:v>
      </x:c>
    </x:row>
    <x:row r="526" ht="33" customHeight="1">
      <x:c r="A526" s="25" t="str">
        <x:v>Referrals Placed by Required Date</x:v>
      </x:c>
      <x:c r="B526" s="25" t="str">
        <x:v>_Measures</x:v>
      </x:c>
      <x:c r="C526" s="25" t="str">
        <x:v>Business metric</x:v>
      </x:c>
      <x:c r="D526" s="25" t="str">
        <x:v>GOLD-KPI-008</x:v>
      </x:c>
      <x:c r="E526" s="25" t="str">
        <x:v>No direct saved visual binding</x:v>
      </x:c>
      <x:c r="F526" s="25" t="str">
        <x:v>gold.fact_referral</x:v>
      </x:c>
      <x:c r="G526" s="25" t="str">
        <x:v>CALCULATE ( [Total Referrals], 'fact_referral'[placed_by_required_date] = TRUE () )</x:v>
      </x:c>
      <x:c r="H526" s="25" t="str">
        <x:v>KPI_LATEST_CALCULATIONS.md#business-referrals-placed-by-required-date</x:v>
      </x:c>
      <x:c r="I526" s="25" t="str">
        <x:v>Saved definition; runtime/acceptance pending</x:v>
      </x:c>
    </x:row>
    <x:row r="527" ht="59" customHeight="1">
      <x:c r="A527" s="25" t="str">
        <x:v>Referrals Placed by Target at Snapshot</x:v>
      </x:c>
      <x:c r="B527" s="25" t="str">
        <x:v>_Measures</x:v>
      </x:c>
      <x:c r="C527" s="25" t="str">
        <x:v>Business metric</x:v>
      </x:c>
      <x:c r="D527" s="25" t="str">
        <x:v>GOLD-KPI-297</x:v>
      </x:c>
      <x:c r="E527" s="25" t="str">
        <x:v>No direct saved visual binding</x:v>
      </x:c>
      <x:c r="F527" s="25" t="str">
        <x:v>gold.fact_referral_snapshot</x:v>
      </x:c>
      <x:c r="G527" s="25" t="str">
        <x:v>CALCULATE (
			    [Snapshot Referrals],
			    'fact_referral_snapshot'[placed_by_required_date] = TRUE ()
			)</x:v>
      </x:c>
      <x:c r="H527" s="25" t="str">
        <x:v>KPI_LATEST_CALCULATIONS.md#business-referrals-placed-by-target-at-snapshot</x:v>
      </x:c>
      <x:c r="I527" s="25" t="str">
        <x:v>Saved definition; runtime/acceptance pending</x:v>
      </x:c>
    </x:row>
    <x:row r="528" ht="33" customHeight="1">
      <x:c r="A528" s="25" t="str">
        <x:v>Referrals Under Offer</x:v>
      </x:c>
      <x:c r="B528" s="25" t="str">
        <x:v>_Measures</x:v>
      </x:c>
      <x:c r="C528" s="25" t="str">
        <x:v>Business metric</x:v>
      </x:c>
      <x:c r="D528" s="25" t="str">
        <x:v>KPI-30</x:v>
      </x:c>
      <x:c r="E528" s="25" t="str">
        <x:v>Historic; Offers Overview</x:v>
      </x:c>
      <x:c r="F528" s="25" t="str">
        <x:v>gold.fact_referral</x:v>
      </x:c>
      <x:c r="G528" s="25" t="str">
        <x:v>CALCULATE ( [Total Referrals], KEEPFILTERS ( 'fact_referral'[is_open] = TRUE () ), KEEPFILTERS ( 'fact_referral'[current_status] = "UNDER_OFFER" ) )</x:v>
      </x:c>
      <x:c r="H528" s="25" t="str">
        <x:v>KPI_LATEST_CALCULATIONS.md#business-referrals-under-offer</x:v>
      </x:c>
      <x:c r="I528" s="25" t="str">
        <x:v>Saved definition; runtime/acceptance pending</x:v>
      </x:c>
    </x:row>
    <x:row r="529" ht="33" customHeight="1">
      <x:c r="A529" s="25" t="str">
        <x:v>Referrals Under Offer MoM %</x:v>
      </x:c>
      <x:c r="B529" s="25" t="str">
        <x:v>_Measures</x:v>
      </x:c>
      <x:c r="C529" s="25" t="str">
        <x:v>Business metric</x:v>
      </x:c>
      <x:c r="D529" s="25" t="str">
        <x:v>GOLD-KPI-298</x:v>
      </x:c>
      <x:c r="E529" s="25" t="str">
        <x:v>No direct saved visual binding</x:v>
      </x:c>
      <x:c r="F529" s="25" t="str">
        <x:v>gold.dim_date; gold.fact_referral</x:v>
      </x:c>
      <x:c r="G529" s="25" t="str">
        <x:v>DIVIDE ( [Referrals Under Offer Variance], [Referrals Under Offer Previous Month] )</x:v>
      </x:c>
      <x:c r="H529" s="25" t="str">
        <x:v>KPI_LATEST_CALCULATIONS.md#business-referrals-under-offer-mom-percent</x:v>
      </x:c>
      <x:c r="I529" s="25" t="str">
        <x:v>Saved definition; runtime/acceptance pending</x:v>
      </x:c>
    </x:row>
    <x:row r="530" ht="33" customHeight="1">
      <x:c r="A530" s="25" t="str">
        <x:v>Referrals Under Offer Previous Month</x:v>
      </x:c>
      <x:c r="B530" s="25" t="str">
        <x:v>_Measures</x:v>
      </x:c>
      <x:c r="C530" s="25" t="str">
        <x:v>Business metric</x:v>
      </x:c>
      <x:c r="D530" s="25" t="str">
        <x:v>GOLD-KPI-299</x:v>
      </x:c>
      <x:c r="E530" s="25" t="str">
        <x:v>No direct saved visual binding</x:v>
      </x:c>
      <x:c r="F530" s="25" t="str">
        <x:v>gold.dim_date; gold.fact_referral</x:v>
      </x:c>
      <x:c r="G530" s="25" t="str">
        <x:v>CALCULATE ( [Referrals Under Offer], DATEADD ( 'dim_date'[date], -1, MONTH ) )</x:v>
      </x:c>
      <x:c r="H530" s="25" t="str">
        <x:v>KPI_LATEST_CALCULATIONS.md#business-referrals-under-offer-previous-month</x:v>
      </x:c>
      <x:c r="I530" s="25" t="str">
        <x:v>Saved definition; runtime/acceptance pending</x:v>
      </x:c>
    </x:row>
    <x:row r="531" ht="33" customHeight="1">
      <x:c r="A531" s="25" t="str">
        <x:v>Referrals Under Offer Variance</x:v>
      </x:c>
      <x:c r="B531" s="25" t="str">
        <x:v>_Measures</x:v>
      </x:c>
      <x:c r="C531" s="25" t="str">
        <x:v>Business metric</x:v>
      </x:c>
      <x:c r="D531" s="25" t="str">
        <x:v>GOLD-KPI-300</x:v>
      </x:c>
      <x:c r="E531" s="25" t="str">
        <x:v>No direct saved visual binding</x:v>
      </x:c>
      <x:c r="F531" s="25" t="str">
        <x:v>gold.dim_date; gold.fact_referral</x:v>
      </x:c>
      <x:c r="G531" s="25" t="str">
        <x:v>[Referrals Under Offer] - [Referrals Under Offer Previous Month]</x:v>
      </x:c>
      <x:c r="H531" s="25" t="str">
        <x:v>KPI_LATEST_CALCULATIONS.md#business-referrals-under-offer-variance</x:v>
      </x:c>
      <x:c r="I531" s="25" t="str">
        <x:v>Saved definition; runtime/acceptance pending</x:v>
      </x:c>
    </x:row>
    <x:row r="532" ht="33" customHeight="1">
      <x:c r="A532" s="25" t="str">
        <x:v>Referrals Under Offer Variance Indicator</x:v>
      </x:c>
      <x:c r="B532" s="25" t="str">
        <x:v>_Measures</x:v>
      </x:c>
      <x:c r="C532" s="25" t="str">
        <x:v>Display/filter helper</x:v>
      </x:c>
      <x:c r="D532" s="25" t="str">
        <x:v>Helper/context; not registered as an additional KPI</x:v>
      </x:c>
      <x:c r="E532" s="25" t="str">
        <x:v>No direct saved visual binding</x:v>
      </x:c>
      <x:c r="F532" s="25" t="str">
        <x:v>gold.dim_date; gold.fact_referral</x:v>
      </x:c>
      <x:c r="G532" s="25" t="str">
        <x:v>IF ( [Referrals Under Offer Variance] &gt; 0, "▲", IF ( [Referrals Under Offer Variance] &lt; 0, "▼", "–" ) )</x:v>
      </x:c>
      <x:c r="H532" s="25" t="str">
        <x:v>KPI_LATEST_CALCULATIONS.md#business-referrals-under-offer-variance-indicator</x:v>
      </x:c>
      <x:c r="I532" s="25" t="str">
        <x:v>Saved definition; runtime/acceptance pending</x:v>
      </x:c>
    </x:row>
    <x:row r="533" ht="33" customHeight="1">
      <x:c r="A533" s="25" t="str">
        <x:v>Referrals Under Offer Variance Indicator Color</x:v>
      </x:c>
      <x:c r="B533" s="25" t="str">
        <x:v>_Measures</x:v>
      </x:c>
      <x:c r="C533" s="25" t="str">
        <x:v>Display/filter helper</x:v>
      </x:c>
      <x:c r="D533" s="25" t="str">
        <x:v>Helper/context; not registered as an additional KPI</x:v>
      </x:c>
      <x:c r="E533" s="25" t="str">
        <x:v>No direct saved visual binding</x:v>
      </x:c>
      <x:c r="F533" s="25" t="str">
        <x:v>gold.dim_date; gold.fact_referral</x:v>
      </x:c>
      <x:c r="G533" s="25" t="str">
        <x:v>IF ( [Referrals Under Offer Variance] &gt; 0, "green", IF ( [Referrals Under Offer Variance] &lt; 0, "red", "grey" ) )</x:v>
      </x:c>
      <x:c r="H533" s="25" t="str">
        <x:v>KPI_LATEST_CALCULATIONS.md#business-referrals-under-offer-variance-indicator-color</x:v>
      </x:c>
      <x:c r="I533" s="25" t="str">
        <x:v>Saved definition; runtime/acceptance pending</x:v>
      </x:c>
    </x:row>
    <x:row r="534" ht="33" customHeight="1">
      <x:c r="A534" s="25" t="str">
        <x:v>Referrals With Fully Signed IPA</x:v>
      </x:c>
      <x:c r="B534" s="25" t="str">
        <x:v>_Measures</x:v>
      </x:c>
      <x:c r="C534" s="25" t="str">
        <x:v>Business metric</x:v>
      </x:c>
      <x:c r="D534" s="25" t="str">
        <x:v>GOLD-KPI-103</x:v>
      </x:c>
      <x:c r="E534" s="25" t="str">
        <x:v>No direct saved visual binding</x:v>
      </x:c>
      <x:c r="F534" s="25" t="str">
        <x:v>gold.fact_ipa</x:v>
      </x:c>
      <x:c r="G534" s="25" t="str">
        <x:v>CALCULATE ( DISTINCTCOUNT ( 'fact_ipa'[referral_id] ), KEEPFILTERS ( 'fact_ipa'[is_ipa_completed] = TRUE () ) )</x:v>
      </x:c>
      <x:c r="H534" s="25" t="str">
        <x:v>KPI_LATEST_CALCULATIONS.md#business-referrals-with-fully-signed-ipa</x:v>
      </x:c>
      <x:c r="I534" s="25" t="str">
        <x:v>Saved definition; runtime/acceptance pending</x:v>
      </x:c>
    </x:row>
    <x:row r="535" ht="24" customHeight="1">
      <x:c r="A535" s="25" t="str">
        <x:v>Referrals With IPA</x:v>
      </x:c>
      <x:c r="B535" s="25" t="str">
        <x:v>_Measures</x:v>
      </x:c>
      <x:c r="C535" s="25" t="str">
        <x:v>Business metric</x:v>
      </x:c>
      <x:c r="D535" s="25" t="str">
        <x:v>GOLD-KPI-305</x:v>
      </x:c>
      <x:c r="E535" s="25" t="str">
        <x:v>No direct saved visual binding</x:v>
      </x:c>
      <x:c r="F535" s="25" t="str">
        <x:v>gold.fact_ipa</x:v>
      </x:c>
      <x:c r="G535" s="25" t="str">
        <x:v>DISTINCTCOUNT ( 'fact_ipa'[referral_id] )</x:v>
      </x:c>
      <x:c r="H535" s="25" t="str">
        <x:v>KPI_LATEST_CALCULATIONS.md#business-referrals-with-ipa</x:v>
      </x:c>
      <x:c r="I535" s="25" t="str">
        <x:v>Saved definition; runtime/acceptance pending</x:v>
      </x:c>
    </x:row>
    <x:row r="536" ht="33" customHeight="1">
      <x:c r="A536" s="25" t="str">
        <x:v>Referrals With IPA Pending Signature</x:v>
      </x:c>
      <x:c r="B536" s="25" t="str">
        <x:v>_Measures</x:v>
      </x:c>
      <x:c r="C536" s="25" t="str">
        <x:v>Business metric</x:v>
      </x:c>
      <x:c r="D536" s="25" t="str">
        <x:v>GOLD-KPI-306</x:v>
      </x:c>
      <x:c r="E536" s="25" t="str">
        <x:v>No direct saved visual binding</x:v>
      </x:c>
      <x:c r="F536" s="25" t="str">
        <x:v>gold.fact_ipa</x:v>
      </x:c>
      <x:c r="G536" s="25" t="str">
        <x:v>CALCULATE ( DISTINCTCOUNT ( 'fact_ipa'[referral_id] ), KEEPFILTERS ( 'fact_ipa'[is_ipa_pending] = TRUE () ) )</x:v>
      </x:c>
      <x:c r="H536" s="25" t="str">
        <x:v>KPI_LATEST_CALCULATIONS.md#business-referrals-with-ipa-pending-signature</x:v>
      </x:c>
      <x:c r="I536" s="25" t="str">
        <x:v>Saved definition; runtime/acceptance pending</x:v>
      </x:c>
    </x:row>
    <x:row r="537" ht="33" customHeight="1">
      <x:c r="A537" s="25" t="str">
        <x:v>Referrals With Lifecycle Activity</x:v>
      </x:c>
      <x:c r="B537" s="25" t="str">
        <x:v>_Measures</x:v>
      </x:c>
      <x:c r="C537" s="25" t="str">
        <x:v>Business metric</x:v>
      </x:c>
      <x:c r="D537" s="25" t="str">
        <x:v>GOLD-KPI-106</x:v>
      </x:c>
      <x:c r="E537" s="25" t="str">
        <x:v>No direct saved visual binding</x:v>
      </x:c>
      <x:c r="F537" s="25" t="str">
        <x:v>gold.fact_referral_lifecycle_event</x:v>
      </x:c>
      <x:c r="G537" s="25" t="str">
        <x:v>DISTINCTCOUNT ( 'fact_referral_lifecycle_event'[referral_id] )</x:v>
      </x:c>
      <x:c r="H537" s="25" t="str">
        <x:v>KPI_LATEST_CALCULATIONS.md#business-referrals-with-lifecycle-activity</x:v>
      </x:c>
      <x:c r="I537" s="25" t="str">
        <x:v>Saved definition; runtime/acceptance pending</x:v>
      </x:c>
    </x:row>
    <x:row r="538" ht="33" customHeight="1">
      <x:c r="A538" s="25" t="str">
        <x:v>Referrals With Multiple Provider Assignments</x:v>
      </x:c>
      <x:c r="B538" s="25" t="str">
        <x:v>_Measures</x:v>
      </x:c>
      <x:c r="C538" s="25" t="str">
        <x:v>Business metric</x:v>
      </x:c>
      <x:c r="D538" s="25" t="str">
        <x:v>KPI-90</x:v>
      </x:c>
      <x:c r="E538" s="25" t="str">
        <x:v>Offers Overview; Referrals</x:v>
      </x:c>
      <x:c r="F538" s="25" t="str">
        <x:v>gold.fact_referral</x:v>
      </x:c>
      <x:c r="G538" s="25" t="str">
        <x:v>CALCULATE ( [Total Referrals], 'fact_referral'[provider_assignment_count] &gt; 1 )</x:v>
      </x:c>
      <x:c r="H538" s="25" t="str">
        <x:v>KPI_LATEST_CALCULATIONS.md#business-referrals-with-multiple-provider-assignments</x:v>
      </x:c>
      <x:c r="I538" s="25" t="str">
        <x:v>Saved definition; runtime/acceptance pending</x:v>
      </x:c>
    </x:row>
    <x:row r="539" ht="24" customHeight="1">
      <x:c r="A539" s="25" t="str">
        <x:v>Referrals With Offers</x:v>
      </x:c>
      <x:c r="B539" s="25" t="str">
        <x:v>_Measures</x:v>
      </x:c>
      <x:c r="C539" s="25" t="str">
        <x:v>Business metric</x:v>
      </x:c>
      <x:c r="D539" s="25" t="str">
        <x:v>GOLD-KPI-308</x:v>
      </x:c>
      <x:c r="E539" s="25" t="str">
        <x:v>Historic; Referrals</x:v>
      </x:c>
      <x:c r="F539" s="25" t="str">
        <x:v>gold.fact_referral</x:v>
      </x:c>
      <x:c r="G539" s="25" t="str">
        <x:v>CALCULATE ( [Total Referrals], 'fact_referral'[has_offer] = TRUE () )</x:v>
      </x:c>
      <x:c r="H539" s="25" t="str">
        <x:v>KPI_LATEST_CALCULATIONS.md#business-referrals-with-offers</x:v>
      </x:c>
      <x:c r="I539" s="25" t="str">
        <x:v>Saved definition; runtime/acceptance pending</x:v>
      </x:c>
    </x:row>
    <x:row r="540" ht="24" customHeight="1">
      <x:c r="A540" s="25" t="str">
        <x:v>Referrals With Offers %</x:v>
      </x:c>
      <x:c r="B540" s="25" t="str">
        <x:v>_Measures</x:v>
      </x:c>
      <x:c r="C540" s="25" t="str">
        <x:v>Business metric</x:v>
      </x:c>
      <x:c r="D540" s="25" t="str">
        <x:v>GOLD-KPI-309</x:v>
      </x:c>
      <x:c r="E540" s="25" t="str">
        <x:v>Referrals</x:v>
      </x:c>
      <x:c r="F540" s="25" t="str">
        <x:v>gold.fact_referral</x:v>
      </x:c>
      <x:c r="G540" s="25" t="str">
        <x:v>DIVIDE( [Referrals With Offers], [Total Referrals])</x:v>
      </x:c>
      <x:c r="H540" s="25" t="str">
        <x:v>KPI_LATEST_CALCULATIONS.md#business-referrals-with-offers-percent</x:v>
      </x:c>
      <x:c r="I540" s="25" t="str">
        <x:v>Saved definition; runtime/acceptance pending</x:v>
      </x:c>
    </x:row>
    <x:row r="541" ht="24" customHeight="1">
      <x:c r="A541" s="25" t="str">
        <x:v>Referrals With an Offer</x:v>
      </x:c>
      <x:c r="B541" s="25" t="str">
        <x:v>_Measures</x:v>
      </x:c>
      <x:c r="C541" s="25" t="str">
        <x:v>Business metric</x:v>
      </x:c>
      <x:c r="D541" s="25" t="str">
        <x:v>KPI-02; KPI-09; KPI-33</x:v>
      </x:c>
      <x:c r="E541" s="25" t="str">
        <x:v>Historic</x:v>
      </x:c>
      <x:c r="F541" s="25" t="str">
        <x:v>gold.fact_referral</x:v>
      </x:c>
      <x:c r="G541" s="25" t="str">
        <x:v>CALCULATE ( [Total Referrals], 'fact_referral'[has_offer] = TRUE () )</x:v>
      </x:c>
      <x:c r="H541" s="25" t="str">
        <x:v>KPI_LATEST_CALCULATIONS.md#business-referrals-with-an-offer</x:v>
      </x:c>
      <x:c r="I541" s="25" t="str">
        <x:v>Saved definition; runtime/acceptance pending</x:v>
      </x:c>
    </x:row>
    <x:row r="542" ht="33" customHeight="1">
      <x:c r="A542" s="25" t="str">
        <x:v>Referrals With an Offer MoM %</x:v>
      </x:c>
      <x:c r="B542" s="25" t="str">
        <x:v>_Measures</x:v>
      </x:c>
      <x:c r="C542" s="25" t="str">
        <x:v>Business metric</x:v>
      </x:c>
      <x:c r="D542" s="25" t="str">
        <x:v>GOLD-KPI-302</x:v>
      </x:c>
      <x:c r="E542" s="25" t="str">
        <x:v>No direct saved visual binding</x:v>
      </x:c>
      <x:c r="F542" s="25" t="str">
        <x:v>gold.dim_snapshot_month; gold.fact_referral_snapshot</x:v>
      </x:c>
      <x:c r="G542" s="25" t="str">
        <x:v>DIVIDE ( [Referrals With an Offer Variance], [Referrals With an Offer Previous Month] )</x:v>
      </x:c>
      <x:c r="H542" s="25" t="str">
        <x:v>KPI_LATEST_CALCULATIONS.md#business-referrals-with-an-offer-mom-percent</x:v>
      </x:c>
      <x:c r="I542" s="25" t="str">
        <x:v>Saved definition; runtime/acceptance pending</x:v>
      </x:c>
    </x:row>
    <x:row r="543" ht="33" customHeight="1">
      <x:c r="A543" s="25" t="str">
        <x:v>Referrals With an Offer Previous Month</x:v>
      </x:c>
      <x:c r="B543" s="25" t="str">
        <x:v>_Measures</x:v>
      </x:c>
      <x:c r="C543" s="25" t="str">
        <x:v>Business metric</x:v>
      </x:c>
      <x:c r="D543" s="25" t="str">
        <x:v>GOLD-KPI-303</x:v>
      </x:c>
      <x:c r="E543" s="25" t="str">
        <x:v>No direct saved visual binding</x:v>
      </x:c>
      <x:c r="F543" s="25" t="str">
        <x:v>gold.dim_snapshot_month; gold.fact_referral_snapshot</x:v>
      </x:c>
      <x:c r="G543" s="25" t="str">
        <x:v>CALCULATE ( [Referrals With an Offer at Snapshot], DATEADD ( 'dim_snapshot_month'[month_start], -1, MONTH ) )</x:v>
      </x:c>
      <x:c r="H543" s="25" t="str">
        <x:v>KPI_LATEST_CALCULATIONS.md#business-referrals-with-an-offer-previous-month</x:v>
      </x:c>
      <x:c r="I543" s="25" t="str">
        <x:v>Saved definition; runtime/acceptance pending</x:v>
      </x:c>
    </x:row>
    <x:row r="544" ht="33" customHeight="1">
      <x:c r="A544" s="25" t="str">
        <x:v>Referrals With an Offer Variance</x:v>
      </x:c>
      <x:c r="B544" s="25" t="str">
        <x:v>_Measures</x:v>
      </x:c>
      <x:c r="C544" s="25" t="str">
        <x:v>Business metric</x:v>
      </x:c>
      <x:c r="D544" s="25" t="str">
        <x:v>GOLD-KPI-304</x:v>
      </x:c>
      <x:c r="E544" s="25" t="str">
        <x:v>No direct saved visual binding</x:v>
      </x:c>
      <x:c r="F544" s="25" t="str">
        <x:v>gold.dim_snapshot_month; gold.fact_referral_snapshot</x:v>
      </x:c>
      <x:c r="G544" s="25" t="str">
        <x:v>[Referrals With an Offer at Snapshot] - [Referrals With an Offer Previous Month]</x:v>
      </x:c>
      <x:c r="H544" s="25" t="str">
        <x:v>KPI_LATEST_CALCULATIONS.md#business-referrals-with-an-offer-variance</x:v>
      </x:c>
      <x:c r="I544" s="25" t="str">
        <x:v>Saved definition; runtime/acceptance pending</x:v>
      </x:c>
    </x:row>
    <x:row r="545" ht="33" customHeight="1">
      <x:c r="A545" s="25" t="str">
        <x:v>Referrals With an Offer Variance Indicator</x:v>
      </x:c>
      <x:c r="B545" s="25" t="str">
        <x:v>_Measures</x:v>
      </x:c>
      <x:c r="C545" s="25" t="str">
        <x:v>Display/filter helper</x:v>
      </x:c>
      <x:c r="D545" s="25" t="str">
        <x:v>Helper/context; not registered as an additional KPI</x:v>
      </x:c>
      <x:c r="E545" s="25" t="str">
        <x:v>No direct saved visual binding</x:v>
      </x:c>
      <x:c r="F545" s="25" t="str">
        <x:v>gold.dim_snapshot_month; gold.fact_referral_snapshot</x:v>
      </x:c>
      <x:c r="G545" s="25" t="str">
        <x:v>IF ( [Referrals With an Offer Variance] &gt; 0, "▲", IF ( [Referrals With an Offer Variance] &lt; 0, "▼", "–" ) )</x:v>
      </x:c>
      <x:c r="H545" s="25" t="str">
        <x:v>KPI_LATEST_CALCULATIONS.md#business-referrals-with-an-offer-variance-indicator</x:v>
      </x:c>
      <x:c r="I545" s="25" t="str">
        <x:v>Saved definition; runtime/acceptance pending</x:v>
      </x:c>
    </x:row>
    <x:row r="546" ht="33" customHeight="1">
      <x:c r="A546" s="25" t="str">
        <x:v>Referrals With an Offer Variance Indicator Color</x:v>
      </x:c>
      <x:c r="B546" s="25" t="str">
        <x:v>_Measures</x:v>
      </x:c>
      <x:c r="C546" s="25" t="str">
        <x:v>Display/filter helper</x:v>
      </x:c>
      <x:c r="D546" s="25" t="str">
        <x:v>Helper/context; not registered as an additional KPI</x:v>
      </x:c>
      <x:c r="E546" s="25" t="str">
        <x:v>No direct saved visual binding</x:v>
      </x:c>
      <x:c r="F546" s="25" t="str">
        <x:v>gold.dim_snapshot_month; gold.fact_referral_snapshot</x:v>
      </x:c>
      <x:c r="G546" s="25" t="str">
        <x:v>IF ( [Referrals With an Offer Variance] &gt; 0, "green", IF ( [Referrals With an Offer Variance] &lt; 0, "red", "grey" ) )</x:v>
      </x:c>
      <x:c r="H546" s="25" t="str">
        <x:v>KPI_LATEST_CALCULATIONS.md#business-referrals-with-an-offer-variance-indicator-color</x:v>
      </x:c>
      <x:c r="I546" s="25" t="str">
        <x:v>Saved definition; runtime/acceptance pending</x:v>
      </x:c>
    </x:row>
    <x:row r="547" ht="33" customHeight="1">
      <x:c r="A547" s="25" t="str">
        <x:v>Referrals With an Offer at Snapshot</x:v>
      </x:c>
      <x:c r="B547" s="25" t="str">
        <x:v>_Measures</x:v>
      </x:c>
      <x:c r="C547" s="25" t="str">
        <x:v>Business metric</x:v>
      </x:c>
      <x:c r="D547" s="25" t="str">
        <x:v>GOLD-KPI-301</x:v>
      </x:c>
      <x:c r="E547" s="25" t="str">
        <x:v>Referrals</x:v>
      </x:c>
      <x:c r="F547" s="25" t="str">
        <x:v>gold.fact_referral_snapshot</x:v>
      </x:c>
      <x:c r="G547" s="25" t="str">
        <x:v>CALCULATE ( [Snapshot Referrals], 'fact_referral_snapshot'[has_offer] = TRUE () )</x:v>
      </x:c>
      <x:c r="H547" s="25" t="str">
        <x:v>KPI_LATEST_CALCULATIONS.md#business-referrals-with-an-offer-at-snapshot</x:v>
      </x:c>
      <x:c r="I547" s="25" t="str">
        <x:v>Saved definition; runtime/acceptance pending</x:v>
      </x:c>
    </x:row>
    <x:row r="548" ht="33" customHeight="1">
      <x:c r="A548" s="25" t="str">
        <x:v>Referrals Without Provider Assignment</x:v>
      </x:c>
      <x:c r="B548" s="25" t="str">
        <x:v>_Measures</x:v>
      </x:c>
      <x:c r="C548" s="25" t="str">
        <x:v>Business metric</x:v>
      </x:c>
      <x:c r="D548" s="25" t="str">
        <x:v>GOLD-KPI-006</x:v>
      </x:c>
      <x:c r="E548" s="25" t="str">
        <x:v>No direct saved visual binding</x:v>
      </x:c>
      <x:c r="F548" s="25" t="str">
        <x:v>gold.fact_referral</x:v>
      </x:c>
      <x:c r="G548" s="25" t="str">
        <x:v>CALCULATE ( [Total Referrals], 'fact_referral'[is_not_seen_by_providers] = TRUE () )</x:v>
      </x:c>
      <x:c r="H548" s="25" t="str">
        <x:v>KPI_LATEST_CALCULATIONS.md#business-referrals-without-provider-assignment</x:v>
      </x:c>
      <x:c r="I548" s="25" t="str">
        <x:v>Saved definition; runtime/acceptance pending</x:v>
      </x:c>
    </x:row>
    <x:row r="549" ht="59" customHeight="1">
      <x:c r="A549" s="25" t="str">
        <x:v>Referrals closed during month</x:v>
      </x:c>
      <x:c r="B549" s="25" t="str">
        <x:v>_Story Measures</x:v>
      </x:c>
      <x:c r="C549" s="25" t="str">
        <x:v>Business metric</x:v>
      </x:c>
      <x:c r="D549" s="25" t="str">
        <x:v>GOLD-KPI-121</x:v>
      </x:c>
      <x:c r="E549" s="25" t="str">
        <x:v>Overall Performance</x:v>
      </x:c>
      <x:c r="F549" s="25" t="str">
        <x:v>gold.dim_date; gold.fact_referral</x:v>
      </x:c>
      <x:c r="G549" s="25" t="str">
        <x:v>CALCULATE(DISTINCTCOUNT('fact_referral'[referral_id]), USERELATIONSHIP('fact_referral'[referral_closed_date],'dim_date'[date]), CROSSFILTER('fact_referral'[referral_created_date],'dim_date'[date],NONE), KEEPFILTERS(NOT ISBLANK('fact_referral'[referral_closed_date])))</x:v>
      </x:c>
      <x:c r="H549" s="25" t="str">
        <x:v>KPI_LATEST_CALCULATIONS.md#business-referrals-closed-during-month</x:v>
      </x:c>
      <x:c r="I549" s="25" t="str">
        <x:v>Saved definition; runtime/acceptance pending</x:v>
      </x:c>
    </x:row>
    <x:row r="550" ht="124" customHeight="1">
      <x:c r="A550" s="25" t="str">
        <x:v>Referrals with IPA at Snapshot</x:v>
      </x:c>
      <x:c r="B550" s="25" t="str">
        <x:v>_Measures</x:v>
      </x:c>
      <x:c r="C550" s="25" t="str">
        <x:v>Business metric</x:v>
      </x:c>
      <x:c r="D550" s="25" t="str">
        <x:v>GOLD-KPI-031</x:v>
      </x:c>
      <x:c r="E550" s="25" t="str">
        <x:v>Referral Snapshots; Referrals</x:v>
      </x:c>
      <x:c r="F550" s="25" t="str">
        <x:v>gold.fact_referral_snapshot</x:v>
      </x:c>
      <x:c r="G550" s="25" t="str">
        <x:v>CALCULATE (
			    [Snapshot Referrals],
			    FILTER (
			        'fact_referral_snapshot',
			        NOT ISBLANK ( 'fact_referral_snapshot'[ipa_issued_date] )
			            &amp;&amp; 'fact_referral_snapshot'[ipa_issued_date] &lt; 'fact_referral_snapshot'[snapshot_date] + 1
			    )
			)</x:v>
      </x:c>
      <x:c r="H550" s="25" t="str">
        <x:v>KPI_LATEST_CALCULATIONS.md#business-referrals-with-ipa-at-snapshot</x:v>
      </x:c>
      <x:c r="I550" s="25" t="str">
        <x:v>Saved definition; runtime/acceptance pending</x:v>
      </x:c>
    </x:row>
    <x:row r="551" ht="46" customHeight="1">
      <x:c r="A551" s="25" t="str">
        <x:v>Referrals with Missed Response Date</x:v>
      </x:c>
      <x:c r="B551" s="25" t="str">
        <x:v>_Measures</x:v>
      </x:c>
      <x:c r="C551" s="25" t="str">
        <x:v>Business metric</x:v>
      </x:c>
      <x:c r="D551" s="25" t="str">
        <x:v>GOLD-KPI-307</x:v>
      </x:c>
      <x:c r="E551" s="25" t="str">
        <x:v>Referrals</x:v>
      </x:c>
      <x:c r="F551" s="25" t="str">
        <x:v>gold.fact_referral</x:v>
      </x:c>
      <x:c r="G551" s="25" t="str">
        <x:v>CALCULATE ( [Total Referrals], 'fact_referral'[is_open] = FALSE (),  NOT(LOWER ( COALESCE ( 'fact_referral'[current_status], "" ) )
			             IN { "closed", "cancelled", "withdrawn", "completed" }))</x:v>
      </x:c>
      <x:c r="H551" s="25" t="str">
        <x:v>KPI_LATEST_CALCULATIONS.md#business-referrals-with-missed-response-date</x:v>
      </x:c>
      <x:c r="I551" s="25" t="str">
        <x:v>Saved definition; runtime/acceptance pending</x:v>
      </x:c>
    </x:row>
    <x:row r="552" ht="111" customHeight="1">
      <x:c r="A552" s="25" t="str">
        <x:v>Report Version Label</x:v>
      </x:c>
      <x:c r="B552" s="25" t="str">
        <x:v>Report Settings</x:v>
      </x:c>
      <x:c r="C552" s="25" t="str">
        <x:v>Display/filter/context helper</x:v>
      </x:c>
      <x:c r="D552" s="25" t="str">
        <x:v>Helper/context; not registered as an additional KPI</x:v>
      </x:c>
      <x:c r="E552" s="25" t="str">
        <x:v>Draft Offers; IPA Overview; Offer Locations; Offers Overview; Overall Performance; Provider &amp; Placement Supply; Provider Detail (Drillthrough); Provider Explorer; Referral Detail (Drillthrough); Referral Explorer; Referrals; Requirement Matrix Overview; Target &amp; Urgency Performance; WMPP Homepage</x:v>
      </x:c>
      <x:c r="F552" s="25" t="str"/>
      <x:c r="G552" s="25" t="str">
        <x:v>VAR versionText =
			    CALCULATE (
			        SELECTEDVALUE ( 'Report Settings'[ReportVersion] ),
			        REMOVEFILTERS ( 'Report Settings' )
			    )
			RETURN IF ( NOT ISBLANK ( versionText ), "Version: " &amp; versionText )</x:v>
      </x:c>
      <x:c r="H552" s="25" t="str">
        <x:v>KPI_LATEST_CALCULATIONS.md#business-report-version-label</x:v>
      </x:c>
      <x:c r="I552" s="25" t="str">
        <x:v>Saved definition; runtime/acceptance pending</x:v>
      </x:c>
    </x:row>
    <x:row r="553" ht="98" customHeight="1">
      <x:c r="A553" s="25" t="str">
        <x:v>Requirement KPI row visible</x:v>
      </x:c>
      <x:c r="B553" s="25" t="str">
        <x:v>Requirement KPI Monitor</x:v>
      </x:c>
      <x:c r="C553" s="25" t="str">
        <x:v>Display/filter helper</x:v>
      </x:c>
      <x:c r="D553" s="25" t="str">
        <x:v>Helper/context only</x:v>
      </x:c>
      <x:c r="E553" s="25" t="str">
        <x:v>Requirement Matrix Overview</x:v>
      </x:c>
      <x:c r="F553" s="25" t="str">
        <x:v>Local metadata; no new physical source</x:v>
      </x:c>
      <x:c r="G553" s="25" t="str">
        <x:v>VAR requirementKeys = SELECTEDVALUE('Requirement KPI Monitor'[Requirement keys])
			VAR selectedRequirements = VALUES('ref_RID'[Req ID])
			VAR matches = COUNTROWS(FILTER(selectedRequirements,
			    CONTAINSSTRING(requirementKeys, "|" &amp; TRIM('ref_RID'[Req ID]) &amp; "|")))
			RETURN IF(NOT ISCROSSFILTERED('ref_RID') || matches &gt; 0, 1, BLANK())</x:v>
      </x:c>
      <x:c r="H553" s="25" t="str">
        <x:v>KPI_LATEST_CALCULATIONS.md#business-requirement-kpi-row-visible</x:v>
      </x:c>
      <x:c r="I553" s="25" t="str">
        <x:v>Saved definition; refresh/UAT pending</x:v>
      </x:c>
    </x:row>
    <x:row r="554" ht="176" customHeight="1">
      <x:c r="A554" s="25" t="str">
        <x:v>Requirement KPI value</x:v>
      </x:c>
      <x:c r="B554" s="25" t="str">
        <x:v>Requirement KPI Monitor</x:v>
      </x:c>
      <x:c r="C554" s="25" t="str">
        <x:v>Display/filter helper</x:v>
      </x:c>
      <x:c r="D554" s="25" t="str">
        <x:v>Helper/context only</x:v>
      </x:c>
      <x:c r="E554" s="25" t="str">
        <x:v>Requirement Matrix Overview</x:v>
      </x:c>
      <x:c r="F554" s="25" t="str">
        <x:v>Local metadata; no new physical source</x:v>
      </x:c>
      <x:c r="G554" s="25" t="str">
        <x:v>IF([Requirement KPI row visible] = 1, SWITCH(SELECTEDVALUE('Requirement KPI Monitor'[Ordinal]),
			    0, IF(ISBLANK('_Measures'[Active Awaiting Offers With Engagement]), "—", FORMAT('_Measures'[Active Awaiting Offers With Engagement], "#,0")),
			    1, IF(ISBLANK('_Measures'[Average Estimated Weekly Cost — Confirmed Referrals]), "—", FORMAT('_Measures'[Average Estimated Weekly Cost — Confirmed Referrals], "£#,0.00")),
			    2, IF(ISBLANK('_Measures'[Closed Referrals at Snapshot]), "—", FORMAT('_Measures'[Closed Referrals at Snapshot], "#,0")),
			    3, IF(ISBLANK('_Measures'[Documents Expired]), "—", FORMAT('_Measures'[Documents Expired], "#,0")),
			    4, IF(ISBLANK('_Measures'[Documents Expiring Next 30 
[EXCERPT; complete logic in KPI_LATEST_CALCULATIONS.md]</x:v>
      </x:c>
      <x:c r="H554" s="25" t="str">
        <x:v>KPI_LATEST_CALCULATIONS.md#business-requirement-kpi-value</x:v>
      </x:c>
      <x:c r="I554" s="25" t="str">
        <x:v>Saved definition; refresh/UAT pending</x:v>
      </x:c>
    </x:row>
    <x:row r="555" ht="24" customHeight="1">
      <x:c r="A555" s="25" t="str">
        <x:v>Requirements catalogued</x:v>
      </x:c>
      <x:c r="B555" s="25" t="str">
        <x:v>_Report Journey Measures</x:v>
      </x:c>
      <x:c r="C555" s="25" t="str">
        <x:v>Business metric</x:v>
      </x:c>
      <x:c r="D555" s="25" t="str">
        <x:v>GOLD-KPI-310</x:v>
      </x:c>
      <x:c r="E555" s="25" t="str">
        <x:v>Requirement Matrix Overview</x:v>
      </x:c>
      <x:c r="F555" s="25" t="str"/>
      <x:c r="G555" s="25" t="str">
        <x:v>DISTINCTCOUNTNOBLANK('ref_RID'[Req ID])</x:v>
      </x:c>
      <x:c r="H555" s="25" t="str">
        <x:v>KPI_LATEST_CALCULATIONS.md#business-requirements-catalogued</x:v>
      </x:c>
      <x:c r="I555" s="25" t="str">
        <x:v>Saved definition; runtime/acceptance pending</x:v>
      </x:c>
    </x:row>
    <x:row r="556" ht="33" customHeight="1">
      <x:c r="A556" s="25" t="str">
        <x:v>Requirements linked to KPIs</x:v>
      </x:c>
      <x:c r="B556" s="25" t="str">
        <x:v>_Report Journey Measures</x:v>
      </x:c>
      <x:c r="C556" s="25" t="str">
        <x:v>Business metric</x:v>
      </x:c>
      <x:c r="D556" s="25" t="str">
        <x:v>GOLD-KPI-311</x:v>
      </x:c>
      <x:c r="E556" s="25" t="str">
        <x:v>Requirement Matrix Overview</x:v>
      </x:c>
      <x:c r="F556" s="25" t="str"/>
      <x:c r="G556" s="25" t="str">
        <x:v>COUNTROWS(INTERSECT(VALUES('ref_RID'[Req ID]), VALUES('ref_KPI_RID_Linkage'[Req ID])))</x:v>
      </x:c>
      <x:c r="H556" s="25" t="str">
        <x:v>KPI_LATEST_CALCULATIONS.md#business-requirements-linked-to-kpis</x:v>
      </x:c>
      <x:c r="I556" s="25" t="str">
        <x:v>Saved definition; runtime/acceptance pending</x:v>
      </x:c>
    </x:row>
    <x:row r="557" ht="33" customHeight="1">
      <x:c r="A557" s="25" t="str">
        <x:v>Residential Homes</x:v>
      </x:c>
      <x:c r="B557" s="25" t="str">
        <x:v>_Measures</x:v>
      </x:c>
      <x:c r="C557" s="25" t="str">
        <x:v>Business metric</x:v>
      </x:c>
      <x:c r="D557" s="25" t="str">
        <x:v>KPI-49</x:v>
      </x:c>
      <x:c r="E557" s="25" t="str">
        <x:v>No direct saved visual binding</x:v>
      </x:c>
      <x:c r="F557" s="25" t="str">
        <x:v>gold.dim_provider; gold.dim_provider_home</x:v>
      </x:c>
      <x:c r="G557" s="25" t="str">
        <x:v>CALCULATE ( [Provider Homes Registered], 'dim_provider_home'[service_type] = "Residential" )</x:v>
      </x:c>
      <x:c r="H557" s="25" t="str">
        <x:v>KPI_LATEST_CALCULATIONS.md#business-residential-homes</x:v>
      </x:c>
      <x:c r="I557" s="25" t="str">
        <x:v>Saved definition; runtime/acceptance pending</x:v>
      </x:c>
    </x:row>
    <x:row r="558" ht="85" customHeight="1">
      <x:c r="A558" s="25" t="str">
        <x:v>Snapshot Month In Window</x:v>
      </x:c>
      <x:c r="B558" s="25" t="str">
        <x:v>_Design Measures</x:v>
      </x:c>
      <x:c r="C558" s="25" t="str">
        <x:v>Filter/context helper</x:v>
      </x:c>
      <x:c r="D558" s="25" t="str">
        <x:v>Helper/context; not registered as an additional KPI</x:v>
      </x:c>
      <x:c r="E558" s="25" t="str">
        <x:v>Referral Snapshots</x:v>
      </x:c>
      <x:c r="F558" s="25" t="str">
        <x:v>gold.dim_snapshot_month; gold.fact_referral_snapshot</x:v>
      </x:c>
      <x:c r="G558" s="25" t="str">
        <x:v>VAR anchor = [Snapshot Window Anchor]
			VAR axis_month = MAX ( 'dim_snapshot_month'[month_start] )
			VAR months = [Snapshot Window Months]
			RETURN IF ( NOT ISBLANK ( anchor ) &amp;&amp; NOT ISBLANK ( axis_month )
			    &amp;&amp; axis_month &gt;= EDATE ( anchor, 1 - months ) &amp;&amp; axis_month &lt;= anchor, 1, 0 )</x:v>
      </x:c>
      <x:c r="H558" s="25" t="str">
        <x:v>KPI_LATEST_CALCULATIONS.md#business-snapshot-month-in-window</x:v>
      </x:c>
      <x:c r="I558" s="25" t="str">
        <x:v>Saved definition; runtime/acceptance pending</x:v>
      </x:c>
    </x:row>
    <x:row r="559" ht="163" customHeight="1">
      <x:c r="A559" s="25" t="str">
        <x:v>Snapshot Placement Target Hit Rate</x:v>
      </x:c>
      <x:c r="B559" s="25" t="str">
        <x:v>_Measures</x:v>
      </x:c>
      <x:c r="C559" s="25" t="str">
        <x:v>Business metric</x:v>
      </x:c>
      <x:c r="D559" s="25" t="str">
        <x:v>GOLD-KPI-312</x:v>
      </x:c>
      <x:c r="E559" s="25" t="str">
        <x:v>Target &amp; Urgency Performance</x:v>
      </x:c>
      <x:c r="F559" s="25" t="str">
        <x:v>gold.fact_referral_snapshot</x:v>
      </x:c>
      <x:c r="G559" s="25" t="str">
        <x:v>DIVIDE (
			    [Snapshot Referrals Placed by Required Date],
			    CALCULATE (
			        [Snapshot Referrals],
			        FILTER (
			            'fact_referral_snapshot',
			            NOT ISBLANK ( 'fact_referral_snapshot'[ipa_issued_date] )
			                &amp;&amp; NOT ISBLANK ( 'fact_referral_snapshot'[required_placement_date] )
			        )
			    )
			)</x:v>
      </x:c>
      <x:c r="H559" s="25" t="str">
        <x:v>KPI_LATEST_CALCULATIONS.md#business-snapshot-placement-target-hit-rate</x:v>
      </x:c>
      <x:c r="I559" s="25" t="str">
        <x:v>Saved definition; runtime/acceptance pending</x:v>
      </x:c>
    </x:row>
    <x:row r="560" ht="33" customHeight="1">
      <x:c r="A560" s="25" t="str">
        <x:v>Snapshot Referrals</x:v>
      </x:c>
      <x:c r="B560" s="25" t="str">
        <x:v>_Measures</x:v>
      </x:c>
      <x:c r="C560" s="25" t="str">
        <x:v>Business metric</x:v>
      </x:c>
      <x:c r="D560" s="25" t="str">
        <x:v>GOLD-KPI-028</x:v>
      </x:c>
      <x:c r="E560" s="25" t="str">
        <x:v>Overall Performance; Referral Snapshots; Referrals</x:v>
      </x:c>
      <x:c r="F560" s="25" t="str">
        <x:v>gold.fact_referral_snapshot</x:v>
      </x:c>
      <x:c r="G560" s="25" t="str">
        <x:v>DISTINCTCOUNT ( 'fact_referral_snapshot'[referral_id] )</x:v>
      </x:c>
      <x:c r="H560" s="25" t="str">
        <x:v>KPI_LATEST_CALCULATIONS.md#business-snapshot-referrals</x:v>
      </x:c>
      <x:c r="I560" s="25" t="str">
        <x:v>Saved definition; runtime/acceptance pending</x:v>
      </x:c>
    </x:row>
    <x:row r="561" ht="33" customHeight="1">
      <x:c r="A561" s="25" t="str">
        <x:v>Snapshot Referrals Placed by Required Date</x:v>
      </x:c>
      <x:c r="B561" s="25" t="str">
        <x:v>_Measures</x:v>
      </x:c>
      <x:c r="C561" s="25" t="str">
        <x:v>Business metric</x:v>
      </x:c>
      <x:c r="D561" s="25" t="str">
        <x:v>GOLD-KPI-313</x:v>
      </x:c>
      <x:c r="E561" s="25" t="str">
        <x:v>No direct saved visual binding</x:v>
      </x:c>
      <x:c r="F561" s="25" t="str">
        <x:v>gold.fact_referral_snapshot</x:v>
      </x:c>
      <x:c r="G561" s="25" t="str">
        <x:v>CALCULATE ( [Snapshot Referrals], 'fact_referral_snapshot'[placed_by_required_date] = TRUE () )</x:v>
      </x:c>
      <x:c r="H561" s="25" t="str">
        <x:v>KPI_LATEST_CALCULATIONS.md#business-snapshot-referrals-placed-by-required-date</x:v>
      </x:c>
      <x:c r="I561" s="25" t="str">
        <x:v>Saved definition; runtime/acceptance pending</x:v>
      </x:c>
    </x:row>
    <x:row r="562" ht="33" customHeight="1">
      <x:c r="A562" s="25" t="str">
        <x:v>Snapshot Window Anchor</x:v>
      </x:c>
      <x:c r="B562" s="25" t="str">
        <x:v>_Design Measures</x:v>
      </x:c>
      <x:c r="C562" s="25" t="str">
        <x:v>Filter/context helper</x:v>
      </x:c>
      <x:c r="D562" s="25" t="str">
        <x:v>Helper/context; not registered as an additional KPI</x:v>
      </x:c>
      <x:c r="E562" s="25" t="str">
        <x:v>Referral Snapshots</x:v>
      </x:c>
      <x:c r="F562" s="25" t="str">
        <x:v>gold.dim_snapshot_month; gold.fact_referral_snapshot</x:v>
      </x:c>
      <x:c r="G562" s="25" t="str">
        <x:v>CALCULATE ( MAX ( 'fact_referral_snapshot'[snapshot_month_start] ), REMOVEFILTERS ( 'dim_snapshot_month' ) )</x:v>
      </x:c>
      <x:c r="H562" s="25" t="str">
        <x:v>KPI_LATEST_CALCULATIONS.md#business-snapshot-window-anchor</x:v>
      </x:c>
      <x:c r="I562" s="25" t="str">
        <x:v>Saved definition; runtime/acceptance pending</x:v>
      </x:c>
    </x:row>
    <x:row r="563" ht="33" customHeight="1">
      <x:c r="A563" s="25" t="str">
        <x:v>Snapshot Window Months</x:v>
      </x:c>
      <x:c r="B563" s="25" t="str">
        <x:v>_Design Measures</x:v>
      </x:c>
      <x:c r="C563" s="25" t="str">
        <x:v>Filter/context helper</x:v>
      </x:c>
      <x:c r="D563" s="25" t="str">
        <x:v>Helper/context; not registered as an additional KPI</x:v>
      </x:c>
      <x:c r="E563" s="25" t="str">
        <x:v>No direct saved visual binding</x:v>
      </x:c>
      <x:c r="F563" s="25" t="str"/>
      <x:c r="G563" s="25" t="str">
        <x:v>SELECTEDVALUE ( 'Snapshot Window'[Ordinal], 12 )</x:v>
      </x:c>
      <x:c r="H563" s="25" t="str">
        <x:v>KPI_LATEST_CALCULATIONS.md#business-snapshot-window-months</x:v>
      </x:c>
      <x:c r="I563" s="25" t="str">
        <x:v>Saved definition; runtime/acceptance pending</x:v>
      </x:c>
    </x:row>
    <x:row r="564" ht="59" customHeight="1">
      <x:c r="A564" s="25" t="str">
        <x:v>Snapshot referrals MoM change</x:v>
      </x:c>
      <x:c r="B564" s="25" t="str">
        <x:v>_Story Measures</x:v>
      </x:c>
      <x:c r="C564" s="25" t="str">
        <x:v>Business metric</x:v>
      </x:c>
      <x:c r="D564" s="25" t="str">
        <x:v>GOLD-KPI-119</x:v>
      </x:c>
      <x:c r="E564" s="25" t="str">
        <x:v>Overall Performance</x:v>
      </x:c>
      <x:c r="F564" s="25" t="str">
        <x:v>gold.dim_snapshot_month; gold.fact_referral_snapshot</x:v>
      </x:c>
      <x:c r="G564" s="25" t="str">
        <x:v>VAR currentTotal = [Snapshot Referrals]
			VAR previousTotal = [Snapshot referrals previous month]
			RETURN IF(NOT ISBLANK(currentTotal) &amp;&amp; NOT ISBLANK(previousTotal), currentTotal - previousTotal)</x:v>
      </x:c>
      <x:c r="H564" s="25" t="str">
        <x:v>KPI_LATEST_CALCULATIONS.md#business-snapshot-referrals-mom-change</x:v>
      </x:c>
      <x:c r="I564" s="25" t="str">
        <x:v>Saved definition; runtime/acceptance pending</x:v>
      </x:c>
    </x:row>
    <x:row r="565" ht="33" customHeight="1">
      <x:c r="A565" s="25" t="str">
        <x:v>Snapshot referrals MoM percent</x:v>
      </x:c>
      <x:c r="B565" s="25" t="str">
        <x:v>_Story Measures</x:v>
      </x:c>
      <x:c r="C565" s="25" t="str">
        <x:v>Business metric</x:v>
      </x:c>
      <x:c r="D565" s="25" t="str">
        <x:v>GOLD-KPI-120</x:v>
      </x:c>
      <x:c r="E565" s="25" t="str">
        <x:v>Overall Performance</x:v>
      </x:c>
      <x:c r="F565" s="25" t="str">
        <x:v>gold.dim_snapshot_month; gold.fact_referral_snapshot</x:v>
      </x:c>
      <x:c r="G565" s="25" t="str">
        <x:v>DIVIDE([Snapshot referrals MoM change],[Snapshot referrals previous month])</x:v>
      </x:c>
      <x:c r="H565" s="25" t="str">
        <x:v>KPI_LATEST_CALCULATIONS.md#business-snapshot-referrals-mom-percent</x:v>
      </x:c>
      <x:c r="I565" s="25" t="str">
        <x:v>Saved definition; runtime/acceptance pending</x:v>
      </x:c>
    </x:row>
    <x:row r="566" ht="59" customHeight="1">
      <x:c r="A566" s="25" t="str">
        <x:v>Snapshot referrals previous month</x:v>
      </x:c>
      <x:c r="B566" s="25" t="str">
        <x:v>_Story Measures</x:v>
      </x:c>
      <x:c r="C566" s="25" t="str">
        <x:v>Business metric</x:v>
      </x:c>
      <x:c r="D566" s="25" t="str">
        <x:v>GOLD-KPI-118</x:v>
      </x:c>
      <x:c r="E566" s="25" t="str">
        <x:v>No direct saved visual binding</x:v>
      </x:c>
      <x:c r="F566" s="25" t="str">
        <x:v>gold.dim_snapshot_month; gold.fact_referral_snapshot</x:v>
      </x:c>
      <x:c r="G566" s="25" t="str">
        <x:v>VAR currentMonth = SELECTEDVALUE('dim_snapshot_month'[month_start])
			RETURN IF(NOT ISBLANK(currentMonth), CALCULATE([Snapshot Referrals], REMOVEFILTERS('dim_snapshot_month'), 'dim_snapshot_month'[month_start] = EDATE(currentMonth,-1)))</x:v>
      </x:c>
      <x:c r="H566" s="25" t="str">
        <x:v>KPI_LATEST_CALCULATIONS.md#business-snapshot-referrals-previous-month</x:v>
      </x:c>
      <x:c r="I566" s="25" t="str">
        <x:v>Saved definition; runtime/acceptance pending</x:v>
      </x:c>
    </x:row>
    <x:row r="567" ht="24" customHeight="1">
      <x:c r="A567" s="25" t="str">
        <x:v>Spot Offer Rate</x:v>
      </x:c>
      <x:c r="B567" s="25" t="str">
        <x:v>_Measures</x:v>
      </x:c>
      <x:c r="C567" s="25" t="str">
        <x:v>Business metric</x:v>
      </x:c>
      <x:c r="D567" s="25" t="str">
        <x:v>GOLD-KPI-062</x:v>
      </x:c>
      <x:c r="E567" s="25" t="str">
        <x:v>No direct saved visual binding</x:v>
      </x:c>
      <x:c r="F567" s="25" t="str">
        <x:v>gold.dim_provider_home; gold.fact_offer</x:v>
      </x:c>
      <x:c r="G567" s="25" t="str">
        <x:v>DIVIDE ( [Spot Offers], [Non-Draft Offers] )</x:v>
      </x:c>
      <x:c r="H567" s="25" t="str">
        <x:v>KPI_LATEST_CALCULATIONS.md#business-spot-offer-rate</x:v>
      </x:c>
      <x:c r="I567" s="25" t="str">
        <x:v>Saved definition; runtime/acceptance pending</x:v>
      </x:c>
    </x:row>
    <x:row r="568" ht="33" customHeight="1">
      <x:c r="A568" s="25" t="str">
        <x:v>Spot Offers</x:v>
      </x:c>
      <x:c r="B568" s="25" t="str">
        <x:v>_Measures</x:v>
      </x:c>
      <x:c r="C568" s="25" t="str">
        <x:v>Business metric</x:v>
      </x:c>
      <x:c r="D568" s="25" t="str">
        <x:v>GOLD-KPI-060</x:v>
      </x:c>
      <x:c r="E568" s="25" t="str">
        <x:v>No direct saved visual binding</x:v>
      </x:c>
      <x:c r="F568" s="25" t="str">
        <x:v>gold.dim_provider_home; gold.fact_offer</x:v>
      </x:c>
      <x:c r="G568" s="25" t="str">
        <x:v>CALCULATE ( [Non-Draft Offers], 'dim_provider_home (offer)'[is_spot] = TRUE () )</x:v>
      </x:c>
      <x:c r="H568" s="25" t="str">
        <x:v>KPI_LATEST_CALCULATIONS.md#business-spot-offers</x:v>
      </x:c>
      <x:c r="I568" s="25" t="str">
        <x:v>Saved definition; runtime/acceptance pending</x:v>
      </x:c>
    </x:row>
    <x:row r="569" ht="150" customHeight="1">
      <x:c r="A569" s="25" t="str">
        <x:v>Spot Offers on Referrals Under Offer</x:v>
      </x:c>
      <x:c r="B569" s="25" t="str">
        <x:v>_Measures</x:v>
      </x:c>
      <x:c r="C569" s="25" t="str">
        <x:v>Business metric</x:v>
      </x:c>
      <x:c r="D569" s="25" t="str">
        <x:v>KPI-27</x:v>
      </x:c>
      <x:c r="E569" s="25" t="str">
        <x:v>Offers Overview</x:v>
      </x:c>
      <x:c r="F569" s="25" t="str">
        <x:v>gold.dim_provider_home; gold.fact_offer; gold.fact_referral</x:v>
      </x:c>
      <x:c r="G569" s="25" t="str">
        <x:v>VAR homes =
			    CALCULATETABLE (
			        VALUES ( 'dim_provider_home'[provider_home_id] ),
			        KEEPFILTERS ( 'dim_provider_home'[is_spot] == TRUE () )
			    )
			RETURN
			    CALCULATE (
			        [Offers on Referrals Under Offer],
			        KEEPFILTERS ( TREATAS ( homes, 'fact_offer'[provider_home_id] ) )
			    )</x:v>
      </x:c>
      <x:c r="H569" s="25" t="str">
        <x:v>KPI_LATEST_CALCULATIONS.md#business-spot-offers-on-referrals-under-offer</x:v>
      </x:c>
      <x:c r="I569" s="25" t="str">
        <x:v>Saved definition; runtime/acceptance pending</x:v>
      </x:c>
    </x:row>
    <x:row r="570" ht="111" customHeight="1">
      <x:c r="A570" s="25" t="str">
        <x:v>Successful Offers on Referrals Under Offer</x:v>
      </x:c>
      <x:c r="B570" s="25" t="str">
        <x:v>_Measures</x:v>
      </x:c>
      <x:c r="C570" s="25" t="str">
        <x:v>Business metric</x:v>
      </x:c>
      <x:c r="D570" s="25" t="str">
        <x:v>KPI-15</x:v>
      </x:c>
      <x:c r="E570" s="25" t="str">
        <x:v>Historic; IPA Overview; Offers Overview</x:v>
      </x:c>
      <x:c r="F570" s="25" t="str">
        <x:v>gold.fact_offer; gold.fact_referral</x:v>
      </x:c>
      <x:c r="G570" s="25" t="str">
        <x:v>CALCULATE (
			    [Accepted Offers],
			    FILTER (
			        'fact_referral',
			        'fact_referral'[is_open] = TRUE () &amp;&amp; 'fact_referral'[current_status] = "UNDER_OFFER"
			    )
			)</x:v>
      </x:c>
      <x:c r="H570" s="25" t="str">
        <x:v>KPI_LATEST_CALCULATIONS.md#business-successful-offers-on-referrals-under-offer</x:v>
      </x:c>
      <x:c r="I570" s="25" t="str">
        <x:v>Saved definition; runtime/acceptance pending</x:v>
      </x:c>
    </x:row>
    <x:row r="571" ht="33" customHeight="1">
      <x:c r="A571" s="25" t="str">
        <x:v>Successful Offers to IPA Completed %</x:v>
      </x:c>
      <x:c r="B571" s="25" t="str">
        <x:v>_Measures</x:v>
      </x:c>
      <x:c r="C571" s="25" t="str">
        <x:v>Business metric</x:v>
      </x:c>
      <x:c r="D571" s="25" t="str">
        <x:v>KPI-86</x:v>
      </x:c>
      <x:c r="E571" s="25" t="str">
        <x:v>IPA Overview</x:v>
      </x:c>
      <x:c r="F571" s="25" t="str">
        <x:v>gold.fact_ipa; gold.fact_offer</x:v>
      </x:c>
      <x:c r="G571" s="25" t="str">
        <x:v>DIVIDE ( [IPA Completed], [Accepted Offers] )</x:v>
      </x:c>
      <x:c r="H571" s="25" t="str">
        <x:v>KPI_LATEST_CALCULATIONS.md#business-successful-offers-to-ipa-completed-percent</x:v>
      </x:c>
      <x:c r="I571" s="25" t="str">
        <x:v>Saved definition; runtime/acceptance pending</x:v>
      </x:c>
    </x:row>
    <x:row r="572" ht="59" customHeight="1">
      <x:c r="A572" s="25" t="str">
        <x:v>Supported Accommodation Homes</x:v>
      </x:c>
      <x:c r="B572" s="25" t="str">
        <x:v>_Measures</x:v>
      </x:c>
      <x:c r="C572" s="25" t="str">
        <x:v>Business metric</x:v>
      </x:c>
      <x:c r="D572" s="25" t="str">
        <x:v>KPI-50</x:v>
      </x:c>
      <x:c r="E572" s="25" t="str">
        <x:v>No direct saved visual binding</x:v>
      </x:c>
      <x:c r="F572" s="25" t="str">
        <x:v>gold.dim_provider; gold.dim_provider_home</x:v>
      </x:c>
      <x:c r="G572" s="25" t="str">
        <x:v>CALCULATE (
			    [Provider Homes Registered],
			    'dim_provider_home'[service_type] = "Supported Accommodation"
			)</x:v>
      </x:c>
      <x:c r="H572" s="25" t="str">
        <x:v>KPI_LATEST_CALCULATIONS.md#business-supported-accommodation-homes</x:v>
      </x:c>
      <x:c r="I572" s="25" t="str">
        <x:v>Saved definition; runtime/acceptance pending</x:v>
      </x:c>
    </x:row>
    <x:row r="573" ht="163" customHeight="1">
      <x:c r="A573" s="25" t="str">
        <x:v>Target Hit Rate at Snapshot</x:v>
      </x:c>
      <x:c r="B573" s="25" t="str">
        <x:v>_Measures</x:v>
      </x:c>
      <x:c r="C573" s="25" t="str">
        <x:v>Business metric</x:v>
      </x:c>
      <x:c r="D573" s="25" t="str">
        <x:v>GOLD-KPI-314</x:v>
      </x:c>
      <x:c r="E573" s="25" t="str">
        <x:v>No direct saved visual binding</x:v>
      </x:c>
      <x:c r="F573" s="25" t="str">
        <x:v>gold.fact_referral_snapshot</x:v>
      </x:c>
      <x:c r="G573" s="25" t="str">
        <x:v>DIVIDE (
			    [Referrals Placed by Target at Snapshot],
			    CALCULATE (
			        [Snapshot Referrals],
			        FILTER (
			            'fact_referral_snapshot',
			            NOT ISBLANK ( 'fact_referral_snapshot'[ipa_issued_date] )
			                &amp;&amp; NOT ISBLANK ( 'fact_referral_snapshot'[required_placement_date] )
			        )
			    )
			)</x:v>
      </x:c>
      <x:c r="H573" s="25" t="str">
        <x:v>KPI_LATEST_CALCULATIONS.md#business-target-hit-rate-at-snapshot</x:v>
      </x:c>
      <x:c r="I573" s="25" t="str">
        <x:v>Saved definition; runtime/acceptance pending</x:v>
      </x:c>
    </x:row>
    <x:row r="574" ht="46" customHeight="1">
      <x:c r="A574" s="25" t="str">
        <x:v>Total Gendered Referrals</x:v>
      </x:c>
      <x:c r="B574" s="25" t="str">
        <x:v>_Measures</x:v>
      </x:c>
      <x:c r="C574" s="25" t="str">
        <x:v>Business metric</x:v>
      </x:c>
      <x:c r="D574" s="25" t="str">
        <x:v>KPI-07; GOLD-KPI-113</x:v>
      </x:c>
      <x:c r="E574" s="25" t="str">
        <x:v>No direct saved visual binding</x:v>
      </x:c>
      <x:c r="F574" s="25" t="str">
        <x:v>gold.dim_person; gold.fact_referral</x:v>
      </x:c>
      <x:c r="G574" s="25" t="str">
        <x:v>CALCULATE ( [Total Referrals], KEEPFILTERS ( FILTER ( 'dim_person', NOT ISBLANK ( 'dim_person'[gender_clean] ) &amp;&amp; 'dim_person'[gender_clean] &lt;&gt; "Unknown" ) ) )</x:v>
      </x:c>
      <x:c r="H574" s="25" t="str">
        <x:v>KPI_LATEST_CALCULATIONS.md#business-total-gendered-referrals</x:v>
      </x:c>
      <x:c r="I574" s="25" t="str">
        <x:v>Saved definition; runtime/acceptance pending</x:v>
      </x:c>
    </x:row>
    <x:row r="575" ht="24" customHeight="1">
      <x:c r="A575" s="25" t="str">
        <x:v>Total IPA Weekly Cost</x:v>
      </x:c>
      <x:c r="B575" s="25" t="str">
        <x:v>_Measures</x:v>
      </x:c>
      <x:c r="C575" s="25" t="str">
        <x:v>Business metric</x:v>
      </x:c>
      <x:c r="D575" s="25" t="str">
        <x:v>GOLD-KPI-098</x:v>
      </x:c>
      <x:c r="E575" s="25" t="str">
        <x:v>No direct saved visual binding</x:v>
      </x:c>
      <x:c r="F575" s="25" t="str">
        <x:v>gold.fact_ipa</x:v>
      </x:c>
      <x:c r="G575" s="25" t="str">
        <x:v>SUM ( 'fact_ipa'[estimated_weekly_cost] )</x:v>
      </x:c>
      <x:c r="H575" s="25" t="str">
        <x:v>KPI_LATEST_CALCULATIONS.md#business-total-ipa-weekly-cost</x:v>
      </x:c>
      <x:c r="I575" s="25" t="str">
        <x:v>Saved definition; runtime/acceptance pending</x:v>
      </x:c>
    </x:row>
    <x:row r="576" ht="24" customHeight="1">
      <x:c r="A576" s="25" t="str">
        <x:v>Total Lifetime Cost</x:v>
      </x:c>
      <x:c r="B576" s="25" t="str">
        <x:v>_Measures</x:v>
      </x:c>
      <x:c r="C576" s="25" t="str">
        <x:v>Business metric</x:v>
      </x:c>
      <x:c r="D576" s="25" t="str">
        <x:v>GOLD-KPI-315</x:v>
      </x:c>
      <x:c r="E576" s="25" t="str">
        <x:v>Overall Performance</x:v>
      </x:c>
      <x:c r="F576" s="25" t="str">
        <x:v>gold.fact_ipa</x:v>
      </x:c>
      <x:c r="G576" s="25" t="str">
        <x:v>CALCULATE ( [Lifetime Placement Cost], REMOVEFILTERS ( 'fact_ipa' ) )</x:v>
      </x:c>
      <x:c r="H576" s="25" t="str">
        <x:v>KPI_LATEST_CALCULATIONS.md#business-total-lifetime-cost</x:v>
      </x:c>
      <x:c r="I576" s="25" t="str">
        <x:v>Saved definition; runtime/acceptance pending</x:v>
      </x:c>
    </x:row>
    <x:row r="577" ht="33" customHeight="1">
      <x:c r="A577" s="25" t="str">
        <x:v>Total Offers Made Previous Month</x:v>
      </x:c>
      <x:c r="B577" s="25" t="str">
        <x:v>_Measures</x:v>
      </x:c>
      <x:c r="C577" s="25" t="str">
        <x:v>Business metric</x:v>
      </x:c>
      <x:c r="D577" s="25" t="str">
        <x:v>GOLD-KPI-317</x:v>
      </x:c>
      <x:c r="E577" s="25" t="str">
        <x:v>No direct saved visual binding</x:v>
      </x:c>
      <x:c r="F577" s="25" t="str">
        <x:v>gold.dim_snapshot_month; gold.fact_referral_snapshot</x:v>
      </x:c>
      <x:c r="G577" s="25" t="str">
        <x:v>CALCULATE ( [Total Offers at Snapshot], DATEADD ( 'dim_snapshot_month'[month_start], -1, MONTH ) )</x:v>
      </x:c>
      <x:c r="H577" s="25" t="str">
        <x:v>KPI_LATEST_CALCULATIONS.md#business-total-offers-made-previous-month</x:v>
      </x:c>
      <x:c r="I577" s="25" t="str">
        <x:v>Saved definition; runtime/acceptance pending</x:v>
      </x:c>
    </x:row>
    <x:row r="578" ht="33" customHeight="1">
      <x:c r="A578" s="25" t="str">
        <x:v>Total Offers Made Variance</x:v>
      </x:c>
      <x:c r="B578" s="25" t="str">
        <x:v>_Measures</x:v>
      </x:c>
      <x:c r="C578" s="25" t="str">
        <x:v>Business metric</x:v>
      </x:c>
      <x:c r="D578" s="25" t="str">
        <x:v>GOLD-KPI-318</x:v>
      </x:c>
      <x:c r="E578" s="25" t="str">
        <x:v>No direct saved visual binding</x:v>
      </x:c>
      <x:c r="F578" s="25" t="str">
        <x:v>gold.dim_snapshot_month; gold.fact_referral_snapshot</x:v>
      </x:c>
      <x:c r="G578" s="25" t="str">
        <x:v>[Total Offers at Snapshot] - [Total Offers Made Previous Month]</x:v>
      </x:c>
      <x:c r="H578" s="25" t="str">
        <x:v>KPI_LATEST_CALCULATIONS.md#business-total-offers-made-variance</x:v>
      </x:c>
      <x:c r="I578" s="25" t="str">
        <x:v>Saved definition; runtime/acceptance pending</x:v>
      </x:c>
    </x:row>
    <x:row r="579" ht="33" customHeight="1">
      <x:c r="A579" s="25" t="str">
        <x:v>Total Offers Made Variance Color</x:v>
      </x:c>
      <x:c r="B579" s="25" t="str">
        <x:v>_Measures</x:v>
      </x:c>
      <x:c r="C579" s="25" t="str">
        <x:v>Display/filter helper</x:v>
      </x:c>
      <x:c r="D579" s="25" t="str">
        <x:v>Helper/context; not registered as an additional KPI</x:v>
      </x:c>
      <x:c r="E579" s="25" t="str">
        <x:v>No direct saved visual binding</x:v>
      </x:c>
      <x:c r="F579" s="25" t="str">
        <x:v>gold.dim_snapshot_month; gold.fact_referral_snapshot</x:v>
      </x:c>
      <x:c r="G579" s="25" t="str">
        <x:v>IF([Total Offers Made Variance] &gt; 0, "green", IF([Total Offers Made Variance] &lt; 0, "red", "grey"))</x:v>
      </x:c>
      <x:c r="H579" s="25" t="str">
        <x:v>KPI_LATEST_CALCULATIONS.md#business-total-offers-made-variance-color</x:v>
      </x:c>
      <x:c r="I579" s="25" t="str">
        <x:v>Saved definition; runtime/acceptance pending</x:v>
      </x:c>
    </x:row>
    <x:row r="580" ht="33" customHeight="1">
      <x:c r="A580" s="25" t="str">
        <x:v>Total Offers Made Variance Indicator</x:v>
      </x:c>
      <x:c r="B580" s="25" t="str">
        <x:v>_Measures</x:v>
      </x:c>
      <x:c r="C580" s="25" t="str">
        <x:v>Display/filter helper</x:v>
      </x:c>
      <x:c r="D580" s="25" t="str">
        <x:v>Helper/context; not registered as an additional KPI</x:v>
      </x:c>
      <x:c r="E580" s="25" t="str">
        <x:v>No direct saved visual binding</x:v>
      </x:c>
      <x:c r="F580" s="25" t="str">
        <x:v>gold.dim_snapshot_month; gold.fact_referral_snapshot</x:v>
      </x:c>
      <x:c r="G580" s="25" t="str">
        <x:v>IF([Total Offers Made Variance] &gt; 0, "▲", IF([Total Offers Made Variance]&lt; 0, "▼", "–"))</x:v>
      </x:c>
      <x:c r="H580" s="25" t="str">
        <x:v>KPI_LATEST_CALCULATIONS.md#business-total-offers-made-variance-indicator</x:v>
      </x:c>
      <x:c r="I580" s="25" t="str">
        <x:v>Saved definition; runtime/acceptance pending</x:v>
      </x:c>
    </x:row>
    <x:row r="581" ht="24" customHeight="1">
      <x:c r="A581" s="25" t="str">
        <x:v>Total Offers at Snapshot</x:v>
      </x:c>
      <x:c r="B581" s="25" t="str">
        <x:v>_Measures</x:v>
      </x:c>
      <x:c r="C581" s="25" t="str">
        <x:v>Business metric</x:v>
      </x:c>
      <x:c r="D581" s="25" t="str">
        <x:v>GOLD-KPI-316</x:v>
      </x:c>
      <x:c r="E581" s="25" t="str">
        <x:v>No direct saved visual binding</x:v>
      </x:c>
      <x:c r="F581" s="25" t="str">
        <x:v>gold.fact_referral_snapshot</x:v>
      </x:c>
      <x:c r="G581" s="25" t="str">
        <x:v>SUM ( 'fact_referral_snapshot'[offer_count] )</x:v>
      </x:c>
      <x:c r="H581" s="25" t="str">
        <x:v>KPI_LATEST_CALCULATIONS.md#business-total-offers-at-snapshot</x:v>
      </x:c>
      <x:c r="I581" s="25" t="str">
        <x:v>Saved definition; runtime/acceptance pending</x:v>
      </x:c>
    </x:row>
    <x:row r="582" ht="46" customHeight="1">
      <x:c r="A582" s="25" t="str">
        <x:v>Total Referrals</x:v>
      </x:c>
      <x:c r="B582" s="25" t="str">
        <x:v>_Measures</x:v>
      </x:c>
      <x:c r="C582" s="25" t="str">
        <x:v>Business metric</x:v>
      </x:c>
      <x:c r="D582" s="25" t="str">
        <x:v>KPI-26; KPI-01</x:v>
      </x:c>
      <x:c r="E582" s="25" t="str">
        <x:v>Draft Offers; Historic; Offers Overview; Overall Performance; Referral Explorer; Referrals</x:v>
      </x:c>
      <x:c r="F582" s="25" t="str">
        <x:v>gold.fact_referral</x:v>
      </x:c>
      <x:c r="G582" s="25" t="str">
        <x:v>DISTINCTCOUNT ( 'fact_referral'[referral_id] )</x:v>
      </x:c>
      <x:c r="H582" s="25" t="str">
        <x:v>KPI_LATEST_CALCULATIONS.md#business-total-referrals</x:v>
      </x:c>
      <x:c r="I582" s="25" t="str">
        <x:v>Saved definition; runtime/acceptance pending</x:v>
      </x:c>
    </x:row>
    <x:row r="583" ht="24" customHeight="1">
      <x:c r="A583" s="25" t="str">
        <x:v>Total Referrals MoM %</x:v>
      </x:c>
      <x:c r="B583" s="25" t="str">
        <x:v>_Measures</x:v>
      </x:c>
      <x:c r="C583" s="25" t="str">
        <x:v>Business metric</x:v>
      </x:c>
      <x:c r="D583" s="25" t="str">
        <x:v>GOLD-KPI-319</x:v>
      </x:c>
      <x:c r="E583" s="25" t="str">
        <x:v>No direct saved visual binding</x:v>
      </x:c>
      <x:c r="F583" s="25" t="str">
        <x:v>gold.dim_date; gold.fact_referral</x:v>
      </x:c>
      <x:c r="G583" s="25" t="str">
        <x:v>DIVIDE ( [Total Referrals Variance], [Total Referrals Previous Month] )</x:v>
      </x:c>
      <x:c r="H583" s="25" t="str">
        <x:v>KPI_LATEST_CALCULATIONS.md#business-total-referrals-mom-percent</x:v>
      </x:c>
      <x:c r="I583" s="25" t="str">
        <x:v>Saved definition; runtime/acceptance pending</x:v>
      </x:c>
    </x:row>
    <x:row r="584" ht="33" customHeight="1">
      <x:c r="A584" s="25" t="str">
        <x:v>Total Referrals Previous Month</x:v>
      </x:c>
      <x:c r="B584" s="25" t="str">
        <x:v>_Measures</x:v>
      </x:c>
      <x:c r="C584" s="25" t="str">
        <x:v>Business metric</x:v>
      </x:c>
      <x:c r="D584" s="25" t="str">
        <x:v>GOLD-KPI-320</x:v>
      </x:c>
      <x:c r="E584" s="25" t="str">
        <x:v>No direct saved visual binding</x:v>
      </x:c>
      <x:c r="F584" s="25" t="str">
        <x:v>gold.dim_date; gold.fact_referral</x:v>
      </x:c>
      <x:c r="G584" s="25" t="str">
        <x:v>CALCULATE ( [Total Referrals], DATEADD ( 'dim_date'[date], -1, MONTH ) )</x:v>
      </x:c>
      <x:c r="H584" s="25" t="str">
        <x:v>KPI_LATEST_CALCULATIONS.md#business-total-referrals-previous-month</x:v>
      </x:c>
      <x:c r="I584" s="25" t="str">
        <x:v>Saved definition; runtime/acceptance pending</x:v>
      </x:c>
    </x:row>
    <x:row r="585" ht="72" customHeight="1">
      <x:c r="A585" s="25" t="str">
        <x:v>Total Referrals That Received Offers (Ratio)</x:v>
      </x:c>
      <x:c r="B585" s="25" t="str">
        <x:v>_Measures</x:v>
      </x:c>
      <x:c r="C585" s="25" t="str">
        <x:v>Business metric</x:v>
      </x:c>
      <x:c r="D585" s="25" t="str">
        <x:v>GOLD-KPI-321</x:v>
      </x:c>
      <x:c r="E585" s="25" t="str">
        <x:v>No direct saved visual binding</x:v>
      </x:c>
      <x:c r="F585" s="25" t="str">
        <x:v>gold.fact_referral</x:v>
      </x:c>
      <x:c r="G585" s="25" t="str">
        <x:v>DIVIDE(
			    [Referrals With Offers],
			    [Total Referrals],
			    0
			)</x:v>
      </x:c>
      <x:c r="H585" s="25" t="str">
        <x:v>KPI_LATEST_CALCULATIONS.md#business-total-referrals-that-received-offers-ratio</x:v>
      </x:c>
      <x:c r="I585" s="25" t="str">
        <x:v>Saved definition; runtime/acceptance pending</x:v>
      </x:c>
    </x:row>
    <x:row r="586" ht="33" customHeight="1">
      <x:c r="A586" s="25" t="str">
        <x:v>Total Referrals That Received Offers Previous Month</x:v>
      </x:c>
      <x:c r="B586" s="25" t="str">
        <x:v>_Measures</x:v>
      </x:c>
      <x:c r="C586" s="25" t="str">
        <x:v>Business metric</x:v>
      </x:c>
      <x:c r="D586" s="25" t="str">
        <x:v>GOLD-KPI-322</x:v>
      </x:c>
      <x:c r="E586" s="25" t="str">
        <x:v>Referrals</x:v>
      </x:c>
      <x:c r="F586" s="25" t="str">
        <x:v>gold.dim_date; gold.fact_referral</x:v>
      </x:c>
      <x:c r="G586" s="25" t="str">
        <x:v>CALCULATE ([Total Referrals That Received Offers (Ratio)], DATEADD(dim_date[Date],-1,MONTH))</x:v>
      </x:c>
      <x:c r="H586" s="25" t="str">
        <x:v>KPI_LATEST_CALCULATIONS.md#business-total-referrals-that-received-offers-previous-month</x:v>
      </x:c>
      <x:c r="I586" s="25" t="str">
        <x:v>Saved definition; runtime/acceptance pending</x:v>
      </x:c>
    </x:row>
    <x:row r="587" ht="33" customHeight="1">
      <x:c r="A587" s="25" t="str">
        <x:v>Total Referrals That Received Offers Variance</x:v>
      </x:c>
      <x:c r="B587" s="25" t="str">
        <x:v>_Measures</x:v>
      </x:c>
      <x:c r="C587" s="25" t="str">
        <x:v>Business metric</x:v>
      </x:c>
      <x:c r="D587" s="25" t="str">
        <x:v>GOLD-KPI-323</x:v>
      </x:c>
      <x:c r="E587" s="25" t="str">
        <x:v>Referrals</x:v>
      </x:c>
      <x:c r="F587" s="25" t="str">
        <x:v>gold.dim_date; gold.fact_referral</x:v>
      </x:c>
      <x:c r="G587" s="25" t="str">
        <x:v>[Total Referrals That Received Offers (Ratio)]-[Total Referrals That Received Offers Previous Month]</x:v>
      </x:c>
      <x:c r="H587" s="25" t="str">
        <x:v>KPI_LATEST_CALCULATIONS.md#business-total-referrals-that-received-offers-variance</x:v>
      </x:c>
      <x:c r="I587" s="25" t="str">
        <x:v>Saved definition; runtime/acceptance pending</x:v>
      </x:c>
    </x:row>
    <x:row r="588" ht="46" customHeight="1">
      <x:c r="A588" s="25" t="str">
        <x:v>Total Referrals That Received Offers Variance Indicator Color</x:v>
      </x:c>
      <x:c r="B588" s="25" t="str">
        <x:v>_Measures</x:v>
      </x:c>
      <x:c r="C588" s="25" t="str">
        <x:v>Display/filter helper</x:v>
      </x:c>
      <x:c r="D588" s="25" t="str">
        <x:v>Helper/context; not registered as an additional KPI</x:v>
      </x:c>
      <x:c r="E588" s="25" t="str">
        <x:v>Referrals</x:v>
      </x:c>
      <x:c r="F588" s="25" t="str">
        <x:v>gold.dim_date; gold.fact_referral</x:v>
      </x:c>
      <x:c r="G588" s="25" t="str">
        <x:v>IF([Total Referrals That Received Offers Variance] &gt; 0, "green", IF([Total Referrals That Received Offers Variance] &lt; 0, "red", "grey"))</x:v>
      </x:c>
      <x:c r="H588" s="25" t="str">
        <x:v>KPI_LATEST_CALCULATIONS.md#business-total-referrals-that-received-offers-variance-indicator-color</x:v>
      </x:c>
      <x:c r="I588" s="25" t="str">
        <x:v>Saved definition; runtime/acceptance pending</x:v>
      </x:c>
    </x:row>
    <x:row r="589" ht="24" customHeight="1">
      <x:c r="A589" s="25" t="str">
        <x:v>Total Referrals Variance</x:v>
      </x:c>
      <x:c r="B589" s="25" t="str">
        <x:v>_Measures</x:v>
      </x:c>
      <x:c r="C589" s="25" t="str">
        <x:v>Business metric</x:v>
      </x:c>
      <x:c r="D589" s="25" t="str">
        <x:v>GOLD-KPI-324</x:v>
      </x:c>
      <x:c r="E589" s="25" t="str">
        <x:v>No direct saved visual binding</x:v>
      </x:c>
      <x:c r="F589" s="25" t="str">
        <x:v>gold.dim_date; gold.fact_referral</x:v>
      </x:c>
      <x:c r="G589" s="25" t="str">
        <x:v>[Total Referrals] - [Total Referrals Previous Month]</x:v>
      </x:c>
      <x:c r="H589" s="25" t="str">
        <x:v>KPI_LATEST_CALCULATIONS.md#business-total-referrals-variance</x:v>
      </x:c>
      <x:c r="I589" s="25" t="str">
        <x:v>Saved definition; runtime/acceptance pending</x:v>
      </x:c>
    </x:row>
    <x:row r="590" ht="33" customHeight="1">
      <x:c r="A590" s="25" t="str">
        <x:v>Total Referrals Variance Indicator</x:v>
      </x:c>
      <x:c r="B590" s="25" t="str">
        <x:v>_Measures</x:v>
      </x:c>
      <x:c r="C590" s="25" t="str">
        <x:v>Display/filter helper</x:v>
      </x:c>
      <x:c r="D590" s="25" t="str">
        <x:v>Helper/context; not registered as an additional KPI</x:v>
      </x:c>
      <x:c r="E590" s="25" t="str">
        <x:v>No direct saved visual binding</x:v>
      </x:c>
      <x:c r="F590" s="25" t="str">
        <x:v>gold.dim_date; gold.fact_referral</x:v>
      </x:c>
      <x:c r="G590" s="25" t="str">
        <x:v>IF ( [Total Referrals Variance] &gt; 0, "▲", IF ( [Total Referrals Variance] &lt; 0, "▼", "–" ) )</x:v>
      </x:c>
      <x:c r="H590" s="25" t="str">
        <x:v>KPI_LATEST_CALCULATIONS.md#business-total-referrals-variance-indicator</x:v>
      </x:c>
      <x:c r="I590" s="25" t="str">
        <x:v>Saved definition; runtime/acceptance pending</x:v>
      </x:c>
    </x:row>
    <x:row r="591" ht="33" customHeight="1">
      <x:c r="A591" s="25" t="str">
        <x:v>Total Referrals Variance Indicator Color</x:v>
      </x:c>
      <x:c r="B591" s="25" t="str">
        <x:v>_Measures</x:v>
      </x:c>
      <x:c r="C591" s="25" t="str">
        <x:v>Display/filter helper</x:v>
      </x:c>
      <x:c r="D591" s="25" t="str">
        <x:v>Helper/context; not registered as an additional KPI</x:v>
      </x:c>
      <x:c r="E591" s="25" t="str">
        <x:v>No direct saved visual binding</x:v>
      </x:c>
      <x:c r="F591" s="25" t="str">
        <x:v>gold.dim_date; gold.fact_referral</x:v>
      </x:c>
      <x:c r="G591" s="25" t="str">
        <x:v>IF ( [Total Referrals Variance] &gt; 0, "green", IF ( [Total Referrals Variance] &lt; 0, "red", "grey" ) )</x:v>
      </x:c>
      <x:c r="H591" s="25" t="str">
        <x:v>KPI_LATEST_CALCULATIONS.md#business-total-referrals-variance-indicator-color</x:v>
      </x:c>
      <x:c r="I591" s="25" t="str">
        <x:v>Saved definition; runtime/acceptance pending</x:v>
      </x:c>
    </x:row>
    <x:row r="592" ht="98" customHeight="1">
      <x:c r="A592" s="25" t="str">
        <x:v>Under offer</x:v>
      </x:c>
      <x:c r="B592" s="25" t="str">
        <x:v>_Explore Measures</x:v>
      </x:c>
      <x:c r="C592" s="25" t="str">
        <x:v>Business metric</x:v>
      </x:c>
      <x:c r="D592" s="25" t="str">
        <x:v>GOLD-KPI-325</x:v>
      </x:c>
      <x:c r="E592" s="25" t="str">
        <x:v>Referrals</x:v>
      </x:c>
      <x:c r="F592" s="25" t="str">
        <x:v>gold.bridge_referral_framework_category; gold.dim_framework_category; gold.fact_referral</x:v>
      </x:c>
      <x:c r="G592" s="25" t="str">
        <x:v>VAR selectedCategories=VALUES('Referral Category'[Category ID])
			VAR ids=CALCULATETABLE(VALUES('bridge_referral_framework_category'[referral_id]),TREATAS(selectedCategories,'bridge_referral_framework_category'[framework_category_id]))
			RETURN IF(ISCROSSFILTERED('Referral Category'),CALCULATE([Referrals Under Offer],KEEPFILTERS(TREATAS(ids,'fact_referral'[referral_id]))),[Referrals Under Offer])</x:v>
      </x:c>
      <x:c r="H592" s="25" t="str">
        <x:v>KPI_LATEST_CALCULATIONS.md#business-under-offer</x:v>
      </x:c>
      <x:c r="I592" s="25" t="str">
        <x:v>Saved definition; runtime/acceptance pending</x:v>
      </x:c>
    </x:row>
    <x:row r="593" ht="124" customHeight="1">
      <x:c r="A593" s="25" t="str">
        <x:v>Unsuccessful Offers</x:v>
      </x:c>
      <x:c r="B593" s="25" t="str">
        <x:v>_Measures</x:v>
      </x:c>
      <x:c r="C593" s="25" t="str">
        <x:v>Business metric</x:v>
      </x:c>
      <x:c r="D593" s="25" t="str">
        <x:v>GOLD-KPI-054</x:v>
      </x:c>
      <x:c r="E593" s="25" t="str">
        <x:v>No direct saved visual binding</x:v>
      </x:c>
      <x:c r="F593" s="25" t="str">
        <x:v>gold.fact_offer</x:v>
      </x:c>
      <x:c r="G593" s="25" t="str">
        <x:v>CALCULATE (
			    [Offers Submitted],
			    FILTER (
			        'fact_offer',
			        LOWER ( COALESCE ( 'fact_offer'[offer_status], "" ) )
			            IN { "declined", "rejected", "withdrawn", "offer_unsuccessful", "offer_withdrawn" }
			    )
			)</x:v>
      </x:c>
      <x:c r="H593" s="25" t="str">
        <x:v>KPI_LATEST_CALCULATIONS.md#business-unsuccessful-offers</x:v>
      </x:c>
      <x:c r="I593" s="25" t="str">
        <x:v>Saved definition; runtime/acceptance pending</x:v>
      </x:c>
    </x:row>
    <x:row r="594" ht="72" customHeight="1">
      <x:c r="A594" s="25" t="str">
        <x:v>Unsuccessful Offers (Under Offer Referrals)</x:v>
      </x:c>
      <x:c r="B594" s="25" t="str">
        <x:v>_Measures</x:v>
      </x:c>
      <x:c r="C594" s="25" t="str">
        <x:v>Business metric</x:v>
      </x:c>
      <x:c r="D594" s="25" t="str">
        <x:v>GOLD-KPI-326</x:v>
      </x:c>
      <x:c r="E594" s="25" t="str">
        <x:v>Historic; Offers Overview</x:v>
      </x:c>
      <x:c r="F594" s="25" t="str">
        <x:v>gold.fact_offer; gold.fact_referral</x:v>
      </x:c>
      <x:c r="G594" s="25" t="str">
        <x:v>CALCULATE (
			    [Unsuccessful Offers],
			    FILTER ( 'fact_referral', 'fact_referral'[is_open] = TRUE () &amp;&amp; 'fact_referral'[current_status] = "UNDER_OFFER" )
			)</x:v>
      </x:c>
      <x:c r="H594" s="25" t="str">
        <x:v>KPI_LATEST_CALCULATIONS.md#business-unsuccessful-offers-under-offer-referrals</x:v>
      </x:c>
      <x:c r="I594" s="25" t="str">
        <x:v>Saved definition; runtime/acceptance pending</x:v>
      </x:c>
    </x:row>
    <x:row r="595" ht="111" customHeight="1">
      <x:c r="A595" s="25" t="str">
        <x:v>Unsuccessful Offers on Referrals Under Offer</x:v>
      </x:c>
      <x:c r="B595" s="25" t="str">
        <x:v>_Measures</x:v>
      </x:c>
      <x:c r="C595" s="25" t="str">
        <x:v>Business metric</x:v>
      </x:c>
      <x:c r="D595" s="25" t="str">
        <x:v>KPI-16</x:v>
      </x:c>
      <x:c r="E595" s="25" t="str">
        <x:v>No direct saved visual binding</x:v>
      </x:c>
      <x:c r="F595" s="25" t="str">
        <x:v>gold.fact_offer; gold.fact_referral</x:v>
      </x:c>
      <x:c r="G595" s="25" t="str">
        <x:v>CALCULATE (
			    [Unsuccessful Offers],
			    FILTER (
			        'fact_referral',
			        'fact_referral'[is_open] = TRUE () &amp;&amp; 'fact_referral'[current_status] = "UNDER_OFFER"
			    )
			)</x:v>
      </x:c>
      <x:c r="H595" s="25" t="str">
        <x:v>KPI_LATEST_CALCULATIONS.md#business-unsuccessful-offers-on-referrals-under-offer</x:v>
      </x:c>
      <x:c r="I595" s="25" t="str">
        <x:v>Saved definition; runtime/acceptance pending</x:v>
      </x:c>
    </x:row>
    <x:row r="596" ht="33" customHeight="1">
      <x:c r="A596" s="25" t="str">
        <x:v>Username</x:v>
      </x:c>
      <x:c r="B596" s="25" t="str">
        <x:v>_Measures</x:v>
      </x:c>
      <x:c r="C596" s="25" t="str">
        <x:v>Display/filter helper</x:v>
      </x:c>
      <x:c r="D596" s="25" t="str">
        <x:v>Helper/context; not registered as an additional KPI</x:v>
      </x:c>
      <x:c r="E596" s="25" t="str">
        <x:v>No direct saved visual binding</x:v>
      </x:c>
      <x:c r="F596" s="25" t="str"/>
      <x:c r="G596" s="25" t="str">
        <x:v>USERPRINCIPALNAME()</x:v>
      </x:c>
      <x:c r="H596" s="25" t="str">
        <x:v>KPI_LATEST_CALCULATIONS.md#business-username</x:v>
      </x:c>
      <x:c r="I596" s="25" t="str">
        <x:v>Saved definition; runtime/acceptance pending</x:v>
      </x:c>
    </x:row>
    <x:row r="597" ht="85" customHeight="1">
      <x:c r="A597" s="25" t="str">
        <x:v>expired_docs</x:v>
      </x:c>
      <x:c r="B597" s="25" t="str">
        <x:v>_Explorer KPI Measures</x:v>
      </x:c>
      <x:c r="C597" s="25" t="str">
        <x:v>Display/filter helper</x:v>
      </x:c>
      <x:c r="D597" s="25" t="str">
        <x:v>Helper/context only</x:v>
      </x:c>
      <x:c r="E597" s="25" t="str">
        <x:v>Provider Detail (Drillthrough); Provider Explorer</x:v>
      </x:c>
      <x:c r="F597" s="25" t="str">
        <x:v>gold.dim_provider_submission_document</x:v>
      </x:c>
      <x:c r="G597" s="25" t="str">
        <x:v>VAR oneDocument = HASONEVALUE('dim_provider_submission_document'[document_id])
			VAR expiry = SELECTEDVALUE('dim_provider_submission_document'[expiry_date])
			RETURN IF(oneDocument &amp;&amp; COUNTROWS('dim_provider_submission_document') &gt; 0
			    &amp;&amp; NOT ISBLANK(expiry), IF(expiry &lt; TODAY(), 1, 0), BLANK())</x:v>
      </x:c>
      <x:c r="H597" s="25" t="str">
        <x:v>KPI_LATEST_CALCULATIONS.md#business-expired-docs</x:v>
      </x:c>
      <x:c r="I597" s="25" t="str">
        <x:v>Saved definition; refresh/UAT pending</x:v>
      </x:c>
    </x:row>
    <x:row r="598" ht="33" customHeight="1">
      <x:c r="A598"/>
      <x:c r="B598"/>
      <x:c r="C598"/>
      <x:c r="D598"/>
      <x:c r="E598"/>
      <x:c r="F598"/>
      <x:c r="G598"/>
      <x:c r="H598"/>
      <x:c r="I598"/>
    </x:row>
    <x:row r="599" ht="24" customHeight="1">
      <x:c r="A599"/>
      <x:c r="B599"/>
      <x:c r="C599"/>
      <x:c r="D599"/>
      <x:c r="E599"/>
      <x:c r="F599"/>
      <x:c r="G599"/>
      <x:c r="H599"/>
      <x:c r="I599"/>
    </x:row>
    <x:row r="600" ht="25" customHeight="1">
      <x:c r="A600" s="22" t="str">
        <x:v>All latest Mission Control definitions — helpers labelled separately</x:v>
      </x:c>
      <x:c r="B600" s="22"/>
      <x:c r="C600" s="22"/>
      <x:c r="D600" s="22"/>
      <x:c r="E600" s="22"/>
      <x:c r="F600" s="22"/>
      <x:c r="G600" s="22"/>
      <x:c r="H600" s="22"/>
      <x:c r="I600" s="22"/>
    </x:row>
    <x:row r="601" ht="35" customHeight="1">
      <x:c r="A601" s="35" t="str">
        <x:v>Measure</x:v>
      </x:c>
      <x:c r="B601" s="35" t="str">
        <x:v>Container</x:v>
      </x:c>
      <x:c r="C601" s="35" t="str">
        <x:v>Classification</x:v>
      </x:c>
      <x:c r="D601" s="35" t="str">
        <x:v>KPI Definition IDs</x:v>
      </x:c>
      <x:c r="E601" s="35" t="str">
        <x:v>Saved page bindings</x:v>
      </x:c>
      <x:c r="F601" s="35" t="str">
        <x:v>Physical sources</x:v>
      </x:c>
      <x:c r="G601" s="35" t="str">
        <x:v>Current calculation</x:v>
      </x:c>
      <x:c r="H601" s="35" t="str">
        <x:v>Full current logic</x:v>
      </x:c>
      <x:c r="I601" s="35" t="str">
        <x:v>Verification boundary</x:v>
      </x:c>
    </x:row>
    <x:row r="602" ht="33" customHeight="1">
      <x:c r="A602" s="25" t="str">
        <x:v>Active DQ Rules</x:v>
      </x:c>
      <x:c r="B602" s="25" t="str">
        <x:v>_MissionControl_Measures</x:v>
      </x:c>
      <x:c r="C602" s="25" t="str">
        <x:v>Operational metric</x:v>
      </x:c>
      <x:c r="D602" s="25" t="str">
        <x:v>MC-KPI-001</x:v>
      </x:c>
      <x:c r="E602" s="25" t="str">
        <x:v>No direct saved visual binding</x:v>
      </x:c>
      <x:c r="F602" s="25" t="str">
        <x:v>monitoring.cfg_data_quality_rule</x:v>
      </x:c>
      <x:c r="G602" s="25" t="str">
        <x:v>COUNTROWS ( FILTER ( 'cfg_data_quality_rule', UPPER ( COALESCE ( 'cfg_data_quality_rule'[active], "" ) ) IN { "TRUE", "Y", "1" } ) )</x:v>
      </x:c>
      <x:c r="H602" s="25" t="str">
        <x:v>KPI_LATEST_CALCULATIONS.md#mission-active-dq-rules</x:v>
      </x:c>
      <x:c r="I602" s="25" t="str">
        <x:v>Saved definition; runtime/acceptance pending</x:v>
      </x:c>
    </x:row>
    <x:row r="603" ht="24" customHeight="1">
      <x:c r="A603" s="25" t="str">
        <x:v>Archive Export Rows</x:v>
      </x:c>
      <x:c r="B603" s="25" t="str">
        <x:v>_MissionControl_Measures</x:v>
      </x:c>
      <x:c r="C603" s="25" t="str">
        <x:v>Operational metric</x:v>
      </x:c>
      <x:c r="D603" s="25" t="str">
        <x:v>MC-KPI-002</x:v>
      </x:c>
      <x:c r="E603" s="25" t="str">
        <x:v>No direct saved visual binding</x:v>
      </x:c>
      <x:c r="F603" s="25" t="str">
        <x:v>monitoring.cfg_archive_table_export_load</x:v>
      </x:c>
      <x:c r="G603" s="25" t="str">
        <x:v>SUM ( 'cfg_archive_table_export_load'[row_count] )</x:v>
      </x:c>
      <x:c r="H603" s="25" t="str">
        <x:v>KPI_LATEST_CALCULATIONS.md#mission-archive-export-rows</x:v>
      </x:c>
      <x:c r="I603" s="25" t="str">
        <x:v>Saved definition; runtime/acceptance pending</x:v>
      </x:c>
    </x:row>
    <x:row r="604" ht="33" customHeight="1">
      <x:c r="A604" s="25" t="str">
        <x:v>Archive File Failures</x:v>
      </x:c>
      <x:c r="B604" s="25" t="str">
        <x:v>_MissionControl_Measures</x:v>
      </x:c>
      <x:c r="C604" s="25" t="str">
        <x:v>Operational metric</x:v>
      </x:c>
      <x:c r="D604" s="25" t="str">
        <x:v>MC-KPI-003</x:v>
      </x:c>
      <x:c r="E604" s="25" t="str">
        <x:v>No direct saved visual binding</x:v>
      </x:c>
      <x:c r="F604" s="25" t="str">
        <x:v>monitoring.cfg_archive_file_load</x:v>
      </x:c>
      <x:c r="G604" s="25" t="str">
        <x:v>COUNTROWS ( FILTER ( 'cfg_archive_file_load', UPPER ( COALESCE ( 'cfg_archive_file_load'[status], "" ) ) IN { "FAILED", "FAIL", "ERROR" } ) )</x:v>
      </x:c>
      <x:c r="H604" s="25" t="str">
        <x:v>KPI_LATEST_CALCULATIONS.md#mission-archive-file-failures</x:v>
      </x:c>
      <x:c r="I604" s="25" t="str">
        <x:v>Saved definition; runtime/acceptance pending</x:v>
      </x:c>
    </x:row>
    <x:row r="605" ht="24" customHeight="1">
      <x:c r="A605" s="25" t="str">
        <x:v>Archive File Rows Read</x:v>
      </x:c>
      <x:c r="B605" s="25" t="str">
        <x:v>_MissionControl_Measures</x:v>
      </x:c>
      <x:c r="C605" s="25" t="str">
        <x:v>Operational metric</x:v>
      </x:c>
      <x:c r="D605" s="25" t="str">
        <x:v>MC-KPI-004</x:v>
      </x:c>
      <x:c r="E605" s="25" t="str">
        <x:v>No direct saved visual binding</x:v>
      </x:c>
      <x:c r="F605" s="25" t="str">
        <x:v>monitoring.cfg_archive_file_load</x:v>
      </x:c>
      <x:c r="G605" s="25" t="str">
        <x:v>SUM ( 'cfg_archive_file_load'[rows_read] )</x:v>
      </x:c>
      <x:c r="H605" s="25" t="str">
        <x:v>KPI_LATEST_CALCULATIONS.md#mission-archive-file-rows-read</x:v>
      </x:c>
      <x:c r="I605" s="25" t="str">
        <x:v>Saved definition; runtime/acceptance pending</x:v>
      </x:c>
    </x:row>
    <x:row r="606" ht="24" customHeight="1">
      <x:c r="A606" s="25" t="str">
        <x:v>Archive File Rows Written</x:v>
      </x:c>
      <x:c r="B606" s="25" t="str">
        <x:v>_MissionControl_Measures</x:v>
      </x:c>
      <x:c r="C606" s="25" t="str">
        <x:v>Operational metric</x:v>
      </x:c>
      <x:c r="D606" s="25" t="str">
        <x:v>MC-KPI-005</x:v>
      </x:c>
      <x:c r="E606" s="25" t="str">
        <x:v>No direct saved visual binding</x:v>
      </x:c>
      <x:c r="F606" s="25" t="str">
        <x:v>monitoring.cfg_archive_file_load</x:v>
      </x:c>
      <x:c r="G606" s="25" t="str">
        <x:v>SUM ( 'cfg_archive_file_load'[rows_written] )</x:v>
      </x:c>
      <x:c r="H606" s="25" t="str">
        <x:v>KPI_LATEST_CALCULATIONS.md#mission-archive-file-rows-written</x:v>
      </x:c>
      <x:c r="I606" s="25" t="str">
        <x:v>Saved definition; runtime/acceptance pending</x:v>
      </x:c>
    </x:row>
    <x:row r="607" ht="33" customHeight="1">
      <x:c r="A607" s="25" t="str">
        <x:v>Archive Files Awaiting Reload</x:v>
      </x:c>
      <x:c r="B607" s="25" t="str">
        <x:v>_MissionControl_Measures</x:v>
      </x:c>
      <x:c r="C607" s="25" t="str">
        <x:v>Operational metric</x:v>
      </x:c>
      <x:c r="D607" s="25" t="str">
        <x:v>MC-KPI-006</x:v>
      </x:c>
      <x:c r="E607" s="25" t="str">
        <x:v>No direct saved visual binding</x:v>
      </x:c>
      <x:c r="F607" s="25" t="str">
        <x:v>monitoring.cfg_archive_file_load</x:v>
      </x:c>
      <x:c r="G607" s="25" t="str">
        <x:v>CALCULATE ( [Archive Files Processed], 'cfg_archive_file_load'[reload] = TRUE () )</x:v>
      </x:c>
      <x:c r="H607" s="25" t="str">
        <x:v>KPI_LATEST_CALCULATIONS.md#mission-archive-files-awaiting-reload</x:v>
      </x:c>
      <x:c r="I607" s="25" t="str">
        <x:v>Saved definition; runtime/acceptance pending</x:v>
      </x:c>
    </x:row>
    <x:row r="608" ht="24" customHeight="1">
      <x:c r="A608" s="25" t="str">
        <x:v>Archive Files Processed</x:v>
      </x:c>
      <x:c r="B608" s="25" t="str">
        <x:v>_MissionControl_Measures</x:v>
      </x:c>
      <x:c r="C608" s="25" t="str">
        <x:v>Operational metric</x:v>
      </x:c>
      <x:c r="D608" s="25" t="str">
        <x:v>MC-KPI-007</x:v>
      </x:c>
      <x:c r="E608" s="25" t="str">
        <x:v>No direct saved visual binding</x:v>
      </x:c>
      <x:c r="F608" s="25" t="str">
        <x:v>monitoring.cfg_archive_file_load</x:v>
      </x:c>
      <x:c r="G608" s="25" t="str">
        <x:v>COUNTROWS ( 'cfg_archive_file_load' )</x:v>
      </x:c>
      <x:c r="H608" s="25" t="str">
        <x:v>KPI_LATEST_CALCULATIONS.md#mission-archive-files-processed</x:v>
      </x:c>
      <x:c r="I608" s="25" t="str">
        <x:v>Saved definition; runtime/acceptance pending</x:v>
      </x:c>
    </x:row>
    <x:row r="609" ht="33" customHeight="1">
      <x:c r="A609" s="25" t="str">
        <x:v>Archive Pipeline Failures</x:v>
      </x:c>
      <x:c r="B609" s="25" t="str">
        <x:v>_MissionControl_Measures</x:v>
      </x:c>
      <x:c r="C609" s="25" t="str">
        <x:v>Operational metric</x:v>
      </x:c>
      <x:c r="D609" s="25" t="str">
        <x:v>MC-KPI-008</x:v>
      </x:c>
      <x:c r="E609" s="25" t="str">
        <x:v>No direct saved visual binding</x:v>
      </x:c>
      <x:c r="F609" s="25" t="str">
        <x:v>monitoring.cfg_pipeline_run</x:v>
      </x:c>
      <x:c r="G609" s="25" t="str">
        <x:v>CALCULATE ( [Failed Pipeline Runs], 'cfg_pipeline_run'[pipeline_name] = "90_run_archive_pipeline" )</x:v>
      </x:c>
      <x:c r="H609" s="25" t="str">
        <x:v>KPI_LATEST_CALCULATIONS.md#mission-archive-pipeline-failures</x:v>
      </x:c>
      <x:c r="I609" s="25" t="str">
        <x:v>Saved definition; runtime/acceptance pending</x:v>
      </x:c>
    </x:row>
    <x:row r="610" ht="33" customHeight="1">
      <x:c r="A610" s="25" t="str">
        <x:v>Archive Pipeline Runs</x:v>
      </x:c>
      <x:c r="B610" s="25" t="str">
        <x:v>_MissionControl_Measures</x:v>
      </x:c>
      <x:c r="C610" s="25" t="str">
        <x:v>Operational metric</x:v>
      </x:c>
      <x:c r="D610" s="25" t="str">
        <x:v>MC-KPI-009</x:v>
      </x:c>
      <x:c r="E610" s="25" t="str">
        <x:v>No direct saved visual binding</x:v>
      </x:c>
      <x:c r="F610" s="25" t="str">
        <x:v>monitoring.cfg_pipeline_run</x:v>
      </x:c>
      <x:c r="G610" s="25" t="str">
        <x:v>CALCULATE ( [Pipeline Runs], 'cfg_pipeline_run'[pipeline_name] = "90_run_archive_pipeline" )</x:v>
      </x:c>
      <x:c r="H610" s="25" t="str">
        <x:v>KPI_LATEST_CALCULATIONS.md#mission-archive-pipeline-runs</x:v>
      </x:c>
      <x:c r="I610" s="25" t="str">
        <x:v>Saved definition; runtime/acceptance pending</x:v>
      </x:c>
    </x:row>
    <x:row r="611" ht="24" customHeight="1">
      <x:c r="A611" s="25" t="str">
        <x:v>Archive Table Exports</x:v>
      </x:c>
      <x:c r="B611" s="25" t="str">
        <x:v>_MissionControl_Measures</x:v>
      </x:c>
      <x:c r="C611" s="25" t="str">
        <x:v>Operational metric</x:v>
      </x:c>
      <x:c r="D611" s="25" t="str">
        <x:v>MC-KPI-010</x:v>
      </x:c>
      <x:c r="E611" s="25" t="str">
        <x:v>No direct saved visual binding</x:v>
      </x:c>
      <x:c r="F611" s="25" t="str">
        <x:v>monitoring.cfg_archive_table_export_load</x:v>
      </x:c>
      <x:c r="G611" s="25" t="str">
        <x:v>COUNTROWS ( 'cfg_archive_table_export_load' )</x:v>
      </x:c>
      <x:c r="H611" s="25" t="str">
        <x:v>KPI_LATEST_CALCULATIONS.md#mission-archive-table-exports</x:v>
      </x:c>
      <x:c r="I611" s="25" t="str">
        <x:v>Saved definition; runtime/acceptance pending</x:v>
      </x:c>
    </x:row>
    <x:row r="612" ht="33" customHeight="1">
      <x:c r="A612" s="25" t="str">
        <x:v>Archive Table Exports Awaiting Reload</x:v>
      </x:c>
      <x:c r="B612" s="25" t="str">
        <x:v>_MissionControl_Measures</x:v>
      </x:c>
      <x:c r="C612" s="25" t="str">
        <x:v>Operational metric</x:v>
      </x:c>
      <x:c r="D612" s="25" t="str">
        <x:v>MC-KPI-011</x:v>
      </x:c>
      <x:c r="E612" s="25" t="str">
        <x:v>No direct saved visual binding</x:v>
      </x:c>
      <x:c r="F612" s="25" t="str">
        <x:v>monitoring.cfg_archive_table_export_load</x:v>
      </x:c>
      <x:c r="G612" s="25" t="str">
        <x:v>CALCULATE ( [Archive Table Exports], 'cfg_archive_table_export_load'[reload] = TRUE () )</x:v>
      </x:c>
      <x:c r="H612" s="25" t="str">
        <x:v>KPI_LATEST_CALCULATIONS.md#mission-archive-table-exports-awaiting-reload</x:v>
      </x:c>
      <x:c r="I612" s="25" t="str">
        <x:v>Saved definition; runtime/acceptance pending</x:v>
      </x:c>
    </x:row>
    <x:row r="613" ht="24" customHeight="1">
      <x:c r="A613" s="25" t="str">
        <x:v>Archive ZIP Batches</x:v>
      </x:c>
      <x:c r="B613" s="25" t="str">
        <x:v>_MissionControl_Measures</x:v>
      </x:c>
      <x:c r="C613" s="25" t="str">
        <x:v>Operational metric</x:v>
      </x:c>
      <x:c r="D613" s="25" t="str">
        <x:v>MC-KPI-012</x:v>
      </x:c>
      <x:c r="E613" s="25" t="str">
        <x:v>No direct saved visual binding</x:v>
      </x:c>
      <x:c r="F613" s="25" t="str">
        <x:v>monitoring.cfg_archive_zip_load</x:v>
      </x:c>
      <x:c r="G613" s="25" t="str">
        <x:v>COUNTROWS ( 'cfg_archive_zip_load' )</x:v>
      </x:c>
      <x:c r="H613" s="25" t="str">
        <x:v>KPI_LATEST_CALCULATIONS.md#mission-archive-zip-batches</x:v>
      </x:c>
      <x:c r="I613" s="25" t="str">
        <x:v>Saved definition; runtime/acceptance pending</x:v>
      </x:c>
    </x:row>
    <x:row r="614" ht="33" customHeight="1">
      <x:c r="A614" s="25" t="str">
        <x:v>Archive ZIP Batches Awaiting Reload</x:v>
      </x:c>
      <x:c r="B614" s="25" t="str">
        <x:v>_MissionControl_Measures</x:v>
      </x:c>
      <x:c r="C614" s="25" t="str">
        <x:v>Operational metric</x:v>
      </x:c>
      <x:c r="D614" s="25" t="str">
        <x:v>MC-KPI-013</x:v>
      </x:c>
      <x:c r="E614" s="25" t="str">
        <x:v>No direct saved visual binding</x:v>
      </x:c>
      <x:c r="F614" s="25" t="str">
        <x:v>monitoring.cfg_archive_zip_load</x:v>
      </x:c>
      <x:c r="G614" s="25" t="str">
        <x:v>CALCULATE ( [Archive ZIP Batches], 'cfg_archive_zip_load'[reload] = TRUE () )</x:v>
      </x:c>
      <x:c r="H614" s="25" t="str">
        <x:v>KPI_LATEST_CALCULATIONS.md#mission-archive-zip-batches-awaiting-reload</x:v>
      </x:c>
      <x:c r="I614" s="25" t="str">
        <x:v>Saved definition; runtime/acceptance pending</x:v>
      </x:c>
    </x:row>
    <x:row r="615" ht="24" customHeight="1">
      <x:c r="A615" s="25" t="str">
        <x:v>Archive ZIP Files Declared</x:v>
      </x:c>
      <x:c r="B615" s="25" t="str">
        <x:v>_MissionControl_Measures</x:v>
      </x:c>
      <x:c r="C615" s="25" t="str">
        <x:v>Operational metric</x:v>
      </x:c>
      <x:c r="D615" s="25" t="str">
        <x:v>MC-KPI-014</x:v>
      </x:c>
      <x:c r="E615" s="25" t="str">
        <x:v>No direct saved visual binding</x:v>
      </x:c>
      <x:c r="F615" s="25" t="str">
        <x:v>monitoring.cfg_archive_zip_load</x:v>
      </x:c>
      <x:c r="G615" s="25" t="str">
        <x:v>SUM ( 'cfg_archive_zip_load'[file_count] )</x:v>
      </x:c>
      <x:c r="H615" s="25" t="str">
        <x:v>KPI_LATEST_CALCULATIONS.md#mission-archive-zip-files-declared</x:v>
      </x:c>
      <x:c r="I615" s="25" t="str">
        <x:v>Saved definition; runtime/acceptance pending</x:v>
      </x:c>
    </x:row>
    <x:row r="616" ht="33" customHeight="1">
      <x:c r="A616" s="25" t="str">
        <x:v>Archived Nullable Columns</x:v>
      </x:c>
      <x:c r="B616" s="25" t="str">
        <x:v>_MissionControl_Measures</x:v>
      </x:c>
      <x:c r="C616" s="25" t="str">
        <x:v>Operational metric</x:v>
      </x:c>
      <x:c r="D616" s="25" t="str">
        <x:v>MC-KPI-015</x:v>
      </x:c>
      <x:c r="E616" s="25" t="str">
        <x:v>No direct saved visual binding</x:v>
      </x:c>
      <x:c r="F616" s="25" t="str">
        <x:v>monitoring.cfg_archived_schema_live</x:v>
      </x:c>
      <x:c r="G616" s="25" t="str">
        <x:v>COUNTROWS ( FILTER ( 'cfg_archived_schema_live', UPPER ( COALESCE ( 'cfg_archived_schema_live'[is_nullable], "" ) ) IN { "TRUE", "YES", "Y", "1" } ) )</x:v>
      </x:c>
      <x:c r="H616" s="25" t="str">
        <x:v>KPI_LATEST_CALCULATIONS.md#mission-archived-nullable-columns</x:v>
      </x:c>
      <x:c r="I616" s="25" t="str">
        <x:v>Saved definition; runtime/acceptance pending</x:v>
      </x:c>
    </x:row>
    <x:row r="617" ht="24" customHeight="1">
      <x:c r="A617" s="25" t="str">
        <x:v>Archived Schema Columns</x:v>
      </x:c>
      <x:c r="B617" s="25" t="str">
        <x:v>_MissionControl_Measures</x:v>
      </x:c>
      <x:c r="C617" s="25" t="str">
        <x:v>Operational metric</x:v>
      </x:c>
      <x:c r="D617" s="25" t="str">
        <x:v>MC-KPI-016</x:v>
      </x:c>
      <x:c r="E617" s="25" t="str">
        <x:v>No direct saved visual binding</x:v>
      </x:c>
      <x:c r="F617" s="25" t="str">
        <x:v>monitoring.cfg_archived_schema_live</x:v>
      </x:c>
      <x:c r="G617" s="25" t="str">
        <x:v>COUNTROWS ( 'cfg_archived_schema_live' )</x:v>
      </x:c>
      <x:c r="H617" s="25" t="str">
        <x:v>KPI_LATEST_CALCULATIONS.md#mission-archived-schema-columns</x:v>
      </x:c>
      <x:c r="I617" s="25" t="str">
        <x:v>Saved definition; runtime/acceptance pending</x:v>
      </x:c>
    </x:row>
    <x:row r="618" ht="24" customHeight="1">
      <x:c r="A618" s="25" t="str">
        <x:v>Archived Schema Data Types</x:v>
      </x:c>
      <x:c r="B618" s="25" t="str">
        <x:v>_MissionControl_Measures</x:v>
      </x:c>
      <x:c r="C618" s="25" t="str">
        <x:v>Operational metric</x:v>
      </x:c>
      <x:c r="D618" s="25" t="str">
        <x:v>MC-KPI-017</x:v>
      </x:c>
      <x:c r="E618" s="25" t="str">
        <x:v>No direct saved visual binding</x:v>
      </x:c>
      <x:c r="F618" s="25" t="str">
        <x:v>monitoring.cfg_archived_schema_live</x:v>
      </x:c>
      <x:c r="G618" s="25" t="str">
        <x:v>DISTINCTCOUNT ( 'cfg_archived_schema_live'[data_type] )</x:v>
      </x:c>
      <x:c r="H618" s="25" t="str">
        <x:v>KPI_LATEST_CALCULATIONS.md#mission-archived-schema-data-types</x:v>
      </x:c>
      <x:c r="I618" s="25" t="str">
        <x:v>Saved definition; runtime/acceptance pending</x:v>
      </x:c>
    </x:row>
    <x:row r="619" ht="33" customHeight="1">
      <x:c r="A619" s="25" t="str">
        <x:v>Archived Schema Tables</x:v>
      </x:c>
      <x:c r="B619" s="25" t="str">
        <x:v>_MissionControl_Measures</x:v>
      </x:c>
      <x:c r="C619" s="25" t="str">
        <x:v>Operational metric</x:v>
      </x:c>
      <x:c r="D619" s="25" t="str">
        <x:v>MC-KPI-018</x:v>
      </x:c>
      <x:c r="E619" s="25" t="str">
        <x:v>No direct saved visual binding</x:v>
      </x:c>
      <x:c r="F619" s="25" t="str">
        <x:v>monitoring.cfg_archived_schema_live</x:v>
      </x:c>
      <x:c r="G619" s="25" t="str">
        <x:v>COUNTROWS ( SUMMARIZE ( 'cfg_archived_schema_live', 'cfg_archived_schema_live'[schema_name], 'cfg_archived_schema_live'[table_name] ) )</x:v>
      </x:c>
      <x:c r="H619" s="25" t="str">
        <x:v>KPI_LATEST_CALCULATIONS.md#mission-archived-schema-tables</x:v>
      </x:c>
      <x:c r="I619" s="25" t="str">
        <x:v>Saved definition; runtime/acceptance pending</x:v>
      </x:c>
    </x:row>
    <x:row r="620" ht="59" customHeight="1">
      <x:c r="A620" s="25" t="str">
        <x:v>Average Archive ZIP Duration (min)</x:v>
      </x:c>
      <x:c r="B620" s="25" t="str">
        <x:v>_MissionControl_Measures</x:v>
      </x:c>
      <x:c r="C620" s="25" t="str">
        <x:v>Operational metric</x:v>
      </x:c>
      <x:c r="D620" s="25" t="str">
        <x:v>MC-KPI-019</x:v>
      </x:c>
      <x:c r="E620" s="25" t="str">
        <x:v>No direct saved visual binding</x:v>
      </x:c>
      <x:c r="F620" s="25" t="str">
        <x:v>monitoring.cfg_archive_zip_load</x:v>
      </x:c>
      <x:c r="G620" s="25" t="str">
        <x:v>AVERAGEX ( FILTER ( 'cfg_archive_zip_load', NOT ISBLANK ( 'cfg_archive_zip_load'[started_at] ) &amp;&amp; NOT ISBLANK ( 'cfg_archive_zip_load'[ended_at] ) ), DIVIDE ( DATEDIFF ( 'cfg_archive_zip_load'[started_at], 'cfg_archive_zip_load'[ended_at], SECOND ), 60.0 ) )</x:v>
      </x:c>
      <x:c r="H620" s="25" t="str">
        <x:v>KPI_LATEST_CALCULATIONS.md#mission-average-archive-zip-duration-min</x:v>
      </x:c>
      <x:c r="I620" s="25" t="str">
        <x:v>Saved definition; runtime/acceptance pending</x:v>
      </x:c>
    </x:row>
    <x:row r="621" ht="59" customHeight="1">
      <x:c r="A621" s="25" t="str">
        <x:v>Average Pipeline Duration (min)</x:v>
      </x:c>
      <x:c r="B621" s="25" t="str">
        <x:v>_MissionControl_Measures</x:v>
      </x:c>
      <x:c r="C621" s="25" t="str">
        <x:v>Operational metric</x:v>
      </x:c>
      <x:c r="D621" s="25" t="str">
        <x:v>MC-KPI-020</x:v>
      </x:c>
      <x:c r="E621" s="25" t="str">
        <x:v>No direct saved visual binding</x:v>
      </x:c>
      <x:c r="F621" s="25" t="str">
        <x:v>monitoring.cfg_pipeline_run</x:v>
      </x:c>
      <x:c r="G621" s="25" t="str">
        <x:v>AVERAGEX ( FILTER ( 'cfg_pipeline_run', NOT ISBLANK ( 'cfg_pipeline_run'[started_at] ) &amp;&amp; NOT ISBLANK ( 'cfg_pipeline_run'[ended_at] ) ), DIVIDE ( DATEDIFF ( 'cfg_pipeline_run'[started_at], 'cfg_pipeline_run'[ended_at], SECOND ), 60.0 ) )</x:v>
      </x:c>
      <x:c r="H621" s="25" t="str">
        <x:v>KPI_LATEST_CALCULATIONS.md#mission-average-pipeline-duration-min</x:v>
      </x:c>
      <x:c r="I621" s="25" t="str">
        <x:v>Saved definition; runtime/acceptance pending</x:v>
      </x:c>
    </x:row>
    <x:row r="622" ht="24" customHeight="1">
      <x:c r="A622" s="25" t="str">
        <x:v>Calendar Day Failures</x:v>
      </x:c>
      <x:c r="B622" s="25" t="str">
        <x:v>_MissionControl_Measures</x:v>
      </x:c>
      <x:c r="C622" s="25" t="str">
        <x:v>Operational metric</x:v>
      </x:c>
      <x:c r="D622" s="25" t="str">
        <x:v>MC-KPI-021</x:v>
      </x:c>
      <x:c r="E622" s="25" t="str">
        <x:v>Watch Tower</x:v>
      </x:c>
      <x:c r="F622" s="25" t="str">
        <x:v>monitoring.rpt_job_run_summary</x:v>
      </x:c>
      <x:c r="G622" s="25" t="str">
        <x:v>COALESCE([Failed Job Runs], 0)</x:v>
      </x:c>
      <x:c r="H622" s="25" t="str">
        <x:v>KPI_LATEST_CALCULATIONS.md#mission-calendar-day-failures</x:v>
      </x:c>
      <x:c r="I622" s="25" t="str">
        <x:v>Saved definition; runtime/acceptance pending</x:v>
      </x:c>
    </x:row>
    <x:row r="623" ht="59" customHeight="1">
      <x:c r="A623" s="25" t="str">
        <x:v>Calendar Day In Window</x:v>
      </x:c>
      <x:c r="B623" s="25" t="str">
        <x:v>_MissionControl_Measures</x:v>
      </x:c>
      <x:c r="C623" s="25" t="str">
        <x:v>Operational metric</x:v>
      </x:c>
      <x:c r="D623" s="25" t="str">
        <x:v>MC-KPI-022</x:v>
      </x:c>
      <x:c r="E623" s="25" t="str">
        <x:v>Contracts &amp; Schema; Domains &amp; Reference; Lineage &amp; Step Summary; Load Metrics &amp; Control; Quality &amp; Exceptions; Schema &amp; Drift; Watch Tower</x:v>
      </x:c>
      <x:c r="F623" s="25" t="str">
        <x:v>monitoring.rpt_job_run_summary</x:v>
      </x:c>
      <x:c r="G623" s="25" t="str">
        <x:v>VAR d = SELECTEDVALUE('Load Calendar'[Date])
			RETURN IF(NOT ISBLANK(d) &amp;&amp; d &gt;= TODAY() - 364 &amp;&amp; d &lt;= TODAY(), 1, 0)</x:v>
      </x:c>
      <x:c r="H623" s="25" t="str">
        <x:v>KPI_LATEST_CALCULATIONS.md#mission-calendar-day-in-window</x:v>
      </x:c>
      <x:c r="I623" s="25" t="str">
        <x:v>Saved definition; runtime/acceptance pending</x:v>
      </x:c>
    </x:row>
    <x:row r="624" ht="33" customHeight="1">
      <x:c r="A624" s="25" t="str">
        <x:v>Calendar Day Other</x:v>
      </x:c>
      <x:c r="B624" s="25" t="str">
        <x:v>_MissionControl_Measures</x:v>
      </x:c>
      <x:c r="C624" s="25" t="str">
        <x:v>Operational metric</x:v>
      </x:c>
      <x:c r="D624" s="25" t="str">
        <x:v>MC-KPI-023</x:v>
      </x:c>
      <x:c r="E624" s="25" t="str">
        <x:v>Watch Tower</x:v>
      </x:c>
      <x:c r="F624" s="25" t="str">
        <x:v>monitoring.rpt_job_run_summary</x:v>
      </x:c>
      <x:c r="G624" s="25" t="str">
        <x:v>COALESCE(CALCULATE([Job Runs], KEEPFILTERS(rpt_job_run_summary[Outcome] IN {"Running", "Other"})), 0)</x:v>
      </x:c>
      <x:c r="H624" s="25" t="str">
        <x:v>KPI_LATEST_CALCULATIONS.md#mission-calendar-day-other</x:v>
      </x:c>
      <x:c r="I624" s="25" t="str">
        <x:v>Saved definition; runtime/acceptance pending</x:v>
      </x:c>
    </x:row>
    <x:row r="625" ht="24" customHeight="1">
      <x:c r="A625" s="25" t="str">
        <x:v>Calendar Day Runs</x:v>
      </x:c>
      <x:c r="B625" s="25" t="str">
        <x:v>_MissionControl_Measures</x:v>
      </x:c>
      <x:c r="C625" s="25" t="str">
        <x:v>Operational metric</x:v>
      </x:c>
      <x:c r="D625" s="25" t="str">
        <x:v>MC-KPI-024</x:v>
      </x:c>
      <x:c r="E625" s="25" t="str">
        <x:v>Watch Tower</x:v>
      </x:c>
      <x:c r="F625" s="25" t="str">
        <x:v>monitoring.rpt_job_run_summary</x:v>
      </x:c>
      <x:c r="G625" s="25" t="str">
        <x:v>COALESCE([Job Runs], 0)</x:v>
      </x:c>
      <x:c r="H625" s="25" t="str">
        <x:v>KPI_LATEST_CALCULATIONS.md#mission-calendar-day-runs</x:v>
      </x:c>
      <x:c r="I625" s="25" t="str">
        <x:v>Saved definition; runtime/acceptance pending</x:v>
      </x:c>
    </x:row>
    <x:row r="626" ht="24" customHeight="1">
      <x:c r="A626" s="25" t="str">
        <x:v>Completed Pipeline Runs</x:v>
      </x:c>
      <x:c r="B626" s="25" t="str">
        <x:v>_MissionControl_Measures</x:v>
      </x:c>
      <x:c r="C626" s="25" t="str">
        <x:v>Operational metric</x:v>
      </x:c>
      <x:c r="D626" s="25" t="str">
        <x:v>MC-KPI-025</x:v>
      </x:c>
      <x:c r="E626" s="25" t="str">
        <x:v>No direct saved visual binding</x:v>
      </x:c>
      <x:c r="F626" s="25" t="str">
        <x:v>monitoring.cfg_pipeline_run</x:v>
      </x:c>
      <x:c r="G626" s="25" t="str">
        <x:v>[Successful Pipeline Runs] + [Failed Pipeline Runs]</x:v>
      </x:c>
      <x:c r="H626" s="25" t="str">
        <x:v>KPI_LATEST_CALCULATIONS.md#mission-completed-pipeline-runs</x:v>
      </x:c>
      <x:c r="I626" s="25" t="str">
        <x:v>Saved definition; runtime/acceptance pending</x:v>
      </x:c>
    </x:row>
    <x:row r="627" ht="59" customHeight="1">
      <x:c r="A627" s="25" t="str">
        <x:v>Control Failures</x:v>
      </x:c>
      <x:c r="B627" s="25" t="str">
        <x:v>_MissionControl_Measures</x:v>
      </x:c>
      <x:c r="C627" s="25" t="str">
        <x:v>Operational metric</x:v>
      </x:c>
      <x:c r="D627" s="25" t="str">
        <x:v>MC-KPI-026</x:v>
      </x:c>
      <x:c r="E627" s="25" t="str">
        <x:v>No direct saved visual binding</x:v>
      </x:c>
      <x:c r="F627" s="25" t="str">
        <x:v>monitoring.cfg_archive_file_load; monitoring.cfg_archive_table_export_load; monitoring.cfg_archive_zip_load; monitoring.cfg_month_end_gold_run; monitoring.cfg_pipeline_run</x:v>
      </x:c>
      <x:c r="G627" s="25" t="str">
        <x:v>[Failed Pipeline Runs] + [Failed Archive ZIP Batches] + [Archive File Failures] + [Failed Archive Table Exports] + [Failed Gold Snapshots]</x:v>
      </x:c>
      <x:c r="H627" s="25" t="str">
        <x:v>KPI_LATEST_CALCULATIONS.md#mission-control-failures</x:v>
      </x:c>
      <x:c r="I627" s="25" t="str">
        <x:v>Saved definition; runtime/acceptance pending</x:v>
      </x:c>
    </x:row>
    <x:row r="628" ht="46" customHeight="1">
      <x:c r="A628" s="25" t="str">
        <x:v>Critical Active DQ Rules</x:v>
      </x:c>
      <x:c r="B628" s="25" t="str">
        <x:v>_MissionControl_Measures</x:v>
      </x:c>
      <x:c r="C628" s="25" t="str">
        <x:v>Operational metric</x:v>
      </x:c>
      <x:c r="D628" s="25" t="str">
        <x:v>MC-KPI-027</x:v>
      </x:c>
      <x:c r="E628" s="25" t="str">
        <x:v>No direct saved visual binding</x:v>
      </x:c>
      <x:c r="F628" s="25" t="str">
        <x:v>monitoring.cfg_data_quality_rule</x:v>
      </x:c>
      <x:c r="G628" s="25" t="str">
        <x:v>COUNTROWS ( FILTER ( 'cfg_data_quality_rule', UPPER ( COALESCE ( 'cfg_data_quality_rule'[active], "" ) ) IN { "TRUE", "Y", "1" } &amp;&amp; UPPER ( COALESCE ( 'cfg_data_quality_rule'[severity], "" ) ) = "CRITICAL" ) )</x:v>
      </x:c>
      <x:c r="H628" s="25" t="str">
        <x:v>KPI_LATEST_CALCULATIONS.md#mission-critical-active-dq-rules</x:v>
      </x:c>
      <x:c r="I628" s="25" t="str">
        <x:v>Saved definition; runtime/acceptance pending</x:v>
      </x:c>
    </x:row>
    <x:row r="629" ht="59" customHeight="1">
      <x:c r="A629" s="25" t="str">
        <x:v>Critical Rules Failing</x:v>
      </x:c>
      <x:c r="B629" s="25" t="str">
        <x:v>_MissionControl_Measures</x:v>
      </x:c>
      <x:c r="C629" s="25" t="str">
        <x:v>Operational metric</x:v>
      </x:c>
      <x:c r="D629" s="25" t="str">
        <x:v>MC-KPI-028</x:v>
      </x:c>
      <x:c r="E629" s="25" t="str">
        <x:v>No direct saved visual binding</x:v>
      </x:c>
      <x:c r="F629" s="25" t="str">
        <x:v>monitoring.cfg_data_quality_result</x:v>
      </x:c>
      <x:c r="G629" s="25" t="str">
        <x:v>CALCULATE ( DISTINCTCOUNT ( 'cfg_data_quality_result'[rule_id] ), FILTER ( 'cfg_data_quality_result', UPPER ( COALESCE ( 'cfg_data_quality_result'[severity], "" ) ) = "CRITICAL" &amp;&amp; UPPER ( COALESCE ( 'cfg_data_quality_result'[status], "" ) ) IN { "FAILED", "FAIL", "ERROR" } ) )</x:v>
      </x:c>
      <x:c r="H629" s="25" t="str">
        <x:v>KPI_LATEST_CALCULATIONS.md#mission-critical-rules-failing</x:v>
      </x:c>
      <x:c r="I629" s="25" t="str">
        <x:v>Saved definition; runtime/acceptance pending</x:v>
      </x:c>
    </x:row>
    <x:row r="630" ht="24" customHeight="1">
      <x:c r="A630" s="25" t="str">
        <x:v>DQ Checked Rows</x:v>
      </x:c>
      <x:c r="B630" s="25" t="str">
        <x:v>_MissionControl_Measures</x:v>
      </x:c>
      <x:c r="C630" s="25" t="str">
        <x:v>Operational metric</x:v>
      </x:c>
      <x:c r="D630" s="25" t="str">
        <x:v>MC-KPI-090</x:v>
      </x:c>
      <x:c r="E630" s="25" t="str">
        <x:v>No direct saved visual binding</x:v>
      </x:c>
      <x:c r="F630" s="25" t="str">
        <x:v>monitoring.cfg_data_quality_result</x:v>
      </x:c>
      <x:c r="G630" s="25" t="str">
        <x:v>SUM ( 'cfg_data_quality_result'[checked_row_count] )</x:v>
      </x:c>
      <x:c r="H630" s="25" t="str">
        <x:v>KPI_LATEST_CALCULATIONS.md#mission-dq-checked-rows</x:v>
      </x:c>
      <x:c r="I630" s="25" t="str">
        <x:v>Saved definition; runtime/acceptance pending</x:v>
      </x:c>
    </x:row>
    <x:row r="631" ht="24" customHeight="1">
      <x:c r="A631" s="25" t="str">
        <x:v>DQ Checks</x:v>
      </x:c>
      <x:c r="B631" s="25" t="str">
        <x:v>_MissionControl_Measures</x:v>
      </x:c>
      <x:c r="C631" s="25" t="str">
        <x:v>Operational metric</x:v>
      </x:c>
      <x:c r="D631" s="25" t="str">
        <x:v>MC-KPI-091</x:v>
      </x:c>
      <x:c r="E631" s="25" t="str">
        <x:v>No direct saved visual binding</x:v>
      </x:c>
      <x:c r="F631" s="25" t="str">
        <x:v>monitoring.cfg_data_quality_result</x:v>
      </x:c>
      <x:c r="G631" s="25" t="str">
        <x:v>COUNTROWS ( 'cfg_data_quality_result' )</x:v>
      </x:c>
      <x:c r="H631" s="25" t="str">
        <x:v>KPI_LATEST_CALCULATIONS.md#mission-dq-checks</x:v>
      </x:c>
      <x:c r="I631" s="25" t="str">
        <x:v>Saved definition; runtime/acceptance pending</x:v>
      </x:c>
    </x:row>
    <x:row r="632" ht="46" customHeight="1">
      <x:c r="A632" s="25" t="str">
        <x:v>DQ Evaluated Checks</x:v>
      </x:c>
      <x:c r="B632" s="25" t="str">
        <x:v>_MissionControl_Measures</x:v>
      </x:c>
      <x:c r="C632" s="25" t="str">
        <x:v>Operational metric</x:v>
      </x:c>
      <x:c r="D632" s="25" t="str">
        <x:v>MC-KPI-092</x:v>
      </x:c>
      <x:c r="E632" s="25" t="str">
        <x:v>No direct saved visual binding</x:v>
      </x:c>
      <x:c r="F632" s="25" t="str">
        <x:v>monitoring.cfg_data_quality_result</x:v>
      </x:c>
      <x:c r="G632" s="25" t="str">
        <x:v>COUNTROWS ( FILTER ( 'cfg_data_quality_result', UPPER ( COALESCE ( 'cfg_data_quality_result'[status], "" ) ) IN { "PASS", "SUCCESS", "FAILED", "FAIL", "ERROR" } ) )</x:v>
      </x:c>
      <x:c r="H632" s="25" t="str">
        <x:v>KPI_LATEST_CALCULATIONS.md#mission-dq-evaluated-checks</x:v>
      </x:c>
      <x:c r="I632" s="25" t="str">
        <x:v>Saved definition; runtime/acceptance pending</x:v>
      </x:c>
    </x:row>
    <x:row r="633" ht="33" customHeight="1">
      <x:c r="A633" s="25" t="str">
        <x:v>DQ Failed Checks</x:v>
      </x:c>
      <x:c r="B633" s="25" t="str">
        <x:v>_MissionControl_Measures</x:v>
      </x:c>
      <x:c r="C633" s="25" t="str">
        <x:v>Operational metric</x:v>
      </x:c>
      <x:c r="D633" s="25" t="str">
        <x:v>MC-KPI-093</x:v>
      </x:c>
      <x:c r="E633" s="25" t="str">
        <x:v>No direct saved visual binding</x:v>
      </x:c>
      <x:c r="F633" s="25" t="str">
        <x:v>monitoring.cfg_data_quality_result</x:v>
      </x:c>
      <x:c r="G633" s="25" t="str">
        <x:v>COUNTROWS ( FILTER ( 'cfg_data_quality_result', UPPER ( COALESCE ( 'cfg_data_quality_result'[status], "" ) ) IN { "FAILED", "FAIL", "ERROR" } ) )</x:v>
      </x:c>
      <x:c r="H633" s="25" t="str">
        <x:v>KPI_LATEST_CALCULATIONS.md#mission-dq-failed-checks</x:v>
      </x:c>
      <x:c r="I633" s="25" t="str">
        <x:v>Saved definition; runtime/acceptance pending</x:v>
      </x:c>
    </x:row>
    <x:row r="634" ht="24" customHeight="1">
      <x:c r="A634" s="25" t="str">
        <x:v>DQ Failed Rows</x:v>
      </x:c>
      <x:c r="B634" s="25" t="str">
        <x:v>_MissionControl_Measures</x:v>
      </x:c>
      <x:c r="C634" s="25" t="str">
        <x:v>Operational metric</x:v>
      </x:c>
      <x:c r="D634" s="25" t="str">
        <x:v>MC-KPI-094</x:v>
      </x:c>
      <x:c r="E634" s="25" t="str">
        <x:v>No direct saved visual binding</x:v>
      </x:c>
      <x:c r="F634" s="25" t="str">
        <x:v>monitoring.cfg_data_quality_result</x:v>
      </x:c>
      <x:c r="G634" s="25" t="str">
        <x:v>SUM ( 'cfg_data_quality_result'[failed_row_count] )</x:v>
      </x:c>
      <x:c r="H634" s="25" t="str">
        <x:v>KPI_LATEST_CALCULATIONS.md#mission-dq-failed-rows</x:v>
      </x:c>
      <x:c r="I634" s="25" t="str">
        <x:v>Saved definition; runtime/acceptance pending</x:v>
      </x:c>
    </x:row>
    <x:row r="635" ht="24" customHeight="1">
      <x:c r="A635" s="25" t="str">
        <x:v>DQ Failure Rate</x:v>
      </x:c>
      <x:c r="B635" s="25" t="str">
        <x:v>_MissionControl_Measures</x:v>
      </x:c>
      <x:c r="C635" s="25" t="str">
        <x:v>Operational metric</x:v>
      </x:c>
      <x:c r="D635" s="25" t="str">
        <x:v>MC-KPI-095</x:v>
      </x:c>
      <x:c r="E635" s="25" t="str">
        <x:v>No direct saved visual binding</x:v>
      </x:c>
      <x:c r="F635" s="25" t="str">
        <x:v>monitoring.cfg_data_quality_result</x:v>
      </x:c>
      <x:c r="G635" s="25" t="str">
        <x:v>DIVIDE ( [DQ Failed Checks], [DQ Evaluated Checks] )</x:v>
      </x:c>
      <x:c r="H635" s="25" t="str">
        <x:v>KPI_LATEST_CALCULATIONS.md#mission-dq-failure-rate</x:v>
      </x:c>
      <x:c r="I635" s="25" t="str">
        <x:v>Saved definition; runtime/acceptance pending</x:v>
      </x:c>
    </x:row>
    <x:row r="636" ht="46" customHeight="1">
      <x:c r="A636" s="25" t="str">
        <x:v>DQ Failures With Sample Keys</x:v>
      </x:c>
      <x:c r="B636" s="25" t="str">
        <x:v>_MissionControl_Measures</x:v>
      </x:c>
      <x:c r="C636" s="25" t="str">
        <x:v>Operational metric</x:v>
      </x:c>
      <x:c r="D636" s="25" t="str">
        <x:v>MC-KPI-096</x:v>
      </x:c>
      <x:c r="E636" s="25" t="str">
        <x:v>No direct saved visual binding</x:v>
      </x:c>
      <x:c r="F636" s="25" t="str">
        <x:v>monitoring.cfg_data_quality_result</x:v>
      </x:c>
      <x:c r="G636" s="25" t="str">
        <x:v>COUNTROWS ( FILTER ( 'cfg_data_quality_result', UPPER ( COALESCE ( 'cfg_data_quality_result'[status], "" ) ) IN { "FAILED", "FAIL", "ERROR" } &amp;&amp; NOT ISBLANK ( 'cfg_data_quality_result'[sample_key_json] ) ) )</x:v>
      </x:c>
      <x:c r="H636" s="25" t="str">
        <x:v>KPI_LATEST_CALCULATIONS.md#mission-dq-failures-with-sample-keys</x:v>
      </x:c>
      <x:c r="I636" s="25" t="str">
        <x:v>Saved definition; runtime/acceptance pending</x:v>
      </x:c>
    </x:row>
    <x:row r="637" ht="33" customHeight="1">
      <x:c r="A637" s="25" t="str">
        <x:v>Dashboard Last Refreshed</x:v>
      </x:c>
      <x:c r="B637" s="25" t="str">
        <x:v>_MissionControl_Measures</x:v>
      </x:c>
      <x:c r="C637" s="25" t="str">
        <x:v>Display/context helper</x:v>
      </x:c>
      <x:c r="D637" s="25" t="str">
        <x:v>Helper/context; not registered as an additional KPI</x:v>
      </x:c>
      <x:c r="E637" s="25" t="str">
        <x:v>No direct saved visual binding</x:v>
      </x:c>
      <x:c r="F637" s="25" t="str"/>
      <x:c r="G637" s="25" t="str">
        <x:v>FORMAT ( UTCNOW (), "dd mmm yyyy HH:mm" )</x:v>
      </x:c>
      <x:c r="H637" s="25" t="str">
        <x:v>KPI_LATEST_CALCULATIONS.md#mission-dashboard-last-refreshed</x:v>
      </x:c>
      <x:c r="I637" s="25" t="str">
        <x:v>Saved definition; runtime/acceptance pending</x:v>
      </x:c>
    </x:row>
    <x:row r="638" ht="176" customHeight="1">
      <x:c r="A638" s="25" t="str">
        <x:v>Day Explorer Job Visible</x:v>
      </x:c>
      <x:c r="B638" s="25" t="str">
        <x:v>_MissionControl_Measures</x:v>
      </x:c>
      <x:c r="C638" s="25" t="str">
        <x:v>Filter/context helper</x:v>
      </x:c>
      <x:c r="D638" s="25" t="str">
        <x:v>Helper/context; not registered as an additional KPI</x:v>
      </x:c>
      <x:c r="E638" s="25" t="str">
        <x:v>Watch Tower</x:v>
      </x:c>
      <x:c r="F638" s="25" t="str">
        <x:v>monitoring.rpt_job_run_summary</x:v>
      </x:c>
      <x:c r="G638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COUNTROWS(rpt_job_run_summary),
			    CALCULATE(COUNTROWS(rpt_job_run_summary), KEEPFILTERS(TREATAS({LatestId}, rpt_job_run_summary[job_run_id]))))
			RETURN IF(ISFILTERED('Load Calendar'[Date]) &amp;&amp; NOT HASONEVALUE('Load Calendar'[Date]), 0, IF(n &gt; 0, 1, 0))</x:v>
      </x:c>
      <x:c r="H638" s="25" t="str">
        <x:v>KPI_LATEST_CALCULATIONS.md#mission-day-explorer-job-visible</x:v>
      </x:c>
      <x:c r="I638" s="25" t="str">
        <x:v>Saved definition; runtime/acceptance pending</x:v>
      </x:c>
    </x:row>
    <x:row r="639" ht="33" customHeight="1">
      <x:c r="A639" s="25" t="str">
        <x:v>Day colour</x:v>
      </x:c>
      <x:c r="B639" s="25" t="str">
        <x:v>_Load Experience</x:v>
      </x:c>
      <x:c r="C639" s="25" t="str">
        <x:v>Display/context helper</x:v>
      </x:c>
      <x:c r="D639" s="25" t="str">
        <x:v>Helper/context; not registered as an additional KPI</x:v>
      </x:c>
      <x:c r="E639" s="25" t="str">
        <x:v>Watch Tower</x:v>
      </x:c>
      <x:c r="F639" s="25" t="str">
        <x:v>monitoring.rpt_job_run_summary</x:v>
      </x:c>
      <x:c r="G639" s="25" t="str">
        <x:v>SWITCH(TRUE(),[Failures]&gt;0,"#A43C49",[In progress or other]&gt;0,"#66512B",[Successful]&gt;=10,"#4C854F",[Successful]&gt;0,"#345B3D","#242F28")</x:v>
      </x:c>
      <x:c r="H639" s="25" t="str">
        <x:v>KPI_LATEST_CALCULATIONS.md#mission-day-colour</x:v>
      </x:c>
      <x:c r="I639" s="25" t="str">
        <x:v>Saved definition; runtime/acceptance pending</x:v>
      </x:c>
    </x:row>
    <x:row r="640" ht="33" customHeight="1">
      <x:c r="A640" s="25" t="str">
        <x:v>Day text colour</x:v>
      </x:c>
      <x:c r="B640" s="25" t="str">
        <x:v>_Load Experience</x:v>
      </x:c>
      <x:c r="C640" s="25" t="str">
        <x:v>Display/context helper</x:v>
      </x:c>
      <x:c r="D640" s="25" t="str">
        <x:v>Helper/context; not registered as an additional KPI</x:v>
      </x:c>
      <x:c r="E640" s="25" t="str">
        <x:v>Watch Tower</x:v>
      </x:c>
      <x:c r="F640" s="25" t="str"/>
      <x:c r="G640" s="25" t="str">
        <x:v>"#F3F7EF"</x:v>
      </x:c>
      <x:c r="H640" s="25" t="str">
        <x:v>KPI_LATEST_CALCULATIONS.md#mission-day-text-colour</x:v>
      </x:c>
      <x:c r="I640" s="25" t="str">
        <x:v>Saved definition; runtime/acceptance pending</x:v>
      </x:c>
    </x:row>
    <x:row r="641" ht="85" customHeight="1">
      <x:c r="A641" s="25" t="str">
        <x:v>Day tile</x:v>
      </x:c>
      <x:c r="B641" s="25" t="str">
        <x:v>_Load Experience</x:v>
      </x:c>
      <x:c r="C641" s="25" t="str">
        <x:v>Display/context helper</x:v>
      </x:c>
      <x:c r="D641" s="25" t="str">
        <x:v>Helper/context; not registered as an additional KPI</x:v>
      </x:c>
      <x:c r="E641" s="25" t="str">
        <x:v>Watch Tower</x:v>
      </x:c>
      <x:c r="F641" s="25" t="str">
        <x:v>monitoring.rpt_job_run_summary</x:v>
      </x:c>
      <x:c r="G641" s="25" t="str">
        <x:v>VAR d=SELECTEDVALUE('Load Calendar'[Date])
			VAR n=COALESCE([Runs],0)
			RETURN IF(NOT ISBLANK(d), FORMAT(d,"d") &amp; UNICHAR(10) &amp; IF(d&gt;TODAY(),"Future",SWITCH(TRUE(),[Failures]&gt;0,"! " &amp; FORMAT([Failures],"0") &amp; " failed",[In progress or other]&gt;0,"~ " &amp; FORMAT(n,"0") &amp; " runs",n&gt;0,FORMAT(n,"0") &amp; " OK","No loads")))</x:v>
      </x:c>
      <x:c r="H641" s="25" t="str">
        <x:v>KPI_LATEST_CALCULATIONS.md#mission-day-tile</x:v>
      </x:c>
      <x:c r="I641" s="25" t="str">
        <x:v>Saved definition; runtime/acceptance pending</x:v>
      </x:c>
    </x:row>
    <x:row r="642" ht="85" customHeight="1">
      <x:c r="A642" s="25" t="str">
        <x:v>Discovery calendar failures</x:v>
      </x:c>
      <x:c r="B642" s="25" t="str">
        <x:v>_MissionControl_Measures</x:v>
      </x:c>
      <x:c r="C642" s="25" t="str">
        <x:v>Operational metric</x:v>
      </x:c>
      <x:c r="D642" s="25" t="str">
        <x:v>MC-KPI-029</x:v>
      </x:c>
      <x:c r="E642" s="25" t="str">
        <x:v>No direct saved visual binding</x:v>
      </x:c>
      <x:c r="F642" s="25" t="str">
        <x:v>monitoring.cfg_job_run; monitoring.rpt_job_run_summary</x:v>
      </x:c>
      <x:c r="G642" s="25" t="str">
        <x:v>COALESCE(CALCULATE(COUNTROWS('Discovery Job Runs'),
			    KEEPFILTERS(TREATAS(VALUES('Load Calendar'[Date]), 'Discovery Job Runs'[Run Date])),
			    FILTER('Discovery Job Runs', UPPER('Discovery Job Runs'[status]) IN {"FAILED", "FAILURE", "ERROR"}
			        || 'Discovery Job Runs'[steps_failed] &gt; 0)), 0)</x:v>
      </x:c>
      <x:c r="H642" s="25" t="str">
        <x:v>KPI_LATEST_CALCULATIONS.md#mission-discovery-calendar-failures</x:v>
      </x:c>
      <x:c r="I642" s="25" t="str">
        <x:v>Saved definition; runtime/acceptance pending</x:v>
      </x:c>
    </x:row>
    <x:row r="643" ht="46" customHeight="1">
      <x:c r="A643" s="25" t="str">
        <x:v>Discovery calendar jobs</x:v>
      </x:c>
      <x:c r="B643" s="25" t="str">
        <x:v>_MissionControl_Measures</x:v>
      </x:c>
      <x:c r="C643" s="25" t="str">
        <x:v>Operational metric</x:v>
      </x:c>
      <x:c r="D643" s="25" t="str">
        <x:v>MC-KPI-030</x:v>
      </x:c>
      <x:c r="E643" s="25" t="str">
        <x:v>No direct saved visual binding</x:v>
      </x:c>
      <x:c r="F643" s="25" t="str">
        <x:v>monitoring.cfg_job_run; monitoring.rpt_job_run_summary</x:v>
      </x:c>
      <x:c r="G643" s="25" t="str">
        <x:v>COALESCE(CALCULATE(COUNTROWS('Discovery Job Runs'),
			    KEEPFILTERS(TREATAS(VALUES('Load Calendar'[Date]), 'Discovery Job Runs'[Run Date]))), 0)</x:v>
      </x:c>
      <x:c r="H643" s="25" t="str">
        <x:v>KPI_LATEST_CALCULATIONS.md#mission-discovery-calendar-jobs</x:v>
      </x:c>
      <x:c r="I643" s="25" t="str">
        <x:v>Saved definition; runtime/acceptance pending</x:v>
      </x:c>
    </x:row>
    <x:row r="644" ht="85" customHeight="1">
      <x:c r="A644" s="25" t="str">
        <x:v>Discovery calendar other</x:v>
      </x:c>
      <x:c r="B644" s="25" t="str">
        <x:v>_MissionControl_Measures</x:v>
      </x:c>
      <x:c r="C644" s="25" t="str">
        <x:v>Operational metric</x:v>
      </x:c>
      <x:c r="D644" s="25" t="str">
        <x:v>MC-KPI-031</x:v>
      </x:c>
      <x:c r="E644" s="25" t="str">
        <x:v>No direct saved visual binding</x:v>
      </x:c>
      <x:c r="F644" s="25" t="str">
        <x:v>monitoring.cfg_job_run; monitoring.rpt_job_run_summary</x:v>
      </x:c>
      <x:c r="G644" s="25" t="str">
        <x:v>COALESCE(CALCULATE(COUNTROWS('Discovery Job Runs'),
			    KEEPFILTERS(TREATAS(VALUES('Load Calendar'[Date]), 'Discovery Job Runs'[Run Date])),
			    FILTER('Discovery Job Runs', NOT(UPPER('Discovery Job Runs'[status]) IN {"SUCCESS", "SUCCESSFUL", "SUCCEEDED", "FAILED", "FAILURE", "ERROR"})
			        &amp;&amp; COALESCE('Discovery Job Runs'[steps_failed], 0) = 0)), 0)</x:v>
      </x:c>
      <x:c r="H644" s="25" t="str">
        <x:v>KPI_LATEST_CALCULATIONS.md#mission-discovery-calendar-other</x:v>
      </x:c>
      <x:c r="I644" s="25" t="str">
        <x:v>Saved definition; runtime/acceptance pending</x:v>
      </x:c>
    </x:row>
    <x:row r="645" ht="85" customHeight="1">
      <x:c r="A645" s="25" t="str">
        <x:v>Discovery cfg_archive_zip_load Latest key</x:v>
      </x:c>
      <x:c r="B645" s="25" t="str">
        <x:v>_MissionControl_Measures</x:v>
      </x:c>
      <x:c r="C645" s="25" t="str">
        <x:v>Display/context helper</x:v>
      </x:c>
      <x:c r="D645" s="25" t="str">
        <x:v>Helper/context; not registered as an additional KPI</x:v>
      </x:c>
      <x:c r="E645" s="25" t="str">
        <x:v>No direct saved visual binding</x:v>
      </x:c>
      <x:c r="F645" s="25" t="str">
        <x:v>monitoring.cfg_archive_zip_load</x:v>
      </x:c>
      <x:c r="G645" s="25" t="str">
        <x:v>VAR Batches = CALCULATETABLE(SUMMARIZE(cfg_archive_zip_load, cfg_archive_zip_load[run_id], "DiscoveryTime", MAX(cfg_archive_zip_load[started_at])), ALLSELECTED(cfg_archive_zip_load))
			VAR LatestBatch = TOPN(1, FILTER(Batches, NOT ISBLANK([DiscoveryTime])), [DiscoveryTime], DESC, cfg_archive_zip_load[run_id], DESC)
			RETURN MAXX(LatestBatch, cfg_archive_zip_load[run_id])</x:v>
      </x:c>
      <x:c r="H645" s="25" t="str">
        <x:v>KPI_LATEST_CALCULATIONS.md#mission-discovery-cfg-archive-zip-load-latest-key</x:v>
      </x:c>
      <x:c r="I645" s="25" t="str">
        <x:v>Saved definition; runtime/acceptance pending</x:v>
      </x:c>
    </x:row>
    <x:row r="646" ht="33" customHeight="1">
      <x:c r="A646" s="25" t="str">
        <x:v>Discovery cfg_archive_zip_load Latest time</x:v>
      </x:c>
      <x:c r="B646" s="25" t="str">
        <x:v>_MissionControl_Measures</x:v>
      </x:c>
      <x:c r="C646" s="25" t="str">
        <x:v>Filter/context helper</x:v>
      </x:c>
      <x:c r="D646" s="25" t="str">
        <x:v>Helper/context; not registered as an additional KPI</x:v>
      </x:c>
      <x:c r="E646" s="25" t="str">
        <x:v>No direct saved visual binding</x:v>
      </x:c>
      <x:c r="F646" s="25" t="str">
        <x:v>monitoring.cfg_archive_zip_load</x:v>
      </x:c>
      <x:c r="G646" s="25" t="str">
        <x:v>CALCULATE(MAX(cfg_archive_zip_load[started_at]), REMOVEFILTERS())</x:v>
      </x:c>
      <x:c r="H646" s="25" t="str">
        <x:v>KPI_LATEST_CALCULATIONS.md#mission-discovery-cfg-archive-zip-load-latest-time</x:v>
      </x:c>
      <x:c r="I646" s="25" t="str">
        <x:v>Saved definition; runtime/acceptance pending</x:v>
      </x:c>
    </x:row>
    <x:row r="647" ht="33" customHeight="1">
      <x:c r="A647" s="25" t="str">
        <x:v>Discovery cfg_archive_zip_load Rows</x:v>
      </x:c>
      <x:c r="B647" s="25" t="str">
        <x:v>_MissionControl_Measures</x:v>
      </x:c>
      <x:c r="C647" s="25" t="str">
        <x:v>Operational metric</x:v>
      </x:c>
      <x:c r="D647" s="25" t="str">
        <x:v>MC-KPI-032</x:v>
      </x:c>
      <x:c r="E647" s="25" t="str">
        <x:v>No direct saved visual binding</x:v>
      </x:c>
      <x:c r="F647" s="25" t="str">
        <x:v>monitoring.cfg_archive_zip_load</x:v>
      </x:c>
      <x:c r="G647" s="25" t="str">
        <x:v>COALESCE(CALCULATE(COUNTROWS(cfg_archive_zip_load), KEEPFILTERS(TREATAS({[Discovery cfg_archive_zip_load Latest key]}, cfg_archive_zip_load[run_id]))), 0)</x:v>
      </x:c>
      <x:c r="H647" s="25" t="str">
        <x:v>KPI_LATEST_CALCULATIONS.md#mission-discovery-cfg-archive-zip-load-rows</x:v>
      </x:c>
      <x:c r="I647" s="25" t="str">
        <x:v>Saved definition; runtime/acceptance pending</x:v>
      </x:c>
    </x:row>
    <x:row r="648" ht="33" customHeight="1">
      <x:c r="A648" s="25" t="str">
        <x:v>Discovery cfg_archive_zip_load Selected time</x:v>
      </x:c>
      <x:c r="B648" s="25" t="str">
        <x:v>_MissionControl_Measures</x:v>
      </x:c>
      <x:c r="C648" s="25" t="str">
        <x:v>Filter/context helper</x:v>
      </x:c>
      <x:c r="D648" s="25" t="str">
        <x:v>Helper/context; not registered as an additional KPI</x:v>
      </x:c>
      <x:c r="E648" s="25" t="str">
        <x:v>No direct saved visual binding</x:v>
      </x:c>
      <x:c r="F648" s="25" t="str">
        <x:v>monitoring.cfg_archive_zip_load</x:v>
      </x:c>
      <x:c r="G648" s="25" t="str">
        <x:v>CALCULATE(MAX(cfg_archive_zip_load[started_at]), KEEPFILTERS(TREATAS({[Discovery cfg_archive_zip_load Latest key]}, cfg_archive_zip_load[run_id])))</x:v>
      </x:c>
      <x:c r="H648" s="25" t="str">
        <x:v>KPI_LATEST_CALCULATIONS.md#mission-discovery-cfg-archive-zip-load-selected-time</x:v>
      </x:c>
      <x:c r="I648" s="25" t="str">
        <x:v>Saved definition; runtime/acceptance pending</x:v>
      </x:c>
    </x:row>
    <x:row r="649" ht="72" customHeight="1">
      <x:c r="A649" s="25" t="str">
        <x:v>Discovery cfg_archive_zip_load State</x:v>
      </x:c>
      <x:c r="B649" s="25" t="str">
        <x:v>_MissionControl_Measures</x:v>
      </x:c>
      <x:c r="C649" s="25" t="str">
        <x:v>Display/context helper</x:v>
      </x:c>
      <x:c r="D649" s="25" t="str">
        <x:v>Helper/context; not registered as an additional KPI</x:v>
      </x:c>
      <x:c r="E649" s="25" t="str">
        <x:v>No direct saved visual binding</x:v>
      </x:c>
      <x:c r="F649" s="25" t="str">
        <x:v>monitoring.cfg_archive_zip_load; monitoring.cfg_job_run; monitoring.rpt_job_run_summary</x:v>
      </x:c>
      <x:c r="G649" s="25" t="str">
        <x:v>VAR n = [Discovery cfg_archive_zip_load Rows]
			RETURN IF(n = 0,
			    IF([Discovery history selected] = 1, "No retained discovery for this selection", "No discovery records available"),
			    "Retained records: " &amp; FORMAT(n, "#,0"))</x:v>
      </x:c>
      <x:c r="H649" s="25" t="str">
        <x:v>KPI_LATEST_CALCULATIONS.md#mission-discovery-cfg-archive-zip-load-state</x:v>
      </x:c>
      <x:c r="I649" s="25" t="str">
        <x:v>Saved definition; runtime/acceptance pending</x:v>
      </x:c>
    </x:row>
    <x:row r="650" ht="33" customHeight="1">
      <x:c r="A650" s="25" t="str">
        <x:v>Discovery cfg_archive_zip_load Visible</x:v>
      </x:c>
      <x:c r="B650" s="25" t="str">
        <x:v>_MissionControl_Measures</x:v>
      </x:c>
      <x:c r="C650" s="25" t="str">
        <x:v>Filter/context helper</x:v>
      </x:c>
      <x:c r="D650" s="25" t="str">
        <x:v>Helper/context; not registered as an additional KPI</x:v>
      </x:c>
      <x:c r="E650" s="25" t="str">
        <x:v>Archive &amp; Replay</x:v>
      </x:c>
      <x:c r="F650" s="25" t="str">
        <x:v>monitoring.cfg_archive_zip_load</x:v>
      </x:c>
      <x:c r="G650" s="25" t="str">
        <x:v>IF([Discovery cfg_archive_zip_load Rows] &gt; 0, 1, 0)</x:v>
      </x:c>
      <x:c r="H650" s="25" t="str">
        <x:v>KPI_LATEST_CALCULATIONS.md#mission-discovery-cfg-archive-zip-load-visible</x:v>
      </x:c>
      <x:c r="I650" s="25" t="str">
        <x:v>Saved definition; runtime/acceptance pending</x:v>
      </x:c>
    </x:row>
    <x:row r="651" ht="33" customHeight="1">
      <x:c r="A651" s="25" t="str">
        <x:v>Discovery cfg_archived_schema_live Latest time</x:v>
      </x:c>
      <x:c r="B651" s="25" t="str">
        <x:v>_MissionControl_Measures</x:v>
      </x:c>
      <x:c r="C651" s="25" t="str">
        <x:v>Filter/context helper</x:v>
      </x:c>
      <x:c r="D651" s="25" t="str">
        <x:v>Helper/context; not registered as an additional KPI</x:v>
      </x:c>
      <x:c r="E651" s="25" t="str">
        <x:v>No direct saved visual binding</x:v>
      </x:c>
      <x:c r="F651" s="25" t="str">
        <x:v>monitoring.cfg_archived_schema_live</x:v>
      </x:c>
      <x:c r="G651" s="25" t="str">
        <x:v>CALCULATE(MAX(cfg_archived_schema_live[contract_loaded_at]), REMOVEFILTERS())</x:v>
      </x:c>
      <x:c r="H651" s="25" t="str">
        <x:v>KPI_LATEST_CALCULATIONS.md#mission-discovery-cfg-archived-schema-live-latest-time</x:v>
      </x:c>
      <x:c r="I651" s="25" t="str">
        <x:v>Saved definition; runtime/acceptance pending</x:v>
      </x:c>
    </x:row>
    <x:row r="652" ht="46" customHeight="1">
      <x:c r="A652" s="25" t="str">
        <x:v>Discovery cfg_archived_schema_live Rows</x:v>
      </x:c>
      <x:c r="B652" s="25" t="str">
        <x:v>_MissionControl_Measures</x:v>
      </x:c>
      <x:c r="C652" s="25" t="str">
        <x:v>Operational metric</x:v>
      </x:c>
      <x:c r="D652" s="25" t="str">
        <x:v>MC-KPI-033</x:v>
      </x:c>
      <x:c r="E652" s="25" t="str">
        <x:v>No direct saved visual binding</x:v>
      </x:c>
      <x:c r="F652" s="25" t="str">
        <x:v>monitoring.cfg_archived_schema_live</x:v>
      </x:c>
      <x:c r="G652" s="25" t="str">
        <x:v>COALESCE(CALCULATE(COUNTROWS(cfg_archived_schema_live), KEEPFILTERS(TREATAS({[Discovery cfg_archived_schema_live Latest time]}, cfg_archived_schema_live[contract_loaded_at]))), 0)</x:v>
      </x:c>
      <x:c r="H652" s="25" t="str">
        <x:v>KPI_LATEST_CALCULATIONS.md#mission-discovery-cfg-archived-schema-live-rows</x:v>
      </x:c>
      <x:c r="I652" s="25" t="str">
        <x:v>Saved definition; runtime/acceptance pending</x:v>
      </x:c>
    </x:row>
    <x:row r="653" ht="46" customHeight="1">
      <x:c r="A653" s="25" t="str">
        <x:v>Discovery cfg_archived_schema_live Selected time</x:v>
      </x:c>
      <x:c r="B653" s="25" t="str">
        <x:v>_MissionControl_Measures</x:v>
      </x:c>
      <x:c r="C653" s="25" t="str">
        <x:v>Filter/context helper</x:v>
      </x:c>
      <x:c r="D653" s="25" t="str">
        <x:v>Helper/context; not registered as an additional KPI</x:v>
      </x:c>
      <x:c r="E653" s="25" t="str">
        <x:v>No direct saved visual binding</x:v>
      </x:c>
      <x:c r="F653" s="25" t="str">
        <x:v>monitoring.cfg_archived_schema_live</x:v>
      </x:c>
      <x:c r="G653" s="25" t="str">
        <x:v>CALCULATE(MAX(cfg_archived_schema_live[contract_loaded_at]), KEEPFILTERS(TREATAS({[Discovery cfg_archived_schema_live Latest time]}, cfg_archived_schema_live[contract_loaded_at])))</x:v>
      </x:c>
      <x:c r="H653" s="25" t="str">
        <x:v>KPI_LATEST_CALCULATIONS.md#mission-discovery-cfg-archived-schema-live-selected-time</x:v>
      </x:c>
      <x:c r="I653" s="25" t="str">
        <x:v>Saved definition; runtime/acceptance pending</x:v>
      </x:c>
    </x:row>
    <x:row r="654" ht="72" customHeight="1">
      <x:c r="A654" s="25" t="str">
        <x:v>Discovery cfg_archived_schema_live State</x:v>
      </x:c>
      <x:c r="B654" s="25" t="str">
        <x:v>_MissionControl_Measures</x:v>
      </x:c>
      <x:c r="C654" s="25" t="str">
        <x:v>Display/context helper</x:v>
      </x:c>
      <x:c r="D654" s="25" t="str">
        <x:v>Helper/context; not registered as an additional KPI</x:v>
      </x:c>
      <x:c r="E654" s="25" t="str">
        <x:v>No direct saved visual binding</x:v>
      </x:c>
      <x:c r="F654" s="25" t="str">
        <x:v>monitoring.cfg_archived_schema_live; monitoring.cfg_job_run; monitoring.rpt_job_run_summary</x:v>
      </x:c>
      <x:c r="G654" s="25" t="str">
        <x:v>VAR n = [Discovery cfg_archived_schema_live Rows]
			RETURN IF(n = 0,
			    IF([Discovery history selected] = 1, "No retained discovery for this selection", "No discovery records available"),
			    "Retained records: " &amp; FORMAT(n, "#,0"))</x:v>
      </x:c>
      <x:c r="H654" s="25" t="str">
        <x:v>KPI_LATEST_CALCULATIONS.md#mission-discovery-cfg-archived-schema-live-state</x:v>
      </x:c>
      <x:c r="I654" s="25" t="str">
        <x:v>Saved definition; runtime/acceptance pending</x:v>
      </x:c>
    </x:row>
    <x:row r="655" ht="33" customHeight="1">
      <x:c r="A655" s="25" t="str">
        <x:v>Discovery cfg_archived_schema_live Visible</x:v>
      </x:c>
      <x:c r="B655" s="25" t="str">
        <x:v>_MissionControl_Measures</x:v>
      </x:c>
      <x:c r="C655" s="25" t="str">
        <x:v>Filter/context helper</x:v>
      </x:c>
      <x:c r="D655" s="25" t="str">
        <x:v>Helper/context; not registered as an additional KPI</x:v>
      </x:c>
      <x:c r="E655" s="25" t="str">
        <x:v>Quality &amp; Schema</x:v>
      </x:c>
      <x:c r="F655" s="25" t="str">
        <x:v>monitoring.cfg_archived_schema_live</x:v>
      </x:c>
      <x:c r="G655" s="25" t="str">
        <x:v>IF([Discovery cfg_archived_schema_live Rows] &gt; 0, 1, 0)</x:v>
      </x:c>
      <x:c r="H655" s="25" t="str">
        <x:v>KPI_LATEST_CALCULATIONS.md#mission-discovery-cfg-archived-schema-live-visible</x:v>
      </x:c>
      <x:c r="I655" s="25" t="str">
        <x:v>Saved definition; runtime/acceptance pending</x:v>
      </x:c>
    </x:row>
    <x:row r="656" ht="85" customHeight="1">
      <x:c r="A656" s="25" t="str">
        <x:v>Discovery cfg_bronze_schema_live Context</x:v>
      </x:c>
      <x:c r="B656" s="25" t="str">
        <x:v>_MissionControl_Measures</x:v>
      </x:c>
      <x:c r="C656" s="25" t="str">
        <x:v>Display/context helper</x:v>
      </x:c>
      <x:c r="D656" s="25" t="str">
        <x:v>Helper/context; not registered as an additional KPI</x:v>
      </x:c>
      <x:c r="E656" s="25" t="str">
        <x:v>Contracts &amp; Schema</x:v>
      </x:c>
      <x:c r="F656" s="25" t="str">
        <x:v>monitoring.cfg_bronze_schema_live; monitoring.cfg_job_run; monitoring.rpt_job_run_summary</x:v>
      </x:c>
      <x:c r="G656" s="25" t="str">
        <x:v>VAR Day=SELECTEDVALUE('Load Calendar'[Date])
			VAR Time=[Discovery cfg_bronze_schema_live Latest time]
			RETURN IF([Discovery history selected]=1,"Historical activity" &amp; IF(NOT ISBLANK(Day)," · " &amp; FORMAT(Day,"dd MMM yyyy")," · linked job"),IF(ISBLANK(Time),"No latest discovery available","Latest discovery · " &amp; FORMAT(Time,"dd MMM yyyy HH:mm")))</x:v>
      </x:c>
      <x:c r="H656" s="25" t="str">
        <x:v>KPI_LATEST_CALCULATIONS.md#mission-discovery-cfg-bronze-schema-live-context</x:v>
      </x:c>
      <x:c r="I656" s="25" t="str">
        <x:v>Saved definition; runtime/acceptance pending</x:v>
      </x:c>
    </x:row>
    <x:row r="657" ht="163" customHeight="1">
      <x:c r="A657" s="25" t="str">
        <x:v>Discovery cfg_bronze_schema_live Discovery batches</x:v>
      </x:c>
      <x:c r="B657" s="25" t="str">
        <x:v>_MissionControl_Measures</x:v>
      </x:c>
      <x:c r="C657" s="25" t="str">
        <x:v>Operational metric</x:v>
      </x:c>
      <x:c r="D657" s="25" t="str">
        <x:v>MC-KPI-034</x:v>
      </x:c>
      <x:c r="E657" s="25" t="str">
        <x:v>Contracts &amp; Schema</x:v>
      </x:c>
      <x:c r="F657" s="25" t="str">
        <x:v>monitoring.cfg_bronze_schema_live; monitoring.cfg_job_run; monitoring.rpt_job_run_summary</x:v>
      </x:c>
      <x:c r="G657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JobChosen,CALCULATE(DISTINCTCOUNT('cfg_bronze_schema_live'[run_id]),KEEPFILTERS(FILTER('cfg_bronze_schema_live',(NOT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key]),CALCULATE(DISTINCTCOUNT('cfg_bronze_schema_live'[run_id]),KEEPFILTERS(TREATAS({[Discovery cfg_bronze_schema_
[EXCERPT; complete logic in KPI_LATEST_CALCULATIONS.md]</x:v>
      </x:c>
      <x:c r="H657" s="25" t="str">
        <x:v>KPI_LATEST_CALCULATIONS.md#mission-discovery-cfg-bronze-schema-live-discovery-batches</x:v>
      </x:c>
      <x:c r="I657" s="25" t="str">
        <x:v>Saved definition; runtime/acceptance pending</x:v>
      </x:c>
    </x:row>
    <x:row r="658" ht="163" customHeight="1">
      <x:c r="A658" s="25" t="str">
        <x:v>Discovery cfg_bronze_schema_live Distinct objects</x:v>
      </x:c>
      <x:c r="B658" s="25" t="str">
        <x:v>_MissionControl_Measures</x:v>
      </x:c>
      <x:c r="C658" s="25" t="str">
        <x:v>Operational metric</x:v>
      </x:c>
      <x:c r="D658" s="25" t="str">
        <x:v>MC-KPI-035</x:v>
      </x:c>
      <x:c r="E658" s="25" t="str">
        <x:v>Contracts &amp; Schema</x:v>
      </x:c>
      <x:c r="F658" s="25" t="str">
        <x:v>monitoring.cfg_bronze_schema_live; monitoring.cfg_job_run; monitoring.rpt_job_run_summary</x:v>
      </x:c>
      <x:c r="G658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JobChosen,CALCULATE(DISTINCTCOUNT('cfg_bronze_schema_live'[table_name]),KEEPFILTERS(FILTER('cfg_bronze_schema_live',(NOT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key]),CALCULATE(DISTINCTCOUNT('cfg_bronze_schema_live'[table_name]),KEEPFILTERS(TREATAS({[Discovery cfg_bronze
[EXCERPT; complete logic in KPI_LATEST_CALCULATIONS.md]</x:v>
      </x:c>
      <x:c r="H658" s="25" t="str">
        <x:v>KPI_LATEST_CALCULATIONS.md#mission-discovery-cfg-bronze-schema-live-distinct-objects</x:v>
      </x:c>
      <x:c r="I658" s="25" t="str">
        <x:v>Saved definition; runtime/acceptance pending</x:v>
      </x:c>
    </x:row>
    <x:row r="659" ht="98" customHeight="1">
      <x:c r="A659" s="25" t="str">
        <x:v>Discovery cfg_bronze_schema_live Latest key</x:v>
      </x:c>
      <x:c r="B659" s="25" t="str">
        <x:v>_MissionControl_Measures</x:v>
      </x:c>
      <x:c r="C659" s="25" t="str">
        <x:v>Display/context helper</x:v>
      </x:c>
      <x:c r="D659" s="25" t="str">
        <x:v>Helper/context; not registered as an additional KPI</x:v>
      </x:c>
      <x:c r="E659" s="25" t="str">
        <x:v>No direct saved visual binding</x:v>
      </x:c>
      <x:c r="F659" s="25" t="str">
        <x:v>monitoring.cfg_bronze_schema_live</x:v>
      </x:c>
      <x:c r="G659" s="25" t="str">
        <x:v>VAR Batches = CALCULATETABLE(SUMMARIZE(cfg_bronze_schema_live, cfg_bronze_schema_live[run_id],
			    "DiscoveryTime", MAX(cfg_bronze_schema_live[captured_at])), REMOVEFILTERS())
			VAR LatestBatch = TOPN(1, FILTER(Batches, NOT ISBLANK([DiscoveryTime])),
			    [DiscoveryTime], DESC, cfg_bronze_schema_live[run_id], DESC)
			RETURN MAXX(LatestBatch, cfg_bronze_schema_live[run_id])</x:v>
      </x:c>
      <x:c r="H659" s="25" t="str">
        <x:v>KPI_LATEST_CALCULATIONS.md#mission-discovery-cfg-bronze-schema-live-latest-key</x:v>
      </x:c>
      <x:c r="I659" s="25" t="str">
        <x:v>Saved definition; runtime/acceptance pending</x:v>
      </x:c>
    </x:row>
    <x:row r="660" ht="33" customHeight="1">
      <x:c r="A660" s="25" t="str">
        <x:v>Discovery cfg_bronze_schema_live Latest time</x:v>
      </x:c>
      <x:c r="B660" s="25" t="str">
        <x:v>_MissionControl_Measures</x:v>
      </x:c>
      <x:c r="C660" s="25" t="str">
        <x:v>Filter/context helper</x:v>
      </x:c>
      <x:c r="D660" s="25" t="str">
        <x:v>Helper/context; not registered as an additional KPI</x:v>
      </x:c>
      <x:c r="E660" s="25" t="str">
        <x:v>No direct saved visual binding</x:v>
      </x:c>
      <x:c r="F660" s="25" t="str">
        <x:v>monitoring.cfg_bronze_schema_live</x:v>
      </x:c>
      <x:c r="G660" s="25" t="str">
        <x:v>CALCULATE(MAX(cfg_bronze_schema_live[captured_at]), REMOVEFILTERS())</x:v>
      </x:c>
      <x:c r="H660" s="25" t="str">
        <x:v>KPI_LATEST_CALCULATIONS.md#mission-discovery-cfg-bronze-schema-live-latest-time</x:v>
      </x:c>
      <x:c r="I660" s="25" t="str">
        <x:v>Saved definition; runtime/acceptance pending</x:v>
      </x:c>
    </x:row>
    <x:row r="661" ht="163" customHeight="1">
      <x:c r="A661" s="25" t="str">
        <x:v>Discovery cfg_bronze_schema_live Rows</x:v>
      </x:c>
      <x:c r="B661" s="25" t="str">
        <x:v>_MissionControl_Measures</x:v>
      </x:c>
      <x:c r="C661" s="25" t="str">
        <x:v>Operational metric</x:v>
      </x:c>
      <x:c r="D661" s="25" t="str">
        <x:v>MC-KPI-036</x:v>
      </x:c>
      <x:c r="E661" s="25" t="str">
        <x:v>Contracts &amp; Schema</x:v>
      </x:c>
      <x:c r="F661" s="25" t="str">
        <x:v>monitoring.cfg_bronze_schema_live; monitoring.cfg_job_run; monitoring.rpt_job_run_summary</x:v>
      </x:c>
      <x:c r="G661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JobChosen,CALCULATE(COUNTROWS('cfg_bronze_schema_live'),KEEPFILTERS(FILTER('cfg_bronze_schema_live',(NOT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key]),CALCULATE(COUNTROWS('cfg_bronze_schema_live'),KEEPFILTERS(TREATAS({[Discovery cfg_bronze_schema_live Latest time] },'cfg
[EXCERPT; complete logic in KPI_LATEST_CALCULATIONS.md]</x:v>
      </x:c>
      <x:c r="H661" s="25" t="str">
        <x:v>KPI_LATEST_CALCULATIONS.md#mission-discovery-cfg-bronze-schema-live-rows</x:v>
      </x:c>
      <x:c r="I661" s="25" t="str">
        <x:v>Saved definition; runtime/acceptance pending</x:v>
      </x:c>
    </x:row>
    <x:row r="662" ht="163" customHeight="1">
      <x:c r="A662" s="25" t="str">
        <x:v>Discovery cfg_bronze_schema_live Scope count</x:v>
      </x:c>
      <x:c r="B662" s="25" t="str">
        <x:v>_MissionControl_Measures</x:v>
      </x:c>
      <x:c r="C662" s="25" t="str">
        <x:v>Operational metric</x:v>
      </x:c>
      <x:c r="D662" s="25" t="str">
        <x:v>MC-KPI-037</x:v>
      </x:c>
      <x:c r="E662" s="25" t="str">
        <x:v>Contracts &amp; Schema</x:v>
      </x:c>
      <x:c r="F662" s="25" t="str">
        <x:v>monitoring.cfg_bronze_schema_live; monitoring.cfg_job_run; monitoring.rpt_job_run_summary</x:v>
      </x:c>
      <x:c r="G662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JobChosen,CALCULATE(COUNTROWS(SUMMARIZE('cfg_bronze_schema_live','cfg_bronze_schema_live'[table_name],'cfg_bronze_schema_live'[column_name])),KEEPFILTERS(FILTER('cfg_bronze_schema_live',(NOT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key]),CALCULATE(COUNTROWS(SUMMARIZE('cfg
[EXCERPT; complete logic in KPI_LATEST_CALCULATIONS.md]</x:v>
      </x:c>
      <x:c r="H662" s="25" t="str">
        <x:v>KPI_LATEST_CALCULATIONS.md#mission-discovery-cfg-bronze-schema-live-scope-count</x:v>
      </x:c>
      <x:c r="I662" s="25" t="str">
        <x:v>Saved definition; runtime/acceptance pending</x:v>
      </x:c>
    </x:row>
    <x:row r="663" ht="163" customHeight="1">
      <x:c r="A663" s="25" t="str">
        <x:v>Discovery cfg_bronze_schema_live Selected time</x:v>
      </x:c>
      <x:c r="B663" s="25" t="str">
        <x:v>_MissionControl_Measures</x:v>
      </x:c>
      <x:c r="C663" s="25" t="str">
        <x:v>Filter/context helper</x:v>
      </x:c>
      <x:c r="D663" s="25" t="str">
        <x:v>Helper/context; not registered as an additional KPI</x:v>
      </x:c>
      <x:c r="E663" s="25" t="str">
        <x:v>No direct saved visual binding</x:v>
      </x:c>
      <x:c r="F663" s="25" t="str">
        <x:v>monitoring.cfg_bronze_schema_live; monitoring.cfg_job_run; monitoring.rpt_job_run_summary</x:v>
      </x:c>
      <x:c r="G663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JobChosen,CALCULATE(MAX('cfg_bronze_schema_live'[captured_at]),KEEPFILTERS(FILTER('cfg_bronze_schema_live',(NOT DateChosen || ((NOT ISBLANK('cfg_bronze_schema_live'[captured_at]) &amp;&amp; INT('cfg_bronze_schema_live'[captured_at]) IN Days))) &amp;&amp; (NOT JobChosen || 'cfg_bronze_schema_live'[job_run_id] IN Jobs)))),IF(ISBLANK([Discovery cfg_bronze_schema_live Latest key]),CALCULATE(MAX('cfg_bronze_schema_live'[captured_at]),KEEPFILTERS(TREATAS({[Discovery cfg_bronze_schema_live Latest time] },
[EXCERPT; complete logic in KPI_LATEST_CALCULATIONS.md]</x:v>
      </x:c>
      <x:c r="H663" s="25" t="str">
        <x:v>KPI_LATEST_CALCULATIONS.md#mission-discovery-cfg-bronze-schema-live-selected-time</x:v>
      </x:c>
      <x:c r="I663" s="25" t="str">
        <x:v>Saved definition; runtime/acceptance pending</x:v>
      </x:c>
    </x:row>
    <x:row r="664" ht="59" customHeight="1">
      <x:c r="A664" s="25" t="str">
        <x:v>Discovery cfg_bronze_schema_live State</x:v>
      </x:c>
      <x:c r="B664" s="25" t="str">
        <x:v>_MissionControl_Measures</x:v>
      </x:c>
      <x:c r="C664" s="25" t="str">
        <x:v>Display/context helper</x:v>
      </x:c>
      <x:c r="D664" s="25" t="str">
        <x:v>Helper/context; not registered as an additional KPI</x:v>
      </x:c>
      <x:c r="E664" s="25" t="str">
        <x:v>Contracts &amp; Schema</x:v>
      </x:c>
      <x:c r="F664" s="25" t="str">
        <x:v>monitoring.cfg_bronze_schema_live; monitoring.cfg_job_run; monitoring.rpt_job_run_summary</x:v>
      </x:c>
      <x:c r="G664" s="25" t="str">
        <x:v>VAR n=[Discovery cfg_bronze_schema_live Rows]
			RETURN IF(n=0,IF([Discovery history selected]=1,"No retained records for this activity selection","No discovery records available"),"Retained records: " &amp; FORMAT(n,"#,0"))</x:v>
      </x:c>
      <x:c r="H664" s="25" t="str">
        <x:v>KPI_LATEST_CALCULATIONS.md#mission-discovery-cfg-bronze-schema-live-state</x:v>
      </x:c>
      <x:c r="I664" s="25" t="str">
        <x:v>Saved definition; runtime/acceptance pending</x:v>
      </x:c>
    </x:row>
    <x:row r="665" ht="33" customHeight="1">
      <x:c r="A665" s="25" t="str">
        <x:v>Discovery cfg_bronze_schema_live Visible</x:v>
      </x:c>
      <x:c r="B665" s="25" t="str">
        <x:v>_MissionControl_Measures</x:v>
      </x:c>
      <x:c r="C665" s="25" t="str">
        <x:v>Filter/context helper</x:v>
      </x:c>
      <x:c r="D665" s="25" t="str">
        <x:v>Helper/context; not registered as an additional KPI</x:v>
      </x:c>
      <x:c r="E665" s="25" t="str">
        <x:v>Contracts &amp; Schema</x:v>
      </x:c>
      <x:c r="F665" s="25" t="str">
        <x:v>monitoring.cfg_bronze_schema_live; monitoring.cfg_job_run; monitoring.rpt_job_run_summary</x:v>
      </x:c>
      <x:c r="G665" s="25" t="str">
        <x:v>IF([Discovery cfg_bronze_schema_live Rows]&gt;0,1,0)</x:v>
      </x:c>
      <x:c r="H665" s="25" t="str">
        <x:v>KPI_LATEST_CALCULATIONS.md#mission-discovery-cfg-bronze-schema-live-visible</x:v>
      </x:c>
      <x:c r="I665" s="25" t="str">
        <x:v>Saved definition; runtime/acceptance pending</x:v>
      </x:c>
    </x:row>
    <x:row r="666" ht="98" customHeight="1">
      <x:c r="A666" s="25" t="str">
        <x:v>Discovery cfg_data_domain Context</x:v>
      </x:c>
      <x:c r="B666" s="25" t="str">
        <x:v>_MissionControl_Measures</x:v>
      </x:c>
      <x:c r="C666" s="25" t="str">
        <x:v>Display/context helper</x:v>
      </x:c>
      <x:c r="D666" s="25" t="str">
        <x:v>Helper/context; not registered as an additional KPI</x:v>
      </x:c>
      <x:c r="E666" s="25" t="str">
        <x:v>Domains &amp; Reference</x:v>
      </x:c>
      <x:c r="F666" s="25" t="str">
        <x:v>monitoring.cfg_data_domain; monitoring.cfg_job_run; monitoring.rpt_job_run_summary</x:v>
      </x:c>
      <x:c r="G666" s="25" t="str">
        <x:v>VAR Historical=[Discovery history selected]=1
			VAR AllVersions=SELECTEDVALUE('Domain History View'[Mode],"Latest version")="All retained versions"
			RETURN IF(Historical,"Selected discovery history",IF(AllVersions,"All retained discovery versions",
			    "Latest discovery · " &amp; FORMAT([Discovery cfg_data_domain Latest time],"dd MMM yyyy HH:mm")))</x:v>
      </x:c>
      <x:c r="H666" s="25" t="str">
        <x:v>KPI_LATEST_CALCULATIONS.md#mission-discovery-cfg-data-domain-context</x:v>
      </x:c>
      <x:c r="I666" s="25" t="str">
        <x:v>Saved definition; runtime/acceptance pending</x:v>
      </x:c>
    </x:row>
    <x:row r="667" ht="189" customHeight="1">
      <x:c r="A667" s="25" t="str">
        <x:v>Discovery cfg_data_domain Discovery batches</x:v>
      </x:c>
      <x:c r="B667" s="25" t="str">
        <x:v>_MissionControl_Measures</x:v>
      </x:c>
      <x:c r="C667" s="25" t="str">
        <x:v>Operational metric</x:v>
      </x:c>
      <x:c r="D667" s="25" t="str">
        <x:v>MC-KPI-038</x:v>
      </x:c>
      <x:c r="E667" s="25" t="str">
        <x:v>Domains &amp; Reference</x:v>
      </x:c>
      <x:c r="F667" s="25" t="str">
        <x:v>monitoring.cfg_data_domain; monitoring.cfg_job_run; monitoring.rpt_job_run_summary</x:v>
      </x:c>
      <x:c r="G667" s="25" t="str">
        <x:v>COALESCE((VAR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CALCULATE(DISTINCTCOUNT(cfg_data_domain[run_id]),KEEPFILTERS(FILTER(cfg_data_domain,
			        (NOT DateChosen || INT(cfg_data_domain[profiled_at]) IN Days)
			        &amp;&amp; (NOT JobChosen || cfg_data_domain[job_run_id] IN Jobs))
[EXCERPT; complete logic in KPI_LATEST_CALCULATIONS.md]</x:v>
      </x:c>
      <x:c r="H667" s="25" t="str">
        <x:v>KPI_LATEST_CALCULATIONS.md#mission-discovery-cfg-data-domain-discovery-batches</x:v>
      </x:c>
      <x:c r="I667" s="25" t="str">
        <x:v>Saved definition; runtime/acceptance pending</x:v>
      </x:c>
    </x:row>
    <x:row r="668" ht="189" customHeight="1">
      <x:c r="A668" s="25" t="str">
        <x:v>Discovery cfg_data_domain Distinct objects</x:v>
      </x:c>
      <x:c r="B668" s="25" t="str">
        <x:v>_MissionControl_Measures</x:v>
      </x:c>
      <x:c r="C668" s="25" t="str">
        <x:v>Operational metric</x:v>
      </x:c>
      <x:c r="D668" s="25" t="str">
        <x:v>MC-KPI-039</x:v>
      </x:c>
      <x:c r="E668" s="25" t="str">
        <x:v>Domains &amp; Reference</x:v>
      </x:c>
      <x:c r="F668" s="25" t="str">
        <x:v>monitoring.cfg_data_domain; monitoring.cfg_job_run; monitoring.rpt_job_run_summary</x:v>
      </x:c>
      <x:c r="G668" s="25" t="str">
        <x:v>COALESCE((VAR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CALCULATE(DISTINCTCOUNT(cfg_data_domain[source_table]),KEEPFILTERS(FILTER(cfg_data_domain,
			        (NOT DateChosen || INT(cfg_data_domain[profiled_at]) IN Days)
			        &amp;&amp; (NOT JobChosen || cfg_data_domain[job_run_id] IN 
[EXCERPT; complete logic in KPI_LATEST_CALCULATIONS.md]</x:v>
      </x:c>
      <x:c r="H668" s="25" t="str">
        <x:v>KPI_LATEST_CALCULATIONS.md#mission-discovery-cfg-data-domain-distinct-objects</x:v>
      </x:c>
      <x:c r="I668" s="25" t="str">
        <x:v>Saved definition; runtime/acceptance pending</x:v>
      </x:c>
    </x:row>
    <x:row r="669" ht="98" customHeight="1">
      <x:c r="A669" s="25" t="str">
        <x:v>Discovery cfg_data_domain Latest key</x:v>
      </x:c>
      <x:c r="B669" s="25" t="str">
        <x:v>_MissionControl_Measures</x:v>
      </x:c>
      <x:c r="C669" s="25" t="str">
        <x:v>Display/context helper</x:v>
      </x:c>
      <x:c r="D669" s="25" t="str">
        <x:v>Helper/context; not registered as an additional KPI</x:v>
      </x:c>
      <x:c r="E669" s="25" t="str">
        <x:v>No direct saved visual binding</x:v>
      </x:c>
      <x:c r="F669" s="25" t="str">
        <x:v>monitoring.cfg_data_domain</x:v>
      </x:c>
      <x:c r="G669" s="25" t="str">
        <x:v>VAR Batches = CALCULATETABLE(SUMMARIZE(cfg_data_domain, cfg_data_domain[run_id],
			    "DiscoveryTime", MAX(cfg_data_domain[profiled_at])), REMOVEFILTERS())
			VAR LatestBatch = TOPN(1, FILTER(Batches, NOT ISBLANK([DiscoveryTime])),
			    [DiscoveryTime], DESC, cfg_data_domain[run_id], DESC)
			RETURN MAXX(LatestBatch, cfg_data_domain[run_id])</x:v>
      </x:c>
      <x:c r="H669" s="25" t="str">
        <x:v>KPI_LATEST_CALCULATIONS.md#mission-discovery-cfg-data-domain-latest-key</x:v>
      </x:c>
      <x:c r="I669" s="25" t="str">
        <x:v>Saved definition; runtime/acceptance pending</x:v>
      </x:c>
    </x:row>
    <x:row r="670" ht="33" customHeight="1">
      <x:c r="A670" s="25" t="str">
        <x:v>Discovery cfg_data_domain Latest time</x:v>
      </x:c>
      <x:c r="B670" s="25" t="str">
        <x:v>_MissionControl_Measures</x:v>
      </x:c>
      <x:c r="C670" s="25" t="str">
        <x:v>Filter/context helper</x:v>
      </x:c>
      <x:c r="D670" s="25" t="str">
        <x:v>Helper/context; not registered as an additional KPI</x:v>
      </x:c>
      <x:c r="E670" s="25" t="str">
        <x:v>No direct saved visual binding</x:v>
      </x:c>
      <x:c r="F670" s="25" t="str">
        <x:v>monitoring.cfg_data_domain</x:v>
      </x:c>
      <x:c r="G670" s="25" t="str">
        <x:v>CALCULATE(MAX(cfg_data_domain[profiled_at]), REMOVEFILTERS())</x:v>
      </x:c>
      <x:c r="H670" s="25" t="str">
        <x:v>KPI_LATEST_CALCULATIONS.md#mission-discovery-cfg-data-domain-latest-time</x:v>
      </x:c>
      <x:c r="I670" s="25" t="str">
        <x:v>Saved definition; runtime/acceptance pending</x:v>
      </x:c>
    </x:row>
    <x:row r="671" ht="202" customHeight="1">
      <x:c r="A671" s="25" t="str">
        <x:v>Discovery cfg_data_domain Rows</x:v>
      </x:c>
      <x:c r="B671" s="25" t="str">
        <x:v>_MissionControl_Measures</x:v>
      </x:c>
      <x:c r="C671" s="25" t="str">
        <x:v>Operational metric</x:v>
      </x:c>
      <x:c r="D671" s="25" t="str">
        <x:v>MC-KPI-040</x:v>
      </x:c>
      <x:c r="E671" s="25" t="str">
        <x:v>Domains &amp; Reference</x:v>
      </x:c>
      <x:c r="F671" s="25" t="str">
        <x:v>monitoring.cfg_data_domain; monitoring.cfg_job_run; monitoring.rpt_job_run_summary</x:v>
      </x:c>
      <x:c r="G671" s="25" t="str">
        <x:v>COALESCE((VAR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CALCULATE(COUNTROWS(cfg_data_domain),KEEPFILTERS(FILTER(cfg_data_domain,
			        (NOT DateChosen || INT(cfg_data_domain[profiled_at]) IN Days)
			        &amp;&amp; (NOT JobChosen || cfg_data_domain[job_run_id] IN Jobs)))),
			    I
[EXCERPT; complete logic in KPI_LATEST_CALCULATIONS.md]</x:v>
      </x:c>
      <x:c r="H671" s="25" t="str">
        <x:v>KPI_LATEST_CALCULATIONS.md#mission-discovery-cfg-data-domain-rows</x:v>
      </x:c>
      <x:c r="I671" s="25" t="str">
        <x:v>Saved definition; runtime/acceptance pending</x:v>
      </x:c>
    </x:row>
    <x:row r="672" ht="189" customHeight="1">
      <x:c r="A672" s="25" t="str">
        <x:v>Discovery cfg_data_domain Scope count</x:v>
      </x:c>
      <x:c r="B672" s="25" t="str">
        <x:v>_MissionControl_Measures</x:v>
      </x:c>
      <x:c r="C672" s="25" t="str">
        <x:v>Operational metric</x:v>
      </x:c>
      <x:c r="D672" s="25" t="str">
        <x:v>MC-KPI-041</x:v>
      </x:c>
      <x:c r="E672" s="25" t="str">
        <x:v>Domains &amp; Reference</x:v>
      </x:c>
      <x:c r="F672" s="25" t="str">
        <x:v>monitoring.cfg_data_domain; monitoring.cfg_job_run; monitoring.rpt_job_run_summary</x:v>
      </x:c>
      <x:c r="G672" s="25" t="str">
        <x:v>COALESCE((VAR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CALCULATE(COUNTROWS(SUMMARIZE(FILTER(cfg_data_domain,COALESCE(cfg_data_domain[profile_status],"PROFILED") IN {"PROFILED","EMPTY"}),cfg_data_domain[source_schema],cfg_data_domain[source_table],cfg_data_domain[column_name])),KEEP
[EXCERPT; complete logic in KPI_LATEST_CALCULATIONS.md]</x:v>
      </x:c>
      <x:c r="H672" s="25" t="str">
        <x:v>KPI_LATEST_CALCULATIONS.md#mission-discovery-cfg-data-domain-scope-count</x:v>
      </x:c>
      <x:c r="I672" s="25" t="str">
        <x:v>Saved definition; runtime/acceptance pending</x:v>
      </x:c>
    </x:row>
    <x:row r="673" ht="202" customHeight="1">
      <x:c r="A673" s="25" t="str">
        <x:v>Discovery cfg_data_domain Selected time</x:v>
      </x:c>
      <x:c r="B673" s="25" t="str">
        <x:v>_MissionControl_Measures</x:v>
      </x:c>
      <x:c r="C673" s="25" t="str">
        <x:v>Filter/context helper</x:v>
      </x:c>
      <x:c r="D673" s="25" t="str">
        <x:v>Helper/context; not registered as an additional KPI</x:v>
      </x:c>
      <x:c r="E673" s="25" t="str">
        <x:v>No direct saved visual binding</x:v>
      </x:c>
      <x:c r="F673" s="25" t="str">
        <x:v>monitoring.cfg_data_domain; monitoring.cfg_job_run; monitoring.rpt_job_run_summary</x:v>
      </x:c>
      <x:c r="G673" s="25" t="str">
        <x:v>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CALCULATE(MAX(cfg_data_domain[profiled_at]),KEEPFILTERS(FILTER(cfg_data_domain,
			        (NOT DateChosen || INT(cfg_data_domain[profiled_at]) IN Days)
			        &amp;&amp; (NOT JobChosen || cfg_data_domain[job_run_id] IN Jobs)))),
			    IF(I
[EXCERPT; complete logic in KPI_LATEST_CALCULATIONS.md]</x:v>
      </x:c>
      <x:c r="H673" s="25" t="str">
        <x:v>KPI_LATEST_CALCULATIONS.md#mission-discovery-cfg-data-domain-selected-time</x:v>
      </x:c>
      <x:c r="I673" s="25" t="str">
        <x:v>Saved definition; runtime/acceptance pending</x:v>
      </x:c>
    </x:row>
    <x:row r="674" ht="59" customHeight="1">
      <x:c r="A674" s="25" t="str">
        <x:v>Discovery cfg_data_domain State</x:v>
      </x:c>
      <x:c r="B674" s="25" t="str">
        <x:v>_MissionControl_Measures</x:v>
      </x:c>
      <x:c r="C674" s="25" t="str">
        <x:v>Display/context helper</x:v>
      </x:c>
      <x:c r="D674" s="25" t="str">
        <x:v>Helper/context; not registered as an additional KPI</x:v>
      </x:c>
      <x:c r="E674" s="25" t="str">
        <x:v>Domains &amp; Reference</x:v>
      </x:c>
      <x:c r="F674" s="25" t="str">
        <x:v>monitoring.cfg_data_domain; monitoring.cfg_job_run; monitoring.rpt_job_run_summary</x:v>
      </x:c>
      <x:c r="G674" s="25" t="str">
        <x:v>VAR n=[Discovery cfg_data_domain Rows]
			RETURN IF(n=0,IF([Discovery history selected]=1,"No retained records for this activity selection","No discovery records available"),"Retained records: " &amp; FORMAT(n,"#,0"))</x:v>
      </x:c>
      <x:c r="H674" s="25" t="str">
        <x:v>KPI_LATEST_CALCULATIONS.md#mission-discovery-cfg-data-domain-state</x:v>
      </x:c>
      <x:c r="I674" s="25" t="str">
        <x:v>Saved definition; runtime/acceptance pending</x:v>
      </x:c>
    </x:row>
    <x:row r="675" ht="33" customHeight="1">
      <x:c r="A675" s="25" t="str">
        <x:v>Discovery cfg_data_domain Visible</x:v>
      </x:c>
      <x:c r="B675" s="25" t="str">
        <x:v>_MissionControl_Measures</x:v>
      </x:c>
      <x:c r="C675" s="25" t="str">
        <x:v>Filter/context helper</x:v>
      </x:c>
      <x:c r="D675" s="25" t="str">
        <x:v>Helper/context; not registered as an additional KPI</x:v>
      </x:c>
      <x:c r="E675" s="25" t="str">
        <x:v>Domains &amp; Reference</x:v>
      </x:c>
      <x:c r="F675" s="25" t="str">
        <x:v>monitoring.cfg_data_domain; monitoring.cfg_job_run; monitoring.rpt_job_run_summary</x:v>
      </x:c>
      <x:c r="G675" s="25" t="str">
        <x:v>IF([Discovery cfg_data_domain Rows]&gt;0,1,0)</x:v>
      </x:c>
      <x:c r="H675" s="25" t="str">
        <x:v>KPI_LATEST_CALCULATIONS.md#mission-discovery-cfg-data-domain-visible</x:v>
      </x:c>
      <x:c r="I675" s="25" t="str">
        <x:v>Saved definition; runtime/acceptance pending</x:v>
      </x:c>
    </x:row>
    <x:row r="676" ht="33" customHeight="1">
      <x:c r="A676" s="25" t="str">
        <x:v>Discovery cfg_gold_lineage_mapping Rows</x:v>
      </x:c>
      <x:c r="B676" s="25" t="str">
        <x:v>_MissionControl_Measures</x:v>
      </x:c>
      <x:c r="C676" s="25" t="str">
        <x:v>Operational metric</x:v>
      </x:c>
      <x:c r="D676" s="25" t="str">
        <x:v>MC-KPI-042</x:v>
      </x:c>
      <x:c r="E676" s="25" t="str">
        <x:v>No direct saved visual binding</x:v>
      </x:c>
      <x:c r="F676" s="25" t="str">
        <x:v>monitoring.cfg_gold_lineage_mapping</x:v>
      </x:c>
      <x:c r="G676" s="25" t="str">
        <x:v>COALESCE((COUNTROWS('cfg_gold_lineage_mapping')),0)</x:v>
      </x:c>
      <x:c r="H676" s="25" t="str">
        <x:v>KPI_LATEST_CALCULATIONS.md#mission-discovery-cfg-gold-lineage-mapping-rows</x:v>
      </x:c>
      <x:c r="I676" s="25" t="str">
        <x:v>Saved definition; runtime/acceptance pending</x:v>
      </x:c>
    </x:row>
    <x:row r="677" ht="59" customHeight="1">
      <x:c r="A677" s="25" t="str">
        <x:v>Discovery cfg_gold_lineage_mapping State</x:v>
      </x:c>
      <x:c r="B677" s="25" t="str">
        <x:v>_MissionControl_Measures</x:v>
      </x:c>
      <x:c r="C677" s="25" t="str">
        <x:v>Display/context helper</x:v>
      </x:c>
      <x:c r="D677" s="25" t="str">
        <x:v>Helper/context; not registered as an additional KPI</x:v>
      </x:c>
      <x:c r="E677" s="25" t="str">
        <x:v>No direct saved visual binding</x:v>
      </x:c>
      <x:c r="F677" s="25" t="str">
        <x:v>monitoring.cfg_gold_lineage_mapping; monitoring.cfg_job_run; monitoring.rpt_job_run_summary</x:v>
      </x:c>
      <x:c r="G677" s="25" t="str">
        <x:v>VAR n=[Discovery cfg_gold_lineage_mapping Rows]
			RETURN IF(n=0,IF([Discovery history selected]=1,"No retained records for this activity selection","No discovery records available"),"Retained records: " &amp; FORMAT(n,"#,0"))</x:v>
      </x:c>
      <x:c r="H677" s="25" t="str">
        <x:v>KPI_LATEST_CALCULATIONS.md#mission-discovery-cfg-gold-lineage-mapping-state</x:v>
      </x:c>
      <x:c r="I677" s="25" t="str">
        <x:v>Saved definition; runtime/acceptance pending</x:v>
      </x:c>
    </x:row>
    <x:row r="678" ht="33" customHeight="1">
      <x:c r="A678" s="25" t="str">
        <x:v>Discovery cfg_gold_lineage_mapping Visible</x:v>
      </x:c>
      <x:c r="B678" s="25" t="str">
        <x:v>_MissionControl_Measures</x:v>
      </x:c>
      <x:c r="C678" s="25" t="str">
        <x:v>Filter/context helper</x:v>
      </x:c>
      <x:c r="D678" s="25" t="str">
        <x:v>Helper/context; not registered as an additional KPI</x:v>
      </x:c>
      <x:c r="E678" s="25" t="str">
        <x:v>Lineage &amp; Step Summary</x:v>
      </x:c>
      <x:c r="F678" s="25" t="str">
        <x:v>monitoring.cfg_gold_lineage_mapping</x:v>
      </x:c>
      <x:c r="G678" s="25" t="str">
        <x:v>IF([Discovery cfg_gold_lineage_mapping Rows]&gt;0,1,0)</x:v>
      </x:c>
      <x:c r="H678" s="25" t="str">
        <x:v>KPI_LATEST_CALCULATIONS.md#mission-discovery-cfg-gold-lineage-mapping-visible</x:v>
      </x:c>
      <x:c r="I678" s="25" t="str">
        <x:v>Saved definition; runtime/acceptance pending</x:v>
      </x:c>
    </x:row>
    <x:row r="679" ht="33" customHeight="1">
      <x:c r="A679" s="25" t="str">
        <x:v>Discovery cfg_location_coordinate Rows</x:v>
      </x:c>
      <x:c r="B679" s="25" t="str">
        <x:v>_MissionControl_Measures</x:v>
      </x:c>
      <x:c r="C679" s="25" t="str">
        <x:v>Operational metric</x:v>
      </x:c>
      <x:c r="D679" s="25" t="str">
        <x:v>MC-KPI-043</x:v>
      </x:c>
      <x:c r="E679" s="25" t="str">
        <x:v>No direct saved visual binding</x:v>
      </x:c>
      <x:c r="F679" s="25" t="str">
        <x:v>monitoring.cfg_location_coordinate</x:v>
      </x:c>
      <x:c r="G679" s="25" t="str">
        <x:v>COALESCE((COUNTROWS('cfg_location_coordinate')),0)</x:v>
      </x:c>
      <x:c r="H679" s="25" t="str">
        <x:v>KPI_LATEST_CALCULATIONS.md#mission-discovery-cfg-location-coordinate-rows</x:v>
      </x:c>
      <x:c r="I679" s="25" t="str">
        <x:v>Saved definition; runtime/acceptance pending</x:v>
      </x:c>
    </x:row>
    <x:row r="680" ht="59" customHeight="1">
      <x:c r="A680" s="25" t="str">
        <x:v>Discovery cfg_location_coordinate State</x:v>
      </x:c>
      <x:c r="B680" s="25" t="str">
        <x:v>_MissionControl_Measures</x:v>
      </x:c>
      <x:c r="C680" s="25" t="str">
        <x:v>Display/context helper</x:v>
      </x:c>
      <x:c r="D680" s="25" t="str">
        <x:v>Helper/context; not registered as an additional KPI</x:v>
      </x:c>
      <x:c r="E680" s="25" t="str">
        <x:v>No direct saved visual binding</x:v>
      </x:c>
      <x:c r="F680" s="25" t="str">
        <x:v>monitoring.cfg_job_run; monitoring.cfg_location_coordinate; monitoring.rpt_job_run_summary</x:v>
      </x:c>
      <x:c r="G680" s="25" t="str">
        <x:v>VAR n=[Discovery cfg_location_coordinate Rows]
			RETURN IF(n=0,IF([Discovery history selected]=1,"No retained records for this activity selection","No discovery records available"),"Retained records: " &amp; FORMAT(n,"#,0"))</x:v>
      </x:c>
      <x:c r="H680" s="25" t="str">
        <x:v>KPI_LATEST_CALCULATIONS.md#mission-discovery-cfg-location-coordinate-state</x:v>
      </x:c>
      <x:c r="I680" s="25" t="str">
        <x:v>Saved definition; runtime/acceptance pending</x:v>
      </x:c>
    </x:row>
    <x:row r="681" ht="33" customHeight="1">
      <x:c r="A681" s="25" t="str">
        <x:v>Discovery cfg_location_coordinate Visible</x:v>
      </x:c>
      <x:c r="B681" s="25" t="str">
        <x:v>_MissionControl_Measures</x:v>
      </x:c>
      <x:c r="C681" s="25" t="str">
        <x:v>Filter/context helper</x:v>
      </x:c>
      <x:c r="D681" s="25" t="str">
        <x:v>Helper/context; not registered as an additional KPI</x:v>
      </x:c>
      <x:c r="E681" s="25" t="str">
        <x:v>Domains &amp; Reference</x:v>
      </x:c>
      <x:c r="F681" s="25" t="str">
        <x:v>monitoring.cfg_location_coordinate</x:v>
      </x:c>
      <x:c r="G681" s="25" t="str">
        <x:v>IF([Discovery cfg_location_coordinate Rows]&gt;0,1,0)</x:v>
      </x:c>
      <x:c r="H681" s="25" t="str">
        <x:v>KPI_LATEST_CALCULATIONS.md#mission-discovery-cfg-location-coordinate-visible</x:v>
      </x:c>
      <x:c r="I681" s="25" t="str">
        <x:v>Saved definition; runtime/acceptance pending</x:v>
      </x:c>
    </x:row>
    <x:row r="682" ht="85" customHeight="1">
      <x:c r="A682" s="25" t="str">
        <x:v>Discovery cfg_month_end_gold_run Latest key</x:v>
      </x:c>
      <x:c r="B682" s="25" t="str">
        <x:v>_MissionControl_Measures</x:v>
      </x:c>
      <x:c r="C682" s="25" t="str">
        <x:v>Display/context helper</x:v>
      </x:c>
      <x:c r="D682" s="25" t="str">
        <x:v>Helper/context; not registered as an additional KPI</x:v>
      </x:c>
      <x:c r="E682" s="25" t="str">
        <x:v>No direct saved visual binding</x:v>
      </x:c>
      <x:c r="F682" s="25" t="str">
        <x:v>monitoring.cfg_month_end_gold_run</x:v>
      </x:c>
      <x:c r="G682" s="25" t="str">
        <x:v>VAR Batches = CALCULATETABLE(SUMMARIZE(cfg_month_end_gold_run, cfg_month_end_gold_run[run_id], "DiscoveryTime", MAX(cfg_month_end_gold_run[started_at])), ALLSELECTED(cfg_month_end_gold_run))
			VAR LatestBatch = TOPN(1, FILTER(Batches, NOT ISBLANK([DiscoveryTime])), [DiscoveryTime], DESC, cfg_month_end_gold_run[run_id], DESC)
			RETURN MAXX(LatestBatch, cfg_month_end_gold_run[run_id])</x:v>
      </x:c>
      <x:c r="H682" s="25" t="str">
        <x:v>KPI_LATEST_CALCULATIONS.md#mission-discovery-cfg-month-end-gold-run-latest-key</x:v>
      </x:c>
      <x:c r="I682" s="25" t="str">
        <x:v>Saved definition; runtime/acceptance pending</x:v>
      </x:c>
    </x:row>
    <x:row r="683" ht="33" customHeight="1">
      <x:c r="A683" s="25" t="str">
        <x:v>Discovery cfg_month_end_gold_run Latest time</x:v>
      </x:c>
      <x:c r="B683" s="25" t="str">
        <x:v>_MissionControl_Measures</x:v>
      </x:c>
      <x:c r="C683" s="25" t="str">
        <x:v>Filter/context helper</x:v>
      </x:c>
      <x:c r="D683" s="25" t="str">
        <x:v>Helper/context; not registered as an additional KPI</x:v>
      </x:c>
      <x:c r="E683" s="25" t="str">
        <x:v>No direct saved visual binding</x:v>
      </x:c>
      <x:c r="F683" s="25" t="str">
        <x:v>monitoring.cfg_month_end_gold_run</x:v>
      </x:c>
      <x:c r="G683" s="25" t="str">
        <x:v>CALCULATE(MAX(cfg_month_end_gold_run[started_at]), REMOVEFILTERS())</x:v>
      </x:c>
      <x:c r="H683" s="25" t="str">
        <x:v>KPI_LATEST_CALCULATIONS.md#mission-discovery-cfg-month-end-gold-run-latest-time</x:v>
      </x:c>
      <x:c r="I683" s="25" t="str">
        <x:v>Saved definition; runtime/acceptance pending</x:v>
      </x:c>
    </x:row>
    <x:row r="684" ht="46" customHeight="1">
      <x:c r="A684" s="25" t="str">
        <x:v>Discovery cfg_month_end_gold_run Rows</x:v>
      </x:c>
      <x:c r="B684" s="25" t="str">
        <x:v>_MissionControl_Measures</x:v>
      </x:c>
      <x:c r="C684" s="25" t="str">
        <x:v>Operational metric</x:v>
      </x:c>
      <x:c r="D684" s="25" t="str">
        <x:v>MC-KPI-044</x:v>
      </x:c>
      <x:c r="E684" s="25" t="str">
        <x:v>No direct saved visual binding</x:v>
      </x:c>
      <x:c r="F684" s="25" t="str">
        <x:v>monitoring.cfg_month_end_gold_run</x:v>
      </x:c>
      <x:c r="G684" s="25" t="str">
        <x:v>COALESCE(CALCULATE(COUNTROWS(cfg_month_end_gold_run), KEEPFILTERS(TREATAS({[Discovery cfg_month_end_gold_run Latest key]}, cfg_month_end_gold_run[run_id]))), 0)</x:v>
      </x:c>
      <x:c r="H684" s="25" t="str">
        <x:v>KPI_LATEST_CALCULATIONS.md#mission-discovery-cfg-month-end-gold-run-rows</x:v>
      </x:c>
      <x:c r="I684" s="25" t="str">
        <x:v>Saved definition; runtime/acceptance pending</x:v>
      </x:c>
    </x:row>
    <x:row r="685" ht="33" customHeight="1">
      <x:c r="A685" s="25" t="str">
        <x:v>Discovery cfg_month_end_gold_run Selected time</x:v>
      </x:c>
      <x:c r="B685" s="25" t="str">
        <x:v>_MissionControl_Measures</x:v>
      </x:c>
      <x:c r="C685" s="25" t="str">
        <x:v>Filter/context helper</x:v>
      </x:c>
      <x:c r="D685" s="25" t="str">
        <x:v>Helper/context; not registered as an additional KPI</x:v>
      </x:c>
      <x:c r="E685" s="25" t="str">
        <x:v>No direct saved visual binding</x:v>
      </x:c>
      <x:c r="F685" s="25" t="str">
        <x:v>monitoring.cfg_month_end_gold_run</x:v>
      </x:c>
      <x:c r="G685" s="25" t="str">
        <x:v>CALCULATE(MAX(cfg_month_end_gold_run[started_at]), KEEPFILTERS(TREATAS({[Discovery cfg_month_end_gold_run Latest key]}, cfg_month_end_gold_run[run_id])))</x:v>
      </x:c>
      <x:c r="H685" s="25" t="str">
        <x:v>KPI_LATEST_CALCULATIONS.md#mission-discovery-cfg-month-end-gold-run-selected-time</x:v>
      </x:c>
      <x:c r="I685" s="25" t="str">
        <x:v>Saved definition; runtime/acceptance pending</x:v>
      </x:c>
    </x:row>
    <x:row r="686" ht="72" customHeight="1">
      <x:c r="A686" s="25" t="str">
        <x:v>Discovery cfg_month_end_gold_run State</x:v>
      </x:c>
      <x:c r="B686" s="25" t="str">
        <x:v>_MissionControl_Measures</x:v>
      </x:c>
      <x:c r="C686" s="25" t="str">
        <x:v>Display/context helper</x:v>
      </x:c>
      <x:c r="D686" s="25" t="str">
        <x:v>Helper/context; not registered as an additional KPI</x:v>
      </x:c>
      <x:c r="E686" s="25" t="str">
        <x:v>No direct saved visual binding</x:v>
      </x:c>
      <x:c r="F686" s="25" t="str">
        <x:v>monitoring.cfg_job_run; monitoring.cfg_month_end_gold_run; monitoring.rpt_job_run_summary</x:v>
      </x:c>
      <x:c r="G686" s="25" t="str">
        <x:v>VAR n = [Discovery cfg_month_end_gold_run Rows]
			RETURN IF(n = 0,
			    IF([Discovery history selected] = 1, "No retained discovery for this selection", "No discovery records available"),
			    "Retained records: " &amp; FORMAT(n, "#,0"))</x:v>
      </x:c>
      <x:c r="H686" s="25" t="str">
        <x:v>KPI_LATEST_CALCULATIONS.md#mission-discovery-cfg-month-end-gold-run-state</x:v>
      </x:c>
      <x:c r="I686" s="25" t="str">
        <x:v>Saved definition; runtime/acceptance pending</x:v>
      </x:c>
    </x:row>
    <x:row r="687" ht="33" customHeight="1">
      <x:c r="A687" s="25" t="str">
        <x:v>Discovery cfg_month_end_gold_run Visible</x:v>
      </x:c>
      <x:c r="B687" s="25" t="str">
        <x:v>_MissionControl_Measures</x:v>
      </x:c>
      <x:c r="C687" s="25" t="str">
        <x:v>Filter/context helper</x:v>
      </x:c>
      <x:c r="D687" s="25" t="str">
        <x:v>Helper/context; not registered as an additional KPI</x:v>
      </x:c>
      <x:c r="E687" s="25" t="str">
        <x:v>Archive &amp; Replay</x:v>
      </x:c>
      <x:c r="F687" s="25" t="str">
        <x:v>monitoring.cfg_month_end_gold_run</x:v>
      </x:c>
      <x:c r="G687" s="25" t="str">
        <x:v>IF([Discovery cfg_month_end_gold_run Rows] &gt; 0, 1, 0)</x:v>
      </x:c>
      <x:c r="H687" s="25" t="str">
        <x:v>KPI_LATEST_CALCULATIONS.md#mission-discovery-cfg-month-end-gold-run-visible</x:v>
      </x:c>
      <x:c r="I687" s="25" t="str">
        <x:v>Saved definition; runtime/acceptance pending</x:v>
      </x:c>
    </x:row>
    <x:row r="688" ht="98" customHeight="1">
      <x:c r="A688" s="25" t="str">
        <x:v>Discovery cfg_referential_exception Latest key</x:v>
      </x:c>
      <x:c r="B688" s="25" t="str">
        <x:v>_MissionControl_Measures</x:v>
      </x:c>
      <x:c r="C688" s="25" t="str">
        <x:v>Display/context helper</x:v>
      </x:c>
      <x:c r="D688" s="25" t="str">
        <x:v>Helper/context; not registered as an additional KPI</x:v>
      </x:c>
      <x:c r="E688" s="25" t="str">
        <x:v>No direct saved visual binding</x:v>
      </x:c>
      <x:c r="F688" s="25" t="str">
        <x:v>monitoring.cfg_referential_exception</x:v>
      </x:c>
      <x:c r="G688" s="25" t="str">
        <x:v>VAR Batches = CALCULATETABLE(SUMMARIZE(cfg_referential_exception, cfg_referential_exception[run_id],
			    "DiscoveryTime", MAX(cfg_referential_exception[detected_at])), REMOVEFILTERS())
			VAR LatestBatch = TOPN(1, FILTER(Batches, NOT ISBLANK([DiscoveryTime])),
			    [DiscoveryTime], DESC, cfg_referential_exception[run_id], DESC)
			RETURN MAXX(LatestBatch, cfg_referential_exception[run_id])</x:v>
      </x:c>
      <x:c r="H688" s="25" t="str">
        <x:v>KPI_LATEST_CALCULATIONS.md#mission-discovery-cfg-referential-exception-latest-key</x:v>
      </x:c>
      <x:c r="I688" s="25" t="str">
        <x:v>Saved definition; runtime/acceptance pending</x:v>
      </x:c>
    </x:row>
    <x:row r="689" ht="33" customHeight="1">
      <x:c r="A689" s="25" t="str">
        <x:v>Discovery cfg_referential_exception Latest time</x:v>
      </x:c>
      <x:c r="B689" s="25" t="str">
        <x:v>_MissionControl_Measures</x:v>
      </x:c>
      <x:c r="C689" s="25" t="str">
        <x:v>Filter/context helper</x:v>
      </x:c>
      <x:c r="D689" s="25" t="str">
        <x:v>Helper/context; not registered as an additional KPI</x:v>
      </x:c>
      <x:c r="E689" s="25" t="str">
        <x:v>No direct saved visual binding</x:v>
      </x:c>
      <x:c r="F689" s="25" t="str">
        <x:v>monitoring.cfg_referential_exception</x:v>
      </x:c>
      <x:c r="G689" s="25" t="str">
        <x:v>CALCULATE(MAX(cfg_referential_exception[detected_at]), REMOVEFILTERS())</x:v>
      </x:c>
      <x:c r="H689" s="25" t="str">
        <x:v>KPI_LATEST_CALCULATIONS.md#mission-discovery-cfg-referential-exception-latest-time</x:v>
      </x:c>
      <x:c r="I689" s="25" t="str">
        <x:v>Saved definition; runtime/acceptance pending</x:v>
      </x:c>
    </x:row>
    <x:row r="690" ht="163" customHeight="1">
      <x:c r="A690" s="25" t="str">
        <x:v>Discovery cfg_referential_exception Rows</x:v>
      </x:c>
      <x:c r="B690" s="25" t="str">
        <x:v>_MissionControl_Measures</x:v>
      </x:c>
      <x:c r="C690" s="25" t="str">
        <x:v>Operational metric</x:v>
      </x:c>
      <x:c r="D690" s="25" t="str">
        <x:v>MC-KPI-045</x:v>
      </x:c>
      <x:c r="E690" s="25" t="str">
        <x:v>No direct saved visual binding</x:v>
      </x:c>
      <x:c r="F690" s="25" t="str">
        <x:v>monitoring.cfg_job_run; monitoring.cfg_referential_exception; monitoring.rpt_job_run_summary</x:v>
      </x:c>
      <x:c r="G690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JobChosen,CALCULATE(COUNTROWS('cfg_referential_exception'),KEEPFILTERS(FILTER('cfg_referential_exception',(NOT DateChosen || ((NOT ISBLANK('cfg_referential_exception'[detected_at]) &amp;&amp; INT('cfg_referential_exception'[detected_at]) IN Days))) &amp;&amp; (NOT JobChosen || 'cfg_referential_exception'[job_run_id] IN Jobs)))),IF(ISBLANK([Discovery cfg_referential_exception Latest key]),CALCULATE(COUNTROWS('cfg_referential_exception'),KEEPFILTERS(TREATAS({[Discovery cfg_referential_excep
[EXCERPT; complete logic in KPI_LATEST_CALCULATIONS.md]</x:v>
      </x:c>
      <x:c r="H690" s="25" t="str">
        <x:v>KPI_LATEST_CALCULATIONS.md#mission-discovery-cfg-referential-exception-rows</x:v>
      </x:c>
      <x:c r="I690" s="25" t="str">
        <x:v>Saved definition; runtime/acceptance pending</x:v>
      </x:c>
    </x:row>
    <x:row r="691" ht="163" customHeight="1">
      <x:c r="A691" s="25" t="str">
        <x:v>Discovery cfg_referential_exception Selected time</x:v>
      </x:c>
      <x:c r="B691" s="25" t="str">
        <x:v>_MissionControl_Measures</x:v>
      </x:c>
      <x:c r="C691" s="25" t="str">
        <x:v>Filter/context helper</x:v>
      </x:c>
      <x:c r="D691" s="25" t="str">
        <x:v>Helper/context; not registered as an additional KPI</x:v>
      </x:c>
      <x:c r="E691" s="25" t="str">
        <x:v>No direct saved visual binding</x:v>
      </x:c>
      <x:c r="F691" s="25" t="str">
        <x:v>monitoring.cfg_job_run; monitoring.cfg_referential_exception; monitoring.rpt_job_run_summary</x:v>
      </x:c>
      <x:c r="G691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JobChosen,CALCULATE(MAX('cfg_referential_exception'[detected_at]),KEEPFILTERS(FILTER('cfg_referential_exception',(NOT DateChosen || ((NOT ISBLANK('cfg_referential_exception'[detected_at]) &amp;&amp; INT('cfg_referential_exception'[detected_at]) IN Days))) &amp;&amp; (NOT JobChosen || 'cfg_referential_exception'[job_run_id] IN Jobs)))),IF(ISBLANK([Discovery cfg_referential_exception Latest key]),CALCULATE(MAX('cfg_referential_exception'[detected_at]),KEEPFILTERS(TREATAS({[Discovery cfg_referential_e
[EXCERPT; complete logic in KPI_LATEST_CALCULATIONS.md]</x:v>
      </x:c>
      <x:c r="H691" s="25" t="str">
        <x:v>KPI_LATEST_CALCULATIONS.md#mission-discovery-cfg-referential-exception-selected-time</x:v>
      </x:c>
      <x:c r="I691" s="25" t="str">
        <x:v>Saved definition; runtime/acceptance pending</x:v>
      </x:c>
    </x:row>
    <x:row r="692" ht="59" customHeight="1">
      <x:c r="A692" s="25" t="str">
        <x:v>Discovery cfg_referential_exception State</x:v>
      </x:c>
      <x:c r="B692" s="25" t="str">
        <x:v>_MissionControl_Measures</x:v>
      </x:c>
      <x:c r="C692" s="25" t="str">
        <x:v>Display/context helper</x:v>
      </x:c>
      <x:c r="D692" s="25" t="str">
        <x:v>Helper/context; not registered as an additional KPI</x:v>
      </x:c>
      <x:c r="E692" s="25" t="str">
        <x:v>No direct saved visual binding</x:v>
      </x:c>
      <x:c r="F692" s="25" t="str">
        <x:v>monitoring.cfg_job_run; monitoring.cfg_referential_exception; monitoring.rpt_job_run_summary</x:v>
      </x:c>
      <x:c r="G692" s="25" t="str">
        <x:v>VAR n=[Discovery cfg_referential_exception Rows]
			RETURN IF(n=0,IF([Discovery history selected]=1,"No retained records for this activity selection","No discovery records available"),"Retained records: " &amp; FORMAT(n,"#,0"))</x:v>
      </x:c>
      <x:c r="H692" s="25" t="str">
        <x:v>KPI_LATEST_CALCULATIONS.md#mission-discovery-cfg-referential-exception-state</x:v>
      </x:c>
      <x:c r="I692" s="25" t="str">
        <x:v>Saved definition; runtime/acceptance pending</x:v>
      </x:c>
    </x:row>
    <x:row r="693" ht="33" customHeight="1">
      <x:c r="A693" s="25" t="str">
        <x:v>Discovery cfg_referential_exception Visible</x:v>
      </x:c>
      <x:c r="B693" s="25" t="str">
        <x:v>_MissionControl_Measures</x:v>
      </x:c>
      <x:c r="C693" s="25" t="str">
        <x:v>Filter/context helper</x:v>
      </x:c>
      <x:c r="D693" s="25" t="str">
        <x:v>Helper/context; not registered as an additional KPI</x:v>
      </x:c>
      <x:c r="E693" s="25" t="str">
        <x:v>Quality &amp; Exceptions</x:v>
      </x:c>
      <x:c r="F693" s="25" t="str">
        <x:v>monitoring.cfg_job_run; monitoring.cfg_referential_exception; monitoring.rpt_job_run_summary</x:v>
      </x:c>
      <x:c r="G693" s="25" t="str">
        <x:v>IF([Discovery cfg_referential_exception Rows]&gt;0,1,0)</x:v>
      </x:c>
      <x:c r="H693" s="25" t="str">
        <x:v>KPI_LATEST_CALCULATIONS.md#mission-discovery-cfg-referential-exception-visible</x:v>
      </x:c>
      <x:c r="I693" s="25" t="str">
        <x:v>Saved definition; runtime/acceptance pending</x:v>
      </x:c>
    </x:row>
    <x:row r="694" ht="98" customHeight="1">
      <x:c r="A694" s="25" t="str">
        <x:v>Discovery cfg_rejected_row Latest key</x:v>
      </x:c>
      <x:c r="B694" s="25" t="str">
        <x:v>_MissionControl_Measures</x:v>
      </x:c>
      <x:c r="C694" s="25" t="str">
        <x:v>Display/context helper</x:v>
      </x:c>
      <x:c r="D694" s="25" t="str">
        <x:v>Helper/context; not registered as an additional KPI</x:v>
      </x:c>
      <x:c r="E694" s="25" t="str">
        <x:v>No direct saved visual binding</x:v>
      </x:c>
      <x:c r="F694" s="25" t="str">
        <x:v>monitoring.cfg_rejected_row</x:v>
      </x:c>
      <x:c r="G694" s="25" t="str">
        <x:v>VAR Batches = CALCULATETABLE(SUMMARIZE(cfg_rejected_row, cfg_rejected_row[run_id],
			    "DiscoveryTime", MAX(cfg_rejected_row[rejected_at])), REMOVEFILTERS())
			VAR LatestBatch = TOPN(1, FILTER(Batches, NOT ISBLANK([DiscoveryTime])),
			    [DiscoveryTime], DESC, cfg_rejected_row[run_id], DESC)
			RETURN MAXX(LatestBatch, cfg_rejected_row[run_id])</x:v>
      </x:c>
      <x:c r="H694" s="25" t="str">
        <x:v>KPI_LATEST_CALCULATIONS.md#mission-discovery-cfg-rejected-row-latest-key</x:v>
      </x:c>
      <x:c r="I694" s="25" t="str">
        <x:v>Saved definition; runtime/acceptance pending</x:v>
      </x:c>
    </x:row>
    <x:row r="695" ht="33" customHeight="1">
      <x:c r="A695" s="25" t="str">
        <x:v>Discovery cfg_rejected_row Latest time</x:v>
      </x:c>
      <x:c r="B695" s="25" t="str">
        <x:v>_MissionControl_Measures</x:v>
      </x:c>
      <x:c r="C695" s="25" t="str">
        <x:v>Filter/context helper</x:v>
      </x:c>
      <x:c r="D695" s="25" t="str">
        <x:v>Helper/context; not registered as an additional KPI</x:v>
      </x:c>
      <x:c r="E695" s="25" t="str">
        <x:v>No direct saved visual binding</x:v>
      </x:c>
      <x:c r="F695" s="25" t="str">
        <x:v>monitoring.cfg_rejected_row</x:v>
      </x:c>
      <x:c r="G695" s="25" t="str">
        <x:v>CALCULATE(MAX(cfg_rejected_row[rejected_at]), REMOVEFILTERS())</x:v>
      </x:c>
      <x:c r="H695" s="25" t="str">
        <x:v>KPI_LATEST_CALCULATIONS.md#mission-discovery-cfg-rejected-row-latest-time</x:v>
      </x:c>
      <x:c r="I695" s="25" t="str">
        <x:v>Saved definition; runtime/acceptance pending</x:v>
      </x:c>
    </x:row>
    <x:row r="696" ht="176" customHeight="1">
      <x:c r="A696" s="25" t="str">
        <x:v>Discovery cfg_rejected_row Rows</x:v>
      </x:c>
      <x:c r="B696" s="25" t="str">
        <x:v>_MissionControl_Measures</x:v>
      </x:c>
      <x:c r="C696" s="25" t="str">
        <x:v>Operational metric</x:v>
      </x:c>
      <x:c r="D696" s="25" t="str">
        <x:v>MC-KPI-046</x:v>
      </x:c>
      <x:c r="E696" s="25" t="str">
        <x:v>No direct saved visual binding</x:v>
      </x:c>
      <x:c r="F696" s="25" t="str">
        <x:v>monitoring.cfg_job_run; monitoring.cfg_rejected_row; monitoring.rpt_job_run_summary</x:v>
      </x:c>
      <x:c r="G696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JobChosen,CALCULATE(COUNTROWS('cfg_rejected_row'),KEEPFILTERS(FILTER('cfg_rejected_row',(NOT DateChosen || ((NOT ISBLANK('cfg_rejected_row'[rejected_at]) &amp;&amp; INT('cfg_rejected_row'[rejected_at]) IN Days))) &amp;&amp; (NOT JobChosen || 'cfg_rejected_row'[job_run_id] IN Jobs)))),IF(ISBLANK([Discovery cfg_rejected_row Latest key]),CALCULATE(COUNTROWS('cfg_rejected_row'),KEEPFILTERS(TREATAS({[Discovery cfg_rejected_row Latest time] },'cfg_rejected_row'[rejected_at]))),CALCULATE(COUNTROWS('cfg_rejected_row'),KEEPFILTERS(TREATAS({[Discovery cfg_rejected_row Latest key]}, cfg_rejected_row[run_id])))))),0)</x:v>
      </x:c>
      <x:c r="H696" s="25" t="str">
        <x:v>KPI_LATEST_CALCULATIONS.md#mission-discovery-cfg-rejected-row-rows</x:v>
      </x:c>
      <x:c r="I696" s="25" t="str">
        <x:v>Saved definition; runtime/acceptance pending</x:v>
      </x:c>
    </x:row>
    <x:row r="697" ht="176" customHeight="1">
      <x:c r="A697" s="25" t="str">
        <x:v>Discovery cfg_rejected_row Selected time</x:v>
      </x:c>
      <x:c r="B697" s="25" t="str">
        <x:v>_MissionControl_Measures</x:v>
      </x:c>
      <x:c r="C697" s="25" t="str">
        <x:v>Filter/context helper</x:v>
      </x:c>
      <x:c r="D697" s="25" t="str">
        <x:v>Helper/context; not registered as an additional KPI</x:v>
      </x:c>
      <x:c r="E697" s="25" t="str">
        <x:v>No direct saved visual binding</x:v>
      </x:c>
      <x:c r="F697" s="25" t="str">
        <x:v>monitoring.cfg_job_run; monitoring.cfg_rejected_row; monitoring.rpt_job_run_summary</x:v>
      </x:c>
      <x:c r="G697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JobChosen,CALCULATE(MAX('cfg_rejected_row'[rejected_at]),KEEPFILTERS(FILTER('cfg_rejected_row',(NOT DateChosen || ((NOT ISBLANK('cfg_rejected_row'[rejected_at]) &amp;&amp; INT('cfg_rejected_row'[rejected_at]) IN Days))) &amp;&amp; (NOT JobChosen || 'cfg_rejected_row'[job_run_id] IN Jobs)))),IF(ISBLANK([Discovery cfg_rejected_row Latest key]),CALCULATE(MAX('cfg_rejected_row'[rejected_at]),KEEPFILTERS(TREATAS({[Discovery cfg_rejected_row Latest time] },'cfg_rejected_row'[rejected_at]))),CALCULATE(MAX('cfg_rejected_row'[rejected_at]),KEEPFILTERS(TREATAS({[Discovery cfg_rejected_row Latest key]}, cfg_rejected_row[run_id])))))</x:v>
      </x:c>
      <x:c r="H697" s="25" t="str">
        <x:v>KPI_LATEST_CALCULATIONS.md#mission-discovery-cfg-rejected-row-selected-time</x:v>
      </x:c>
      <x:c r="I697" s="25" t="str">
        <x:v>Saved definition; runtime/acceptance pending</x:v>
      </x:c>
    </x:row>
    <x:row r="698" ht="59" customHeight="1">
      <x:c r="A698" s="25" t="str">
        <x:v>Discovery cfg_rejected_row State</x:v>
      </x:c>
      <x:c r="B698" s="25" t="str">
        <x:v>_MissionControl_Measures</x:v>
      </x:c>
      <x:c r="C698" s="25" t="str">
        <x:v>Display/context helper</x:v>
      </x:c>
      <x:c r="D698" s="25" t="str">
        <x:v>Helper/context; not registered as an additional KPI</x:v>
      </x:c>
      <x:c r="E698" s="25" t="str">
        <x:v>No direct saved visual binding</x:v>
      </x:c>
      <x:c r="F698" s="25" t="str">
        <x:v>monitoring.cfg_job_run; monitoring.cfg_rejected_row; monitoring.rpt_job_run_summary</x:v>
      </x:c>
      <x:c r="G698" s="25" t="str">
        <x:v>VAR n=[Discovery cfg_rejected_row Rows]
			RETURN IF(n=0,IF([Discovery history selected]=1,"No retained records for this activity selection","No discovery records available"),"Retained records: " &amp; FORMAT(n,"#,0"))</x:v>
      </x:c>
      <x:c r="H698" s="25" t="str">
        <x:v>KPI_LATEST_CALCULATIONS.md#mission-discovery-cfg-rejected-row-state</x:v>
      </x:c>
      <x:c r="I698" s="25" t="str">
        <x:v>Saved definition; runtime/acceptance pending</x:v>
      </x:c>
    </x:row>
    <x:row r="699" ht="33" customHeight="1">
      <x:c r="A699" s="25" t="str">
        <x:v>Discovery cfg_rejected_row Visible</x:v>
      </x:c>
      <x:c r="B699" s="25" t="str">
        <x:v>_MissionControl_Measures</x:v>
      </x:c>
      <x:c r="C699" s="25" t="str">
        <x:v>Filter/context helper</x:v>
      </x:c>
      <x:c r="D699" s="25" t="str">
        <x:v>Helper/context; not registered as an additional KPI</x:v>
      </x:c>
      <x:c r="E699" s="25" t="str">
        <x:v>Quality &amp; Exceptions</x:v>
      </x:c>
      <x:c r="F699" s="25" t="str">
        <x:v>monitoring.cfg_job_run; monitoring.cfg_rejected_row; monitoring.rpt_job_run_summary</x:v>
      </x:c>
      <x:c r="G699" s="25" t="str">
        <x:v>IF([Discovery cfg_rejected_row Rows]&gt;0,1,0)</x:v>
      </x:c>
      <x:c r="H699" s="25" t="str">
        <x:v>KPI_LATEST_CALCULATIONS.md#mission-discovery-cfg-rejected-row-visible</x:v>
      </x:c>
      <x:c r="I699" s="25" t="str">
        <x:v>Saved definition; runtime/acceptance pending</x:v>
      </x:c>
    </x:row>
    <x:row r="700" ht="33" customHeight="1">
      <x:c r="A700" s="25" t="str">
        <x:v>Discovery cfg_schema_contract_column Latest time</x:v>
      </x:c>
      <x:c r="B700" s="25" t="str">
        <x:v>_MissionControl_Measures</x:v>
      </x:c>
      <x:c r="C700" s="25" t="str">
        <x:v>Filter/context helper</x:v>
      </x:c>
      <x:c r="D700" s="25" t="str">
        <x:v>Helper/context; not registered as an additional KPI</x:v>
      </x:c>
      <x:c r="E700" s="25" t="str">
        <x:v>No direct saved visual binding</x:v>
      </x:c>
      <x:c r="F700" s="25" t="str">
        <x:v>monitoring.cfg_schema_contract_column</x:v>
      </x:c>
      <x:c r="G700" s="25" t="str">
        <x:v>CALCULATE(MAX(cfg_schema_contract_column[contract_loaded_at]), REMOVEFILTERS())</x:v>
      </x:c>
      <x:c r="H700" s="25" t="str">
        <x:v>KPI_LATEST_CALCULATIONS.md#mission-discovery-cfg-schema-contract-column-latest-time</x:v>
      </x:c>
      <x:c r="I700" s="25" t="str">
        <x:v>Saved definition; runtime/acceptance pending</x:v>
      </x:c>
    </x:row>
    <x:row r="701" ht="137" customHeight="1">
      <x:c r="A701" s="25" t="str">
        <x:v>Discovery cfg_schema_contract_column Rows</x:v>
      </x:c>
      <x:c r="B701" s="25" t="str">
        <x:v>_MissionControl_Measures</x:v>
      </x:c>
      <x:c r="C701" s="25" t="str">
        <x:v>Operational metric</x:v>
      </x:c>
      <x:c r="D701" s="25" t="str">
        <x:v>MC-KPI-047</x:v>
      </x:c>
      <x:c r="E701" s="25" t="str">
        <x:v>No direct saved visual binding</x:v>
      </x:c>
      <x:c r="F701" s="25" t="str">
        <x:v>monitoring.cfg_job_run; monitoring.cfg_schema_contract_column; monitoring.rpt_job_run_summary</x:v>
      </x:c>
      <x:c r="G701" s="25" t="str">
        <x:v>COALESCE((VAR DateChosen=ISFILTERED('Load Calendar'[Date])
			VAR JobChosen=ISFILTERED('Discovery Job Runs'[job_run_id])
			VAR Days=VALUES('Load Calendar'[Date])
			VAR Jobs=VALUES('Discovery Job Runs'[job_run_id])
			RETURN IF(DateChosen,CALCULATE(COUNTROWS('cfg_schema_contract_column'),KEEPFILTERS(FILTER('cfg_schema_contract_column',(NOT DateChosen || ((NOT ISBLANK('cfg_schema_contract_column'[contract_loaded_at]) &amp;&amp; INT('cfg_schema_contract_column'[contract_loaded_at]) IN Days)))))),CALCULATE(COUNTROWS('cfg_schema_contract_column'),KEEPFILTERS(TREATAS({[Discovery cfg_schema_contract_column Latest time]}, cfg_schema_contract_column[contract_loaded_at]))))),0)</x:v>
      </x:c>
      <x:c r="H701" s="25" t="str">
        <x:v>KPI_LATEST_CALCULATIONS.md#mission-discovery-cfg-schema-contract-column-rows</x:v>
      </x:c>
      <x:c r="I701" s="25" t="str">
        <x:v>Saved definition; runtime/acceptance pending</x:v>
      </x:c>
    </x:row>
    <x:row r="702" ht="150" customHeight="1">
      <x:c r="A702" s="25" t="str">
        <x:v>Discovery cfg_schema_contract_column Selected time</x:v>
      </x:c>
      <x:c r="B702" s="25" t="str">
        <x:v>_MissionControl_Measures</x:v>
      </x:c>
      <x:c r="C702" s="25" t="str">
        <x:v>Filter/context helper</x:v>
      </x:c>
      <x:c r="D702" s="25" t="str">
        <x:v>Helper/context; not registered as an additional KPI</x:v>
      </x:c>
      <x:c r="E702" s="25" t="str">
        <x:v>No direct saved visual binding</x:v>
      </x:c>
      <x:c r="F702" s="25" t="str">
        <x:v>monitoring.cfg_job_run; monitoring.cfg_schema_contract_column; monitoring.rpt_job_run_summary</x:v>
      </x:c>
      <x:c r="G702" s="25" t="str">
        <x:v>VAR DateChosen=ISFILTERED('Load Calendar'[Date])
			VAR JobChosen=ISFILTERED('Discovery Job Runs'[job_run_id])
			VAR Days=VALUES('Load Calendar'[Date])
			VAR Jobs=VALUES('Discovery Job Runs'[job_run_id])
			RETURN IF(DateChosen,CALCULATE(MAX('cfg_schema_contract_column'[contract_loaded_at]),KEEPFILTERS(FILTER('cfg_schema_contract_column',(NOT DateChosen || ((NOT ISBLANK('cfg_schema_contract_column'[contract_loaded_at]) &amp;&amp; INT('cfg_schema_contract_column'[contract_loaded_at]) IN Days)))))),CALCULATE(MAX('cfg_schema_contract_column'[contract_loaded_at]),KEEPFILTERS(TREATAS({[Discovery cfg_schema_contract_column Latest time]}, cfg_schema_contract_column[contract_loaded_at]))))</x:v>
      </x:c>
      <x:c r="H702" s="25" t="str">
        <x:v>KPI_LATEST_CALCULATIONS.md#mission-discovery-cfg-schema-contract-column-selected-time</x:v>
      </x:c>
      <x:c r="I702" s="25" t="str">
        <x:v>Saved definition; runtime/acceptance pending</x:v>
      </x:c>
    </x:row>
    <x:row r="703" ht="59" customHeight="1">
      <x:c r="A703" s="25" t="str">
        <x:v>Discovery cfg_schema_contract_column State</x:v>
      </x:c>
      <x:c r="B703" s="25" t="str">
        <x:v>_MissionControl_Measures</x:v>
      </x:c>
      <x:c r="C703" s="25" t="str">
        <x:v>Display/context helper</x:v>
      </x:c>
      <x:c r="D703" s="25" t="str">
        <x:v>Helper/context; not registered as an additional KPI</x:v>
      </x:c>
      <x:c r="E703" s="25" t="str">
        <x:v>No direct saved visual binding</x:v>
      </x:c>
      <x:c r="F703" s="25" t="str">
        <x:v>monitoring.cfg_job_run; monitoring.cfg_schema_contract_column; monitoring.rpt_job_run_summary</x:v>
      </x:c>
      <x:c r="G703" s="25" t="str">
        <x:v>VAR n=[Discovery cfg_schema_contract_column Rows]
			RETURN IF(n=0,IF([Discovery history selected]=1,"No retained records for this activity selection","No discovery records available"),"Retained records: " &amp; FORMAT(n,"#,0"))</x:v>
      </x:c>
      <x:c r="H703" s="25" t="str">
        <x:v>KPI_LATEST_CALCULATIONS.md#mission-discovery-cfg-schema-contract-column-state</x:v>
      </x:c>
      <x:c r="I703" s="25" t="str">
        <x:v>Saved definition; runtime/acceptance pending</x:v>
      </x:c>
    </x:row>
    <x:row r="704" ht="46" customHeight="1">
      <x:c r="A704" s="25" t="str">
        <x:v>Discovery cfg_schema_contract_column Visible</x:v>
      </x:c>
      <x:c r="B704" s="25" t="str">
        <x:v>_MissionControl_Measures</x:v>
      </x:c>
      <x:c r="C704" s="25" t="str">
        <x:v>Filter/context helper</x:v>
      </x:c>
      <x:c r="D704" s="25" t="str">
        <x:v>Helper/context; not registered as an additional KPI</x:v>
      </x:c>
      <x:c r="E704" s="25" t="str">
        <x:v>Contracts &amp; Schema</x:v>
      </x:c>
      <x:c r="F704" s="25" t="str">
        <x:v>monitoring.cfg_job_run; monitoring.cfg_schema_contract_column; monitoring.rpt_job_run_summary</x:v>
      </x:c>
      <x:c r="G704" s="25" t="str">
        <x:v>IF([Discovery cfg_schema_contract_column Rows]&gt;0,1,0)</x:v>
      </x:c>
      <x:c r="H704" s="25" t="str">
        <x:v>KPI_LATEST_CALCULATIONS.md#mission-discovery-cfg-schema-contract-column-visible</x:v>
      </x:c>
      <x:c r="I704" s="25" t="str">
        <x:v>Saved definition; runtime/acceptance pending</x:v>
      </x:c>
    </x:row>
    <x:row r="705" ht="33" customHeight="1">
      <x:c r="A705" s="25" t="str">
        <x:v>Discovery cfg_schema_definition_candidate Rows</x:v>
      </x:c>
      <x:c r="B705" s="25" t="str">
        <x:v>_MissionControl_Measures</x:v>
      </x:c>
      <x:c r="C705" s="25" t="str">
        <x:v>Operational metric</x:v>
      </x:c>
      <x:c r="D705" s="25" t="str">
        <x:v>MC-KPI-048</x:v>
      </x:c>
      <x:c r="E705" s="25" t="str">
        <x:v>No direct saved visual binding</x:v>
      </x:c>
      <x:c r="F705" s="25" t="str">
        <x:v>monitoring.cfg_schema_definition_candidate</x:v>
      </x:c>
      <x:c r="G705" s="25" t="str">
        <x:v>COALESCE((COUNTROWS('cfg_schema_definition_candidate')),0)</x:v>
      </x:c>
      <x:c r="H705" s="25" t="str">
        <x:v>KPI_LATEST_CALCULATIONS.md#mission-discovery-cfg-schema-definition-candidate-rows</x:v>
      </x:c>
      <x:c r="I705" s="25" t="str">
        <x:v>Saved definition; runtime/acceptance pending</x:v>
      </x:c>
    </x:row>
    <x:row r="706" ht="59" customHeight="1">
      <x:c r="A706" s="25" t="str">
        <x:v>Discovery cfg_schema_definition_candidate State</x:v>
      </x:c>
      <x:c r="B706" s="25" t="str">
        <x:v>_MissionControl_Measures</x:v>
      </x:c>
      <x:c r="C706" s="25" t="str">
        <x:v>Display/context helper</x:v>
      </x:c>
      <x:c r="D706" s="25" t="str">
        <x:v>Helper/context; not registered as an additional KPI</x:v>
      </x:c>
      <x:c r="E706" s="25" t="str">
        <x:v>No direct saved visual binding</x:v>
      </x:c>
      <x:c r="F706" s="25" t="str">
        <x:v>monitoring.cfg_job_run; monitoring.cfg_schema_definition_candidate; monitoring.rpt_job_run_summary</x:v>
      </x:c>
      <x:c r="G706" s="25" t="str">
        <x:v>VAR n=[Discovery cfg_schema_definition_candidate Rows]
			RETURN IF(n=0,IF([Discovery history selected]=1,"No retained records for this activity selection","No discovery records available"),"Retained records: " &amp; FORMAT(n,"#,0"))</x:v>
      </x:c>
      <x:c r="H706" s="25" t="str">
        <x:v>KPI_LATEST_CALCULATIONS.md#mission-discovery-cfg-schema-definition-candidate-state</x:v>
      </x:c>
      <x:c r="I706" s="25" t="str">
        <x:v>Saved definition; runtime/acceptance pending</x:v>
      </x:c>
    </x:row>
    <x:row r="707" ht="33" customHeight="1">
      <x:c r="A707" s="25" t="str">
        <x:v>Discovery cfg_schema_definition_candidate Visible</x:v>
      </x:c>
      <x:c r="B707" s="25" t="str">
        <x:v>_MissionControl_Measures</x:v>
      </x:c>
      <x:c r="C707" s="25" t="str">
        <x:v>Filter/context helper</x:v>
      </x:c>
      <x:c r="D707" s="25" t="str">
        <x:v>Helper/context; not registered as an additional KPI</x:v>
      </x:c>
      <x:c r="E707" s="25" t="str">
        <x:v>Schema &amp; Drift</x:v>
      </x:c>
      <x:c r="F707" s="25" t="str">
        <x:v>monitoring.cfg_schema_definition_candidate</x:v>
      </x:c>
      <x:c r="G707" s="25" t="str">
        <x:v>IF([Discovery cfg_schema_definition_candidate Rows]&gt;0,1,0)</x:v>
      </x:c>
      <x:c r="H707" s="25" t="str">
        <x:v>KPI_LATEST_CALCULATIONS.md#mission-discovery-cfg-schema-definition-candidate-visible</x:v>
      </x:c>
      <x:c r="I707" s="25" t="str">
        <x:v>Saved definition; runtime/acceptance pending</x:v>
      </x:c>
    </x:row>
    <x:row r="708" ht="33" customHeight="1">
      <x:c r="A708" s="25" t="str">
        <x:v>Discovery cfg_schema_drift_definition Latest time</x:v>
      </x:c>
      <x:c r="B708" s="25" t="str">
        <x:v>_MissionControl_Measures</x:v>
      </x:c>
      <x:c r="C708" s="25" t="str">
        <x:v>Filter/context helper</x:v>
      </x:c>
      <x:c r="D708" s="25" t="str">
        <x:v>Helper/context; not registered as an additional KPI</x:v>
      </x:c>
      <x:c r="E708" s="25" t="str">
        <x:v>No direct saved visual binding</x:v>
      </x:c>
      <x:c r="F708" s="25" t="str">
        <x:v>monitoring.cfg_schema_drift_definition</x:v>
      </x:c>
      <x:c r="G708" s="25" t="str">
        <x:v>CALCULATE(MAX(cfg_schema_drift_definition[definition_loaded_at]), REMOVEFILTERS())</x:v>
      </x:c>
      <x:c r="H708" s="25" t="str">
        <x:v>KPI_LATEST_CALCULATIONS.md#mission-discovery-cfg-schema-drift-definition-latest-time</x:v>
      </x:c>
      <x:c r="I708" s="25" t="str">
        <x:v>Saved definition; runtime/acceptance pending</x:v>
      </x:c>
    </x:row>
    <x:row r="709" ht="150" customHeight="1">
      <x:c r="A709" s="25" t="str">
        <x:v>Discovery cfg_schema_drift_definition Rows</x:v>
      </x:c>
      <x:c r="B709" s="25" t="str">
        <x:v>_MissionControl_Measures</x:v>
      </x:c>
      <x:c r="C709" s="25" t="str">
        <x:v>Operational metric</x:v>
      </x:c>
      <x:c r="D709" s="25" t="str">
        <x:v>MC-KPI-049</x:v>
      </x:c>
      <x:c r="E709" s="25" t="str">
        <x:v>No direct saved visual binding</x:v>
      </x:c>
      <x:c r="F709" s="25" t="str">
        <x:v>monitoring.cfg_job_run; monitoring.cfg_schema_drift_definition; monitoring.rpt_job_run_summary</x:v>
      </x:c>
      <x:c r="G709" s="25" t="str">
        <x:v>COALESCE((VAR DateChosen=ISFILTERED('Load Calendar'[Date])
			VAR JobChosen=ISFILTERED('Discovery Job Runs'[job_run_id])
			VAR Days=VALUES('Load Calendar'[Date])
			VAR Jobs=VALUES('Discovery Job Runs'[job_run_id])
			RETURN IF(DateChosen,CALCULATE(COUNTROWS('cfg_schema_drift_definition'),KEEPFILTERS(FILTER('cfg_schema_drift_definition',(NOT DateChosen || ((NOT ISBLANK('cfg_schema_drift_definition'[definition_loaded_at]) &amp;&amp; INT('cfg_schema_drift_definition'[definition_loaded_at]) IN Days)))))),CALCULATE(COUNTROWS('cfg_schema_drift_definition'),KEEPFILTERS(TREATAS({[Discovery cfg_schema_drift_definition Latest time]}, cfg_schema_drift_definition[definition_loaded_at]))))),0)</x:v>
      </x:c>
      <x:c r="H709" s="25" t="str">
        <x:v>KPI_LATEST_CALCULATIONS.md#mission-discovery-cfg-schema-drift-definition-rows</x:v>
      </x:c>
      <x:c r="I709" s="25" t="str">
        <x:v>Saved definition; runtime/acceptance pending</x:v>
      </x:c>
    </x:row>
    <x:row r="710" ht="150" customHeight="1">
      <x:c r="A710" s="25" t="str">
        <x:v>Discovery cfg_schema_drift_definition Selected time</x:v>
      </x:c>
      <x:c r="B710" s="25" t="str">
        <x:v>_MissionControl_Measures</x:v>
      </x:c>
      <x:c r="C710" s="25" t="str">
        <x:v>Filter/context helper</x:v>
      </x:c>
      <x:c r="D710" s="25" t="str">
        <x:v>Helper/context; not registered as an additional KPI</x:v>
      </x:c>
      <x:c r="E710" s="25" t="str">
        <x:v>No direct saved visual binding</x:v>
      </x:c>
      <x:c r="F710" s="25" t="str">
        <x:v>monitoring.cfg_job_run; monitoring.cfg_schema_drift_definition; monitoring.rpt_job_run_summary</x:v>
      </x:c>
      <x:c r="G710" s="25" t="str">
        <x:v>VAR DateChosen=ISFILTERED('Load Calendar'[Date])
			VAR JobChosen=ISFILTERED('Discovery Job Runs'[job_run_id])
			VAR Days=VALUES('Load Calendar'[Date])
			VAR Jobs=VALUES('Discovery Job Runs'[job_run_id])
			RETURN IF(DateChosen,CALCULATE(MAX('cfg_schema_drift_definition'[definition_loaded_at]),KEEPFILTERS(FILTER('cfg_schema_drift_definition',(NOT DateChosen || ((NOT ISBLANK('cfg_schema_drift_definition'[definition_loaded_at]) &amp;&amp; INT('cfg_schema_drift_definition'[definition_loaded_at]) IN Days)))))),CALCULATE(MAX('cfg_schema_drift_definition'[definition_loaded_at]),KEEPFILTERS(TREATAS({[Discovery cfg_schema_drift_definition Latest time]}, cfg_schema_drift_definition[definition_loaded_at]))))</x:v>
      </x:c>
      <x:c r="H710" s="25" t="str">
        <x:v>KPI_LATEST_CALCULATIONS.md#mission-discovery-cfg-schema-drift-definition-selected-time</x:v>
      </x:c>
      <x:c r="I710" s="25" t="str">
        <x:v>Saved definition; runtime/acceptance pending</x:v>
      </x:c>
    </x:row>
    <x:row r="711" ht="59" customHeight="1">
      <x:c r="A711" s="25" t="str">
        <x:v>Discovery cfg_schema_drift_definition State</x:v>
      </x:c>
      <x:c r="B711" s="25" t="str">
        <x:v>_MissionControl_Measures</x:v>
      </x:c>
      <x:c r="C711" s="25" t="str">
        <x:v>Display/context helper</x:v>
      </x:c>
      <x:c r="D711" s="25" t="str">
        <x:v>Helper/context; not registered as an additional KPI</x:v>
      </x:c>
      <x:c r="E711" s="25" t="str">
        <x:v>No direct saved visual binding</x:v>
      </x:c>
      <x:c r="F711" s="25" t="str">
        <x:v>monitoring.cfg_job_run; monitoring.cfg_schema_drift_definition; monitoring.rpt_job_run_summary</x:v>
      </x:c>
      <x:c r="G711" s="25" t="str">
        <x:v>VAR n=[Discovery cfg_schema_drift_definition Rows]
			RETURN IF(n=0,IF([Discovery history selected]=1,"No retained records for this activity selection","No discovery records available"),"Retained records: " &amp; FORMAT(n,"#,0"))</x:v>
      </x:c>
      <x:c r="H711" s="25" t="str">
        <x:v>KPI_LATEST_CALCULATIONS.md#mission-discovery-cfg-schema-drift-definition-state</x:v>
      </x:c>
      <x:c r="I711" s="25" t="str">
        <x:v>Saved definition; runtime/acceptance pending</x:v>
      </x:c>
    </x:row>
    <x:row r="712" ht="46" customHeight="1">
      <x:c r="A712" s="25" t="str">
        <x:v>Discovery cfg_schema_drift_definition Visible</x:v>
      </x:c>
      <x:c r="B712" s="25" t="str">
        <x:v>_MissionControl_Measures</x:v>
      </x:c>
      <x:c r="C712" s="25" t="str">
        <x:v>Filter/context helper</x:v>
      </x:c>
      <x:c r="D712" s="25" t="str">
        <x:v>Helper/context; not registered as an additional KPI</x:v>
      </x:c>
      <x:c r="E712" s="25" t="str">
        <x:v>Schema &amp; Drift</x:v>
      </x:c>
      <x:c r="F712" s="25" t="str">
        <x:v>monitoring.cfg_job_run; monitoring.cfg_schema_drift_definition; monitoring.rpt_job_run_summary</x:v>
      </x:c>
      <x:c r="G712" s="25" t="str">
        <x:v>IF([Discovery cfg_schema_drift_definition Rows]&gt;0,1,0)</x:v>
      </x:c>
      <x:c r="H712" s="25" t="str">
        <x:v>KPI_LATEST_CALCULATIONS.md#mission-discovery-cfg-schema-drift-definition-visible</x:v>
      </x:c>
      <x:c r="I712" s="25" t="str">
        <x:v>Saved definition; runtime/acceptance pending</x:v>
      </x:c>
    </x:row>
    <x:row r="713" ht="85" customHeight="1">
      <x:c r="A713" s="25" t="str">
        <x:v>Discovery cfg_schema_drift_event Context</x:v>
      </x:c>
      <x:c r="B713" s="25" t="str">
        <x:v>_MissionControl_Measures</x:v>
      </x:c>
      <x:c r="C713" s="25" t="str">
        <x:v>Display/context helper</x:v>
      </x:c>
      <x:c r="D713" s="25" t="str">
        <x:v>Helper/context; not registered as an additional KPI</x:v>
      </x:c>
      <x:c r="E713" s="25" t="str">
        <x:v>Schema &amp; Drift</x:v>
      </x:c>
      <x:c r="F713" s="25" t="str">
        <x:v>monitoring.cfg_job_run; monitoring.cfg_schema_drift_event; monitoring.rpt_job_run_summary</x:v>
      </x:c>
      <x:c r="G713" s="25" t="str">
        <x:v>VAR Day=SELECTEDVALUE('Load Calendar'[Date])
			VAR Time=[Discovery cfg_schema_drift_event Latest time]
			RETURN IF([Discovery history selected]=1,"Historical activity" &amp; IF(NOT ISBLANK(Day)," · " &amp; FORMAT(Day,"dd MMM yyyy")," · linked job"),IF(ISBLANK(Time),"No latest discovery available","Latest discovery · " &amp; FORMAT(Time,"dd MMM yyyy HH:mm")))</x:v>
      </x:c>
      <x:c r="H713" s="25" t="str">
        <x:v>KPI_LATEST_CALCULATIONS.md#mission-discovery-cfg-schema-drift-event-context</x:v>
      </x:c>
      <x:c r="I713" s="25" t="str">
        <x:v>Saved definition; runtime/acceptance pending</x:v>
      </x:c>
    </x:row>
    <x:row r="714" ht="163" customHeight="1">
      <x:c r="A714" s="25" t="str">
        <x:v>Discovery cfg_schema_drift_event Discovery batches</x:v>
      </x:c>
      <x:c r="B714" s="25" t="str">
        <x:v>_MissionControl_Measures</x:v>
      </x:c>
      <x:c r="C714" s="25" t="str">
        <x:v>Operational metric</x:v>
      </x:c>
      <x:c r="D714" s="25" t="str">
        <x:v>MC-KPI-050</x:v>
      </x:c>
      <x:c r="E714" s="25" t="str">
        <x:v>Schema &amp; Drift</x:v>
      </x:c>
      <x:c r="F714" s="25" t="str">
        <x:v>monitoring.cfg_job_run; monitoring.cfg_schema_drift_event; monitoring.rpt_job_run_summary</x:v>
      </x:c>
      <x:c r="G714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JobChosen,CALCULATE(DISTINCTCOUNT('cfg_schema_drift_event'[run_id]),KEEPFILTERS(FILTER('cfg_schema_drift_event',(NOT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
[EXCERPT; complete logic in KPI_LATEST_CALCULATIONS.md]</x:v>
      </x:c>
      <x:c r="H714" s="25" t="str">
        <x:v>KPI_LATEST_CALCULATIONS.md#mission-discovery-cfg-schema-drift-event-discovery-batches</x:v>
      </x:c>
      <x:c r="I714" s="25" t="str">
        <x:v>Saved definition; runtime/acceptance pending</x:v>
      </x:c>
    </x:row>
    <x:row r="715" ht="163" customHeight="1">
      <x:c r="A715" s="25" t="str">
        <x:v>Discovery cfg_schema_drift_event Distinct objects</x:v>
      </x:c>
      <x:c r="B715" s="25" t="str">
        <x:v>_MissionControl_Measures</x:v>
      </x:c>
      <x:c r="C715" s="25" t="str">
        <x:v>Operational metric</x:v>
      </x:c>
      <x:c r="D715" s="25" t="str">
        <x:v>MC-KPI-051</x:v>
      </x:c>
      <x:c r="E715" s="25" t="str">
        <x:v>Schema &amp; Drift</x:v>
      </x:c>
      <x:c r="F715" s="25" t="str">
        <x:v>monitoring.cfg_job_run; monitoring.cfg_schema_drift_event; monitoring.rpt_job_run_summary</x:v>
      </x:c>
      <x:c r="G715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JobChosen,CALCULATE(DISTINCTCOUNT('cfg_schema_drift_event'[target_table]),KEEPFILTERS(FILTER('cfg_schema_drift_event',(NOT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
[EXCERPT; complete logic in KPI_LATEST_CALCULATIONS.md]</x:v>
      </x:c>
      <x:c r="H715" s="25" t="str">
        <x:v>KPI_LATEST_CALCULATIONS.md#mission-discovery-cfg-schema-drift-event-distinct-objects</x:v>
      </x:c>
      <x:c r="I715" s="25" t="str">
        <x:v>Saved definition; runtime/acceptance pending</x:v>
      </x:c>
    </x:row>
    <x:row r="716" ht="98" customHeight="1">
      <x:c r="A716" s="25" t="str">
        <x:v>Discovery cfg_schema_drift_event Latest key</x:v>
      </x:c>
      <x:c r="B716" s="25" t="str">
        <x:v>_MissionControl_Measures</x:v>
      </x:c>
      <x:c r="C716" s="25" t="str">
        <x:v>Display/context helper</x:v>
      </x:c>
      <x:c r="D716" s="25" t="str">
        <x:v>Helper/context; not registered as an additional KPI</x:v>
      </x:c>
      <x:c r="E716" s="25" t="str">
        <x:v>No direct saved visual binding</x:v>
      </x:c>
      <x:c r="F716" s="25" t="str">
        <x:v>monitoring.cfg_schema_drift_event</x:v>
      </x:c>
      <x:c r="G716" s="25" t="str">
        <x:v>VAR Batches = CALCULATETABLE(SUMMARIZE(cfg_schema_drift_event, cfg_schema_drift_event[run_id],
			    "DiscoveryTime", MAX(cfg_schema_drift_event[detected_at])), REMOVEFILTERS())
			VAR LatestBatch = TOPN(1, FILTER(Batches, NOT ISBLANK([DiscoveryTime])),
			    [DiscoveryTime], DESC, cfg_schema_drift_event[run_id], DESC)
			RETURN MAXX(LatestBatch, cfg_schema_drift_event[run_id])</x:v>
      </x:c>
      <x:c r="H716" s="25" t="str">
        <x:v>KPI_LATEST_CALCULATIONS.md#mission-discovery-cfg-schema-drift-event-latest-key</x:v>
      </x:c>
      <x:c r="I716" s="25" t="str">
        <x:v>Saved definition; runtime/acceptance pending</x:v>
      </x:c>
    </x:row>
    <x:row r="717" ht="33" customHeight="1">
      <x:c r="A717" s="25" t="str">
        <x:v>Discovery cfg_schema_drift_event Latest time</x:v>
      </x:c>
      <x:c r="B717" s="25" t="str">
        <x:v>_MissionControl_Measures</x:v>
      </x:c>
      <x:c r="C717" s="25" t="str">
        <x:v>Filter/context helper</x:v>
      </x:c>
      <x:c r="D717" s="25" t="str">
        <x:v>Helper/context; not registered as an additional KPI</x:v>
      </x:c>
      <x:c r="E717" s="25" t="str">
        <x:v>No direct saved visual binding</x:v>
      </x:c>
      <x:c r="F717" s="25" t="str">
        <x:v>monitoring.cfg_schema_drift_event</x:v>
      </x:c>
      <x:c r="G717" s="25" t="str">
        <x:v>CALCULATE(MAX(cfg_schema_drift_event[detected_at]), REMOVEFILTERS())</x:v>
      </x:c>
      <x:c r="H717" s="25" t="str">
        <x:v>KPI_LATEST_CALCULATIONS.md#mission-discovery-cfg-schema-drift-event-latest-time</x:v>
      </x:c>
      <x:c r="I717" s="25" t="str">
        <x:v>Saved definition; runtime/acceptance pending</x:v>
      </x:c>
    </x:row>
    <x:row r="718" ht="163" customHeight="1">
      <x:c r="A718" s="25" t="str">
        <x:v>Discovery cfg_schema_drift_event Rows</x:v>
      </x:c>
      <x:c r="B718" s="25" t="str">
        <x:v>_MissionControl_Measures</x:v>
      </x:c>
      <x:c r="C718" s="25" t="str">
        <x:v>Operational metric</x:v>
      </x:c>
      <x:c r="D718" s="25" t="str">
        <x:v>MC-KPI-052</x:v>
      </x:c>
      <x:c r="E718" s="25" t="str">
        <x:v>Schema &amp; Drift</x:v>
      </x:c>
      <x:c r="F718" s="25" t="str">
        <x:v>monitoring.cfg_job_run; monitoring.cfg_schema_drift_event; monitoring.rpt_job_run_summary</x:v>
      </x:c>
      <x:c r="G718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JobChosen,CALCULATE(COUNTROWS('cfg_schema_drift_event'),KEEPFILTERS(FILTER('cfg_schema_drift_event',(NOT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
[EXCERPT; complete logic in KPI_LATEST_CALCULATIONS.md]</x:v>
      </x:c>
      <x:c r="H718" s="25" t="str">
        <x:v>KPI_LATEST_CALCULATIONS.md#mission-discovery-cfg-schema-drift-event-rows</x:v>
      </x:c>
      <x:c r="I718" s="25" t="str">
        <x:v>Saved definition; runtime/acceptance pending</x:v>
      </x:c>
    </x:row>
    <x:row r="719" ht="163" customHeight="1">
      <x:c r="A719" s="25" t="str">
        <x:v>Discovery cfg_schema_drift_event Scope count</x:v>
      </x:c>
      <x:c r="B719" s="25" t="str">
        <x:v>_MissionControl_Measures</x:v>
      </x:c>
      <x:c r="C719" s="25" t="str">
        <x:v>Operational metric</x:v>
      </x:c>
      <x:c r="D719" s="25" t="str">
        <x:v>MC-KPI-053</x:v>
      </x:c>
      <x:c r="E719" s="25" t="str">
        <x:v>Schema &amp; Drift</x:v>
      </x:c>
      <x:c r="F719" s="25" t="str">
        <x:v>monitoring.cfg_job_run; monitoring.cfg_schema_drift_event; monitoring.rpt_job_run_summary</x:v>
      </x:c>
      <x:c r="G719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JobChosen,CALCULATE(COUNTROWS(SUMMARIZE('cfg_schema_drift_event','cfg_schema_drift_event'[drift_key])),KEEPFILTERS(FILTER('cfg_schema_drift_event',(NOT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
[EXCERPT; complete logic in KPI_LATEST_CALCULATIONS.md]</x:v>
      </x:c>
      <x:c r="H719" s="25" t="str">
        <x:v>KPI_LATEST_CALCULATIONS.md#mission-discovery-cfg-schema-drift-event-scope-count</x:v>
      </x:c>
      <x:c r="I719" s="25" t="str">
        <x:v>Saved definition; runtime/acceptance pending</x:v>
      </x:c>
    </x:row>
    <x:row r="720" ht="163" customHeight="1">
      <x:c r="A720" s="25" t="str">
        <x:v>Discovery cfg_schema_drift_event Selected time</x:v>
      </x:c>
      <x:c r="B720" s="25" t="str">
        <x:v>_MissionControl_Measures</x:v>
      </x:c>
      <x:c r="C720" s="25" t="str">
        <x:v>Filter/context helper</x:v>
      </x:c>
      <x:c r="D720" s="25" t="str">
        <x:v>Helper/context; not registered as an additional KPI</x:v>
      </x:c>
      <x:c r="E720" s="25" t="str">
        <x:v>No direct saved visual binding</x:v>
      </x:c>
      <x:c r="F720" s="25" t="str">
        <x:v>monitoring.cfg_job_run; monitoring.cfg_schema_drift_event; monitoring.rpt_job_run_summary</x:v>
      </x:c>
      <x:c r="G720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JobChosen,CALCULATE(MAX('cfg_schema_drift_event'[detected_at]),KEEPFILTERS(FILTER('cfg_schema_drift_event',(NOT DateChosen ||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
[EXCERPT; complete logic in KPI_LATEST_CALCULATIONS.md]</x:v>
      </x:c>
      <x:c r="H720" s="25" t="str">
        <x:v>KPI_LATEST_CALCULATIONS.md#mission-discovery-cfg-schema-drift-event-selected-time</x:v>
      </x:c>
      <x:c r="I720" s="25" t="str">
        <x:v>Saved definition; runtime/acceptance pending</x:v>
      </x:c>
    </x:row>
    <x:row r="721" ht="59" customHeight="1">
      <x:c r="A721" s="25" t="str">
        <x:v>Discovery cfg_schema_drift_event State</x:v>
      </x:c>
      <x:c r="B721" s="25" t="str">
        <x:v>_MissionControl_Measures</x:v>
      </x:c>
      <x:c r="C721" s="25" t="str">
        <x:v>Display/context helper</x:v>
      </x:c>
      <x:c r="D721" s="25" t="str">
        <x:v>Helper/context; not registered as an additional KPI</x:v>
      </x:c>
      <x:c r="E721" s="25" t="str">
        <x:v>Schema &amp; Drift</x:v>
      </x:c>
      <x:c r="F721" s="25" t="str">
        <x:v>monitoring.cfg_job_run; monitoring.cfg_schema_drift_event; monitoring.rpt_job_run_summary</x:v>
      </x:c>
      <x:c r="G721" s="25" t="str">
        <x:v>VAR n=[Discovery cfg_schema_drift_event Rows]
			RETURN IF(n=0,IF([Discovery history selected]=1,"No retained records for this activity selection","No discovery records available"),"Retained records: " &amp; FORMAT(n,"#,0"))</x:v>
      </x:c>
      <x:c r="H721" s="25" t="str">
        <x:v>KPI_LATEST_CALCULATIONS.md#mission-discovery-cfg-schema-drift-event-state</x:v>
      </x:c>
      <x:c r="I721" s="25" t="str">
        <x:v>Saved definition; runtime/acceptance pending</x:v>
      </x:c>
    </x:row>
    <x:row r="722" ht="33" customHeight="1">
      <x:c r="A722" s="25" t="str">
        <x:v>Discovery cfg_schema_drift_event Visible</x:v>
      </x:c>
      <x:c r="B722" s="25" t="str">
        <x:v>_MissionControl_Measures</x:v>
      </x:c>
      <x:c r="C722" s="25" t="str">
        <x:v>Filter/context helper</x:v>
      </x:c>
      <x:c r="D722" s="25" t="str">
        <x:v>Helper/context; not registered as an additional KPI</x:v>
      </x:c>
      <x:c r="E722" s="25" t="str">
        <x:v>Schema &amp; Drift</x:v>
      </x:c>
      <x:c r="F722" s="25" t="str">
        <x:v>monitoring.cfg_job_run; monitoring.cfg_schema_drift_event; monitoring.rpt_job_run_summary</x:v>
      </x:c>
      <x:c r="G722" s="25" t="str">
        <x:v>IF([Discovery cfg_schema_drift_event Rows]&gt;0,1,0)</x:v>
      </x:c>
      <x:c r="H722" s="25" t="str">
        <x:v>KPI_LATEST_CALCULATIONS.md#mission-discovery-cfg-schema-drift-event-visible</x:v>
      </x:c>
      <x:c r="I722" s="25" t="str">
        <x:v>Saved definition; runtime/acceptance pending</x:v>
      </x:c>
    </x:row>
    <x:row r="723" ht="98" customHeight="1">
      <x:c r="A723" s="25" t="str">
        <x:v>Discovery cfg_silver_export_load Latest key</x:v>
      </x:c>
      <x:c r="B723" s="25" t="str">
        <x:v>_MissionControl_Measures</x:v>
      </x:c>
      <x:c r="C723" s="25" t="str">
        <x:v>Display/context helper</x:v>
      </x:c>
      <x:c r="D723" s="25" t="str">
        <x:v>Helper/context; not registered as an additional KPI</x:v>
      </x:c>
      <x:c r="E723" s="25" t="str">
        <x:v>No direct saved visual binding</x:v>
      </x:c>
      <x:c r="F723" s="25" t="str">
        <x:v>monitoring.cfg_silver_export_load</x:v>
      </x:c>
      <x:c r="G723" s="25" t="str">
        <x:v>VAR Batches = CALCULATETABLE(SUMMARIZE(cfg_silver_export_load, cfg_silver_export_load[run_id],
			    "DiscoveryTime", MAX(cfg_silver_export_load[started_at])), REMOVEFILTERS())
			VAR LatestBatch = TOPN(1, FILTER(Batches, NOT ISBLANK([DiscoveryTime])),
			    [DiscoveryTime], DESC, cfg_silver_export_load[run_id], DESC)
			RETURN MAXX(LatestBatch, cfg_silver_export_load[run_id])</x:v>
      </x:c>
      <x:c r="H723" s="25" t="str">
        <x:v>KPI_LATEST_CALCULATIONS.md#mission-discovery-cfg-silver-export-load-latest-key</x:v>
      </x:c>
      <x:c r="I723" s="25" t="str">
        <x:v>Saved definition; runtime/acceptance pending</x:v>
      </x:c>
    </x:row>
    <x:row r="724" ht="33" customHeight="1">
      <x:c r="A724" s="25" t="str">
        <x:v>Discovery cfg_silver_export_load Latest time</x:v>
      </x:c>
      <x:c r="B724" s="25" t="str">
        <x:v>_MissionControl_Measures</x:v>
      </x:c>
      <x:c r="C724" s="25" t="str">
        <x:v>Filter/context helper</x:v>
      </x:c>
      <x:c r="D724" s="25" t="str">
        <x:v>Helper/context; not registered as an additional KPI</x:v>
      </x:c>
      <x:c r="E724" s="25" t="str">
        <x:v>No direct saved visual binding</x:v>
      </x:c>
      <x:c r="F724" s="25" t="str">
        <x:v>monitoring.cfg_silver_export_load</x:v>
      </x:c>
      <x:c r="G724" s="25" t="str">
        <x:v>CALCULATE(MAX(cfg_silver_export_load[started_at]), REMOVEFILTERS())</x:v>
      </x:c>
      <x:c r="H724" s="25" t="str">
        <x:v>KPI_LATEST_CALCULATIONS.md#mission-discovery-cfg-silver-export-load-latest-time</x:v>
      </x:c>
      <x:c r="I724" s="25" t="str">
        <x:v>Saved definition; runtime/acceptance pending</x:v>
      </x:c>
    </x:row>
    <x:row r="725" ht="163" customHeight="1">
      <x:c r="A725" s="25" t="str">
        <x:v>Discovery cfg_silver_export_load Rows</x:v>
      </x:c>
      <x:c r="B725" s="25" t="str">
        <x:v>_MissionControl_Measures</x:v>
      </x:c>
      <x:c r="C725" s="25" t="str">
        <x:v>Operational metric</x:v>
      </x:c>
      <x:c r="D725" s="25" t="str">
        <x:v>MC-KPI-054</x:v>
      </x:c>
      <x:c r="E725" s="25" t="str">
        <x:v>No direct saved visual binding</x:v>
      </x:c>
      <x:c r="F725" s="25" t="str">
        <x:v>monitoring.cfg_job_run; monitoring.cfg_silver_export_load; monitoring.rpt_job_run_summary</x:v>
      </x:c>
      <x:c r="G725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JobChosen,CALCULATE(COUNTROWS('cfg_silver_export_load'),KEEPFILTERS(FILTER('cfg_silver_export_load',(NOT DateChosen || (NOT ISBLANK(COALESCE(cfg_silver_export_load[last_updated_at],COALESCE(cfg_silver_export_load[ended_at],cfg_silver_export_load[started_at]))) &amp;&amp; INT(COALESCE(cfg_silver_export_load[last_updated_at],COALESCE(cfg_silver_export_load[ended_at],cfg_silver_export_load[started_at]))) IN Days)) &amp;&amp; (NOT JobChosen || 'cfg_silver_export_load'[job_run_id] IN Jobs)))),
[EXCERPT; complete logic in KPI_LATEST_CALCULATIONS.md]</x:v>
      </x:c>
      <x:c r="H725" s="25" t="str">
        <x:v>KPI_LATEST_CALCULATIONS.md#mission-discovery-cfg-silver-export-load-rows</x:v>
      </x:c>
      <x:c r="I725" s="25" t="str">
        <x:v>Saved definition; runtime/acceptance pending</x:v>
      </x:c>
    </x:row>
    <x:row r="726" ht="163" customHeight="1">
      <x:c r="A726" s="25" t="str">
        <x:v>Discovery cfg_silver_export_load Selected time</x:v>
      </x:c>
      <x:c r="B726" s="25" t="str">
        <x:v>_MissionControl_Measures</x:v>
      </x:c>
      <x:c r="C726" s="25" t="str">
        <x:v>Filter/context helper</x:v>
      </x:c>
      <x:c r="D726" s="25" t="str">
        <x:v>Helper/context; not registered as an additional KPI</x:v>
      </x:c>
      <x:c r="E726" s="25" t="str">
        <x:v>No direct saved visual binding</x:v>
      </x:c>
      <x:c r="F726" s="25" t="str">
        <x:v>monitoring.cfg_job_run; monitoring.cfg_silver_export_load; monitoring.rpt_job_run_summary</x:v>
      </x:c>
      <x:c r="G726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JobChosen,CALCULATE(MAX('cfg_silver_export_load'[started_at]),KEEPFILTERS(FILTER('cfg_silver_export_load',(NOT DateChosen || (NOT ISBLANK(COALESCE(cfg_silver_export_load[last_updated_at],COALESCE(cfg_silver_export_load[ended_at],cfg_silver_export_load[started_at]))) &amp;&amp; INT(COALESCE(cfg_silver_export_load[last_updated_at],COALESCE(cfg_silver_export_load[ended_at],cfg_silver_export_load[started_at]))) IN Days)) &amp;&amp; (NOT JobChosen || 'cfg_silver_export_load'[job_run_id] IN Jobs)))),IF(I
[EXCERPT; complete logic in KPI_LATEST_CALCULATIONS.md]</x:v>
      </x:c>
      <x:c r="H726" s="25" t="str">
        <x:v>KPI_LATEST_CALCULATIONS.md#mission-discovery-cfg-silver-export-load-selected-time</x:v>
      </x:c>
      <x:c r="I726" s="25" t="str">
        <x:v>Saved definition; runtime/acceptance pending</x:v>
      </x:c>
    </x:row>
    <x:row r="727" ht="59" customHeight="1">
      <x:c r="A727" s="25" t="str">
        <x:v>Discovery cfg_silver_export_load State</x:v>
      </x:c>
      <x:c r="B727" s="25" t="str">
        <x:v>_MissionControl_Measures</x:v>
      </x:c>
      <x:c r="C727" s="25" t="str">
        <x:v>Display/context helper</x:v>
      </x:c>
      <x:c r="D727" s="25" t="str">
        <x:v>Helper/context; not registered as an additional KPI</x:v>
      </x:c>
      <x:c r="E727" s="25" t="str">
        <x:v>No direct saved visual binding</x:v>
      </x:c>
      <x:c r="F727" s="25" t="str">
        <x:v>monitoring.cfg_job_run; monitoring.cfg_silver_export_load; monitoring.rpt_job_run_summary</x:v>
      </x:c>
      <x:c r="G727" s="25" t="str">
        <x:v>VAR n=[Discovery cfg_silver_export_load Rows]
			RETURN IF(n=0,IF([Discovery history selected]=1,"No retained records for this activity selection","No discovery records available"),"Retained records: " &amp; FORMAT(n,"#,0"))</x:v>
      </x:c>
      <x:c r="H727" s="25" t="str">
        <x:v>KPI_LATEST_CALCULATIONS.md#mission-discovery-cfg-silver-export-load-state</x:v>
      </x:c>
      <x:c r="I727" s="25" t="str">
        <x:v>Saved definition; runtime/acceptance pending</x:v>
      </x:c>
    </x:row>
    <x:row r="728" ht="33" customHeight="1">
      <x:c r="A728" s="25" t="str">
        <x:v>Discovery cfg_silver_export_load Visible</x:v>
      </x:c>
      <x:c r="B728" s="25" t="str">
        <x:v>_MissionControl_Measures</x:v>
      </x:c>
      <x:c r="C728" s="25" t="str">
        <x:v>Filter/context helper</x:v>
      </x:c>
      <x:c r="D728" s="25" t="str">
        <x:v>Helper/context; not registered as an additional KPI</x:v>
      </x:c>
      <x:c r="E728" s="25" t="str">
        <x:v>Load Metrics &amp; Control</x:v>
      </x:c>
      <x:c r="F728" s="25" t="str">
        <x:v>monitoring.cfg_job_run; monitoring.cfg_silver_export_load; monitoring.rpt_job_run_summary</x:v>
      </x:c>
      <x:c r="G728" s="25" t="str">
        <x:v>IF([Discovery cfg_silver_export_load Rows]&gt;0,1,0)</x:v>
      </x:c>
      <x:c r="H728" s="25" t="str">
        <x:v>KPI_LATEST_CALCULATIONS.md#mission-discovery-cfg-silver-export-load-visible</x:v>
      </x:c>
      <x:c r="I728" s="25" t="str">
        <x:v>Saved definition; runtime/acceptance pending</x:v>
      </x:c>
    </x:row>
    <x:row r="729" ht="98" customHeight="1">
      <x:c r="A729" s="25" t="str">
        <x:v>Discovery cfg_silver_load_control Latest key</x:v>
      </x:c>
      <x:c r="B729" s="25" t="str">
        <x:v>_MissionControl_Measures</x:v>
      </x:c>
      <x:c r="C729" s="25" t="str">
        <x:v>Display/context helper</x:v>
      </x:c>
      <x:c r="D729" s="25" t="str">
        <x:v>Helper/context; not registered as an additional KPI</x:v>
      </x:c>
      <x:c r="E729" s="25" t="str">
        <x:v>No direct saved visual binding</x:v>
      </x:c>
      <x:c r="F729" s="25" t="str">
        <x:v>monitoring.cfg_silver_load_control</x:v>
      </x:c>
      <x:c r="G729" s="25" t="str">
        <x:v>VAR Batches = CALCULATETABLE(SUMMARIZE(cfg_silver_load_control, cfg_silver_load_control[run_id],
			    "DiscoveryTime", MAX(cfg_silver_load_control[started_at])), REMOVEFILTERS())
			VAR LatestBatch = TOPN(1, FILTER(Batches, NOT ISBLANK([DiscoveryTime])),
			    [DiscoveryTime], DESC, cfg_silver_load_control[run_id], DESC)
			RETURN MAXX(LatestBatch, cfg_silver_load_control[run_id])</x:v>
      </x:c>
      <x:c r="H729" s="25" t="str">
        <x:v>KPI_LATEST_CALCULATIONS.md#mission-discovery-cfg-silver-load-control-latest-key</x:v>
      </x:c>
      <x:c r="I729" s="25" t="str">
        <x:v>Saved definition; runtime/acceptance pending</x:v>
      </x:c>
    </x:row>
    <x:row r="730" ht="33" customHeight="1">
      <x:c r="A730" s="25" t="str">
        <x:v>Discovery cfg_silver_load_control Latest time</x:v>
      </x:c>
      <x:c r="B730" s="25" t="str">
        <x:v>_MissionControl_Measures</x:v>
      </x:c>
      <x:c r="C730" s="25" t="str">
        <x:v>Filter/context helper</x:v>
      </x:c>
      <x:c r="D730" s="25" t="str">
        <x:v>Helper/context; not registered as an additional KPI</x:v>
      </x:c>
      <x:c r="E730" s="25" t="str">
        <x:v>No direct saved visual binding</x:v>
      </x:c>
      <x:c r="F730" s="25" t="str">
        <x:v>monitoring.cfg_silver_load_control</x:v>
      </x:c>
      <x:c r="G730" s="25" t="str">
        <x:v>CALCULATE(MAX(cfg_silver_load_control[started_at]), REMOVEFILTERS())</x:v>
      </x:c>
      <x:c r="H730" s="25" t="str">
        <x:v>KPI_LATEST_CALCULATIONS.md#mission-discovery-cfg-silver-load-control-latest-time</x:v>
      </x:c>
      <x:c r="I730" s="25" t="str">
        <x:v>Saved definition; runtime/acceptance pending</x:v>
      </x:c>
    </x:row>
    <x:row r="731" ht="163" customHeight="1">
      <x:c r="A731" s="25" t="str">
        <x:v>Discovery cfg_silver_load_control Rows</x:v>
      </x:c>
      <x:c r="B731" s="25" t="str">
        <x:v>_MissionControl_Measures</x:v>
      </x:c>
      <x:c r="C731" s="25" t="str">
        <x:v>Operational metric</x:v>
      </x:c>
      <x:c r="D731" s="25" t="str">
        <x:v>MC-KPI-055</x:v>
      </x:c>
      <x:c r="E731" s="25" t="str">
        <x:v>No direct saved visual binding</x:v>
      </x:c>
      <x:c r="F731" s="25" t="str">
        <x:v>monitoring.cfg_job_run; monitoring.cfg_silver_load_control; monitoring.rpt_job_run_summary</x:v>
      </x:c>
      <x:c r="G731" s="25" t="str">
        <x:v>COALESCE((VAR DateChosen=ISFILTERED('Load Calendar'[Date])
			VAR JobChosen=ISFILTERED('Discovery Job Runs'[job_run_id])
			VAR Days=VALUES('Load Calendar'[Date])
			VAR Jobs=VALUES('Discovery Job Runs'[job_run_id])
			RETURN IF(DateChosen,CALCULATE(COUNTROWS('cfg_silver_load_control'),KEEPFILTERS(FILTER('cfg_silver_load_control',(NOT DateChosen || (NOT ISBLANK(COALESCE(cfg_silver_load_control[ended_at],cfg_silver_load_control[started_at])) &amp;&amp; INT(COALESCE(cfg_silver_load_control[ended_at],cfg_silver_load_control[started_at])) IN Days))))),IF(ISBLANK([Discovery cfg_silver_load_control Latest key]),CALCULATE(COUNTROWS('cfg_silver_load_control'),KEEPFILTERS(TREATAS({[Discovery cfg_silver_load_control Latest time]
[EXCERPT; complete logic in KPI_LATEST_CALCULATIONS.md]</x:v>
      </x:c>
      <x:c r="H731" s="25" t="str">
        <x:v>KPI_LATEST_CALCULATIONS.md#mission-discovery-cfg-silver-load-control-rows</x:v>
      </x:c>
      <x:c r="I731" s="25" t="str">
        <x:v>Saved definition; runtime/acceptance pending</x:v>
      </x:c>
    </x:row>
    <x:row r="732" ht="163" customHeight="1">
      <x:c r="A732" s="25" t="str">
        <x:v>Discovery cfg_silver_load_control Selected time</x:v>
      </x:c>
      <x:c r="B732" s="25" t="str">
        <x:v>_MissionControl_Measures</x:v>
      </x:c>
      <x:c r="C732" s="25" t="str">
        <x:v>Filter/context helper</x:v>
      </x:c>
      <x:c r="D732" s="25" t="str">
        <x:v>Helper/context; not registered as an additional KPI</x:v>
      </x:c>
      <x:c r="E732" s="25" t="str">
        <x:v>No direct saved visual binding</x:v>
      </x:c>
      <x:c r="F732" s="25" t="str">
        <x:v>monitoring.cfg_job_run; monitoring.cfg_silver_load_control; monitoring.rpt_job_run_summary</x:v>
      </x:c>
      <x:c r="G732" s="25" t="str">
        <x:v>VAR DateChosen=ISFILTERED('Load Calendar'[Date])
			VAR JobChosen=ISFILTERED('Discovery Job Runs'[job_run_id])
			VAR Days=VALUES('Load Calendar'[Date])
			VAR Jobs=VALUES('Discovery Job Runs'[job_run_id])
			RETURN IF(DateChosen,CALCULATE(MAX('cfg_silver_load_control'[started_at]),KEEPFILTERS(FILTER('cfg_silver_load_control',(NOT DateChosen || (NOT ISBLANK(COALESCE(cfg_silver_load_control[ended_at],cfg_silver_load_control[started_at])) &amp;&amp; INT(COALESCE(cfg_silver_load_control[ended_at],cfg_silver_load_control[started_at])) IN Days))))),IF(ISBLANK([Discovery cfg_silver_load_control Latest key]),CALCULATE(MAX('cfg_silver_load_control'[started_at]),KEEPFILTERS(TREATAS({[Discovery cfg_silver_load_control Latest tim
[EXCERPT; complete logic in KPI_LATEST_CALCULATIONS.md]</x:v>
      </x:c>
      <x:c r="H732" s="25" t="str">
        <x:v>KPI_LATEST_CALCULATIONS.md#mission-discovery-cfg-silver-load-control-selected-time</x:v>
      </x:c>
      <x:c r="I732" s="25" t="str">
        <x:v>Saved definition; runtime/acceptance pending</x:v>
      </x:c>
    </x:row>
    <x:row r="733" ht="59" customHeight="1">
      <x:c r="A733" s="25" t="str">
        <x:v>Discovery cfg_silver_load_control State</x:v>
      </x:c>
      <x:c r="B733" s="25" t="str">
        <x:v>_MissionControl_Measures</x:v>
      </x:c>
      <x:c r="C733" s="25" t="str">
        <x:v>Display/context helper</x:v>
      </x:c>
      <x:c r="D733" s="25" t="str">
        <x:v>Helper/context; not registered as an additional KPI</x:v>
      </x:c>
      <x:c r="E733" s="25" t="str">
        <x:v>No direct saved visual binding</x:v>
      </x:c>
      <x:c r="F733" s="25" t="str">
        <x:v>monitoring.cfg_job_run; monitoring.cfg_silver_load_control; monitoring.rpt_job_run_summary</x:v>
      </x:c>
      <x:c r="G733" s="25" t="str">
        <x:v>VAR n=[Discovery cfg_silver_load_control Rows]
			RETURN IF(n=0,IF([Discovery history selected]=1,"No retained records for this activity selection","No discovery records available"),"Retained records: " &amp; FORMAT(n,"#,0"))</x:v>
      </x:c>
      <x:c r="H733" s="25" t="str">
        <x:v>KPI_LATEST_CALCULATIONS.md#mission-discovery-cfg-silver-load-control-state</x:v>
      </x:c>
      <x:c r="I733" s="25" t="str">
        <x:v>Saved definition; runtime/acceptance pending</x:v>
      </x:c>
    </x:row>
    <x:row r="734" ht="33" customHeight="1">
      <x:c r="A734" s="25" t="str">
        <x:v>Discovery cfg_silver_load_control Visible</x:v>
      </x:c>
      <x:c r="B734" s="25" t="str">
        <x:v>_MissionControl_Measures</x:v>
      </x:c>
      <x:c r="C734" s="25" t="str">
        <x:v>Filter/context helper</x:v>
      </x:c>
      <x:c r="D734" s="25" t="str">
        <x:v>Helper/context; not registered as an additional KPI</x:v>
      </x:c>
      <x:c r="E734" s="25" t="str">
        <x:v>Load Metrics &amp; Control</x:v>
      </x:c>
      <x:c r="F734" s="25" t="str">
        <x:v>monitoring.cfg_job_run; monitoring.cfg_silver_load_control; monitoring.rpt_job_run_summary</x:v>
      </x:c>
      <x:c r="G734" s="25" t="str">
        <x:v>IF([Discovery cfg_silver_load_control Rows]&gt;0,1,0)</x:v>
      </x:c>
      <x:c r="H734" s="25" t="str">
        <x:v>KPI_LATEST_CALCULATIONS.md#mission-discovery-cfg-silver-load-control-visible</x:v>
      </x:c>
      <x:c r="I734" s="25" t="str">
        <x:v>Saved definition; runtime/acceptance pending</x:v>
      </x:c>
    </x:row>
    <x:row r="735" ht="85" customHeight="1">
      <x:c r="A735" s="25" t="str">
        <x:v>Discovery cfg_table_load_metric Context</x:v>
      </x:c>
      <x:c r="B735" s="25" t="str">
        <x:v>_MissionControl_Measures</x:v>
      </x:c>
      <x:c r="C735" s="25" t="str">
        <x:v>Display/context helper</x:v>
      </x:c>
      <x:c r="D735" s="25" t="str">
        <x:v>Helper/context; not registered as an additional KPI</x:v>
      </x:c>
      <x:c r="E735" s="25" t="str">
        <x:v>Load Metrics &amp; Control</x:v>
      </x:c>
      <x:c r="F735" s="25" t="str">
        <x:v>monitoring.cfg_job_run; monitoring.cfg_table_load_metric; monitoring.rpt_job_run_summary</x:v>
      </x:c>
      <x:c r="G735" s="25" t="str">
        <x:v>VAR Day=SELECTEDVALUE('Load Calendar'[Date])
			VAR Time=[Discovery cfg_table_load_metric Latest time]
			RETURN IF([Discovery history selected]=1,"Historical activity" &amp; IF(NOT ISBLANK(Day)," · " &amp; FORMAT(Day,"dd MMM yyyy")," · linked job"),IF(ISBLANK(Time),"No latest discovery available","Latest discovery · " &amp; FORMAT(Time,"dd MMM yyyy HH:mm")))</x:v>
      </x:c>
      <x:c r="H735" s="25" t="str">
        <x:v>KPI_LATEST_CALCULATIONS.md#mission-discovery-cfg-table-load-metric-context</x:v>
      </x:c>
      <x:c r="I735" s="25" t="str">
        <x:v>Saved definition; runtime/acceptance pending</x:v>
      </x:c>
    </x:row>
    <x:row r="736" ht="163" customHeight="1">
      <x:c r="A736" s="25" t="str">
        <x:v>Discovery cfg_table_load_metric Discovery batches</x:v>
      </x:c>
      <x:c r="B736" s="25" t="str">
        <x:v>_MissionControl_Measures</x:v>
      </x:c>
      <x:c r="C736" s="25" t="str">
        <x:v>Operational metric</x:v>
      </x:c>
      <x:c r="D736" s="25" t="str">
        <x:v>MC-KPI-056</x:v>
      </x:c>
      <x:c r="E736" s="25" t="str">
        <x:v>Load Metrics &amp; Control</x:v>
      </x:c>
      <x:c r="F736" s="25" t="str">
        <x:v>monitoring.cfg_job_run; monitoring.cfg_table_load_metric; monitoring.rpt_job_run_summary</x:v>
      </x:c>
      <x:c r="G736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JobChosen,CALCULATE(DISTINCTCOUNT('cfg_table_load_metric'[run_id]),KEEPFILTERS(FILTER('cfg_table_load_metric',(NOT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key]),CALCULATE(DISTINCTCOUNT('cfg_table_load_metric'[run_id]),KEEPFILTERS(TREATAS({[Discovery cfg_table_load_metric Lat
[EXCERPT; complete logic in KPI_LATEST_CALCULATIONS.md]</x:v>
      </x:c>
      <x:c r="H736" s="25" t="str">
        <x:v>KPI_LATEST_CALCULATIONS.md#mission-discovery-cfg-table-load-metric-discovery-batches</x:v>
      </x:c>
      <x:c r="I736" s="25" t="str">
        <x:v>Saved definition; runtime/acceptance pending</x:v>
      </x:c>
    </x:row>
    <x:row r="737" ht="163" customHeight="1">
      <x:c r="A737" s="25" t="str">
        <x:v>Discovery cfg_table_load_metric Distinct objects</x:v>
      </x:c>
      <x:c r="B737" s="25" t="str">
        <x:v>_MissionControl_Measures</x:v>
      </x:c>
      <x:c r="C737" s="25" t="str">
        <x:v>Operational metric</x:v>
      </x:c>
      <x:c r="D737" s="25" t="str">
        <x:v>MC-KPI-057</x:v>
      </x:c>
      <x:c r="E737" s="25" t="str">
        <x:v>Load Metrics &amp; Control</x:v>
      </x:c>
      <x:c r="F737" s="25" t="str">
        <x:v>monitoring.cfg_job_run; monitoring.cfg_table_load_metric; monitoring.rpt_job_run_summary</x:v>
      </x:c>
      <x:c r="G737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JobChosen,CALCULATE(DISTINCTCOUNT('cfg_table_load_metric'[source_object]),KEEPFILTERS(FILTER('cfg_table_load_metric',(NOT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key]),CALCULATE(DISTINCTCOUNT('cfg_table_load_metric'[source_object]),KEEPFILTERS(TREATAS({[Discovery cfg_table_l
[EXCERPT; complete logic in KPI_LATEST_CALCULATIONS.md]</x:v>
      </x:c>
      <x:c r="H737" s="25" t="str">
        <x:v>KPI_LATEST_CALCULATIONS.md#mission-discovery-cfg-table-load-metric-distinct-objects</x:v>
      </x:c>
      <x:c r="I737" s="25" t="str">
        <x:v>Saved definition; runtime/acceptance pending</x:v>
      </x:c>
    </x:row>
    <x:row r="738" ht="98" customHeight="1">
      <x:c r="A738" s="25" t="str">
        <x:v>Discovery cfg_table_load_metric Latest key</x:v>
      </x:c>
      <x:c r="B738" s="25" t="str">
        <x:v>_MissionControl_Measures</x:v>
      </x:c>
      <x:c r="C738" s="25" t="str">
        <x:v>Display/context helper</x:v>
      </x:c>
      <x:c r="D738" s="25" t="str">
        <x:v>Helper/context; not registered as an additional KPI</x:v>
      </x:c>
      <x:c r="E738" s="25" t="str">
        <x:v>No direct saved visual binding</x:v>
      </x:c>
      <x:c r="F738" s="25" t="str">
        <x:v>monitoring.cfg_table_load_metric</x:v>
      </x:c>
      <x:c r="G738" s="25" t="str">
        <x:v>VAR Batches = CALCULATETABLE(SUMMARIZE(cfg_table_load_metric, cfg_table_load_metric[run_id],
			    "DiscoveryTime", MAX(cfg_table_load_metric[recorded_at])), REMOVEFILTERS())
			VAR LatestBatch = TOPN(1, FILTER(Batches, NOT ISBLANK([DiscoveryTime])),
			    [DiscoveryTime], DESC, cfg_table_load_metric[run_id], DESC)
			RETURN MAXX(LatestBatch, cfg_table_load_metric[run_id])</x:v>
      </x:c>
      <x:c r="H738" s="25" t="str">
        <x:v>KPI_LATEST_CALCULATIONS.md#mission-discovery-cfg-table-load-metric-latest-key</x:v>
      </x:c>
      <x:c r="I738" s="25" t="str">
        <x:v>Saved definition; runtime/acceptance pending</x:v>
      </x:c>
    </x:row>
    <x:row r="739" ht="33" customHeight="1">
      <x:c r="A739" s="25" t="str">
        <x:v>Discovery cfg_table_load_metric Latest time</x:v>
      </x:c>
      <x:c r="B739" s="25" t="str">
        <x:v>_MissionControl_Measures</x:v>
      </x:c>
      <x:c r="C739" s="25" t="str">
        <x:v>Filter/context helper</x:v>
      </x:c>
      <x:c r="D739" s="25" t="str">
        <x:v>Helper/context; not registered as an additional KPI</x:v>
      </x:c>
      <x:c r="E739" s="25" t="str">
        <x:v>No direct saved visual binding</x:v>
      </x:c>
      <x:c r="F739" s="25" t="str">
        <x:v>monitoring.cfg_table_load_metric</x:v>
      </x:c>
      <x:c r="G739" s="25" t="str">
        <x:v>CALCULATE(MAX(cfg_table_load_metric[recorded_at]), REMOVEFILTERS())</x:v>
      </x:c>
      <x:c r="H739" s="25" t="str">
        <x:v>KPI_LATEST_CALCULATIONS.md#mission-discovery-cfg-table-load-metric-latest-time</x:v>
      </x:c>
      <x:c r="I739" s="25" t="str">
        <x:v>Saved definition; runtime/acceptance pending</x:v>
      </x:c>
    </x:row>
    <x:row r="740" ht="163" customHeight="1">
      <x:c r="A740" s="25" t="str">
        <x:v>Discovery cfg_table_load_metric Rows</x:v>
      </x:c>
      <x:c r="B740" s="25" t="str">
        <x:v>_MissionControl_Measures</x:v>
      </x:c>
      <x:c r="C740" s="25" t="str">
        <x:v>Operational metric</x:v>
      </x:c>
      <x:c r="D740" s="25" t="str">
        <x:v>MC-KPI-058</x:v>
      </x:c>
      <x:c r="E740" s="25" t="str">
        <x:v>Load Metrics &amp; Control</x:v>
      </x:c>
      <x:c r="F740" s="25" t="str">
        <x:v>monitoring.cfg_job_run; monitoring.cfg_table_load_metric; monitoring.rpt_job_run_summary</x:v>
      </x:c>
      <x:c r="G740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JobChosen,CALCULATE(COUNTROWS('cfg_table_load_metric'),KEEPFILTERS(FILTER('cfg_table_load_metric',(NOT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key]),CALCULATE(COUNTROWS('cfg_table_load_metric'),KEEPFILTERS(TREATAS({[Discovery cfg_table_load_metric Latest time] },'cfg_table_l
[EXCERPT; complete logic in KPI_LATEST_CALCULATIONS.md]</x:v>
      </x:c>
      <x:c r="H740" s="25" t="str">
        <x:v>KPI_LATEST_CALCULATIONS.md#mission-discovery-cfg-table-load-metric-rows</x:v>
      </x:c>
      <x:c r="I740" s="25" t="str">
        <x:v>Saved definition; runtime/acceptance pending</x:v>
      </x:c>
    </x:row>
    <x:row r="741" ht="163" customHeight="1">
      <x:c r="A741" s="25" t="str">
        <x:v>Discovery cfg_table_load_metric Scope count</x:v>
      </x:c>
      <x:c r="B741" s="25" t="str">
        <x:v>_MissionControl_Measures</x:v>
      </x:c>
      <x:c r="C741" s="25" t="str">
        <x:v>Operational metric</x:v>
      </x:c>
      <x:c r="D741" s="25" t="str">
        <x:v>MC-KPI-059</x:v>
      </x:c>
      <x:c r="E741" s="25" t="str">
        <x:v>Load Metrics &amp; Control</x:v>
      </x:c>
      <x:c r="F741" s="25" t="str">
        <x:v>monitoring.cfg_job_run; monitoring.cfg_table_load_metric; monitoring.rpt_job_run_summary</x:v>
      </x:c>
      <x:c r="G741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JobChosen,CALCULATE(COUNTROWS(SUMMARIZE('cfg_table_load_metric','cfg_table_load_metric'[target_object])),KEEPFILTERS(FILTER('cfg_table_load_metric',(NOT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key]),CALCULATE(COUNTROWS(SUMMARIZE('cfg_table_load_metric','cfg_table_load_metric
[EXCERPT; complete logic in KPI_LATEST_CALCULATIONS.md]</x:v>
      </x:c>
      <x:c r="H741" s="25" t="str">
        <x:v>KPI_LATEST_CALCULATIONS.md#mission-discovery-cfg-table-load-metric-scope-count</x:v>
      </x:c>
      <x:c r="I741" s="25" t="str">
        <x:v>Saved definition; runtime/acceptance pending</x:v>
      </x:c>
    </x:row>
    <x:row r="742" ht="163" customHeight="1">
      <x:c r="A742" s="25" t="str">
        <x:v>Discovery cfg_table_load_metric Selected time</x:v>
      </x:c>
      <x:c r="B742" s="25" t="str">
        <x:v>_MissionControl_Measures</x:v>
      </x:c>
      <x:c r="C742" s="25" t="str">
        <x:v>Filter/context helper</x:v>
      </x:c>
      <x:c r="D742" s="25" t="str">
        <x:v>Helper/context; not registered as an additional KPI</x:v>
      </x:c>
      <x:c r="E742" s="25" t="str">
        <x:v>No direct saved visual binding</x:v>
      </x:c>
      <x:c r="F742" s="25" t="str">
        <x:v>monitoring.cfg_job_run; monitoring.cfg_table_load_metric; monitoring.rpt_job_run_summary</x:v>
      </x:c>
      <x:c r="G742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JobChosen,CALCULATE(MAX('cfg_table_load_metric'[recorded_at]),KEEPFILTERS(FILTER('cfg_table_load_metric',(NOT DateChosen || ((NOT ISBLANK('cfg_table_load_metric'[recorded_at]) &amp;&amp; INT('cfg_table_load_metric'[recorded_at]) IN Days))) &amp;&amp; (NOT JobChosen || 'cfg_table_load_metric'[job_run_id] IN Jobs)))),IF(ISBLANK([Discovery cfg_table_load_metric Latest key]),CALCULATE(MAX('cfg_table_load_metric'[recorded_at]),KEEPFILTERS(TREATAS({[Discovery cfg_table_load_metric Latest time] },'cfg_tab
[EXCERPT; complete logic in KPI_LATEST_CALCULATIONS.md]</x:v>
      </x:c>
      <x:c r="H742" s="25" t="str">
        <x:v>KPI_LATEST_CALCULATIONS.md#mission-discovery-cfg-table-load-metric-selected-time</x:v>
      </x:c>
      <x:c r="I742" s="25" t="str">
        <x:v>Saved definition; runtime/acceptance pending</x:v>
      </x:c>
    </x:row>
    <x:row r="743" ht="59" customHeight="1">
      <x:c r="A743" s="25" t="str">
        <x:v>Discovery cfg_table_load_metric State</x:v>
      </x:c>
      <x:c r="B743" s="25" t="str">
        <x:v>_MissionControl_Measures</x:v>
      </x:c>
      <x:c r="C743" s="25" t="str">
        <x:v>Display/context helper</x:v>
      </x:c>
      <x:c r="D743" s="25" t="str">
        <x:v>Helper/context; not registered as an additional KPI</x:v>
      </x:c>
      <x:c r="E743" s="25" t="str">
        <x:v>Load Metrics &amp; Control</x:v>
      </x:c>
      <x:c r="F743" s="25" t="str">
        <x:v>monitoring.cfg_job_run; monitoring.cfg_table_load_metric; monitoring.rpt_job_run_summary</x:v>
      </x:c>
      <x:c r="G743" s="25" t="str">
        <x:v>VAR n=[Discovery cfg_table_load_metric Rows]
			RETURN IF(n=0,IF([Discovery history selected]=1,"No retained records for this activity selection","No discovery records available"),"Retained records: " &amp; FORMAT(n,"#,0"))</x:v>
      </x:c>
      <x:c r="H743" s="25" t="str">
        <x:v>KPI_LATEST_CALCULATIONS.md#mission-discovery-cfg-table-load-metric-state</x:v>
      </x:c>
      <x:c r="I743" s="25" t="str">
        <x:v>Saved definition; runtime/acceptance pending</x:v>
      </x:c>
    </x:row>
    <x:row r="744" ht="33" customHeight="1">
      <x:c r="A744" s="25" t="str">
        <x:v>Discovery cfg_table_load_metric Visible</x:v>
      </x:c>
      <x:c r="B744" s="25" t="str">
        <x:v>_MissionControl_Measures</x:v>
      </x:c>
      <x:c r="C744" s="25" t="str">
        <x:v>Filter/context helper</x:v>
      </x:c>
      <x:c r="D744" s="25" t="str">
        <x:v>Helper/context; not registered as an additional KPI</x:v>
      </x:c>
      <x:c r="E744" s="25" t="str">
        <x:v>Load Metrics &amp; Control</x:v>
      </x:c>
      <x:c r="F744" s="25" t="str">
        <x:v>monitoring.cfg_job_run; monitoring.cfg_table_load_metric; monitoring.rpt_job_run_summary</x:v>
      </x:c>
      <x:c r="G744" s="25" t="str">
        <x:v>IF([Discovery cfg_table_load_metric Rows]&gt;0,1,0)</x:v>
      </x:c>
      <x:c r="H744" s="25" t="str">
        <x:v>KPI_LATEST_CALCULATIONS.md#mission-discovery-cfg-table-load-metric-visible</x:v>
      </x:c>
      <x:c r="I744" s="25" t="str">
        <x:v>Saved definition; runtime/acceptance pending</x:v>
      </x:c>
    </x:row>
    <x:row r="745" ht="163" customHeight="1">
      <x:c r="A745" s="25" t="str">
        <x:v>Discovery contracts calendar changes</x:v>
      </x:c>
      <x:c r="B745" s="25" t="str">
        <x:v>_MissionControl_Measures</x:v>
      </x:c>
      <x:c r="C745" s="25" t="str">
        <x:v>Operational metric</x:v>
      </x:c>
      <x:c r="D745" s="25" t="str">
        <x:v>MC-KPI-060</x:v>
      </x:c>
      <x:c r="E745" s="25" t="str">
        <x:v>Contracts &amp; Schema</x:v>
      </x:c>
      <x:c r="F745" s="25" t="str">
        <x:v>monitoring.cfg_job_run; monitoring.cfg_schema_drift_event; monitoring.rpt_job_run_summary</x:v>
      </x:c>
      <x:c r="G745" s="25" t="str">
        <x:v>VAR Days=VALUES('Load Calendar'[Date])
			VAR JobChosen=ISFILTERED('Discovery Job Runs'[job_run_id])
			VAR Jobs=VALUES('Discovery Job Runs'[job_run_id])
			RETURN COALESCE(COUNTROWS(SUMMARIZE(FILTER(ALL('cfg_schema_drift_event'),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ISBLANK('cfg_schema_drift_event'[resolved_at]) &amp;&amp; INT('cfg_schema_drift_event'[resolved_at]) IN Days)) &amp;&amp; (TRUE()) &amp;&amp; (NOT JobChosen || 'cfg_schema_drift_event'[job_run_id] IN Jobs)),'cfg_schema_drift_event'[drift_key])),0)</x:v>
      </x:c>
      <x:c r="H745" s="25" t="str">
        <x:v>KPI_LATEST_CALCULATIONS.md#mission-discovery-contracts-calendar-changes</x:v>
      </x:c>
      <x:c r="I745" s="25" t="str">
        <x:v>Saved definition; runtime/acceptance pending</x:v>
      </x:c>
    </x:row>
    <x:row r="746" ht="59" customHeight="1">
      <x:c r="A746" s="25" t="str">
        <x:v>Discovery contracts calendar critical</x:v>
      </x:c>
      <x:c r="B746" s="25" t="str">
        <x:v>_MissionControl_Measures</x:v>
      </x:c>
      <x:c r="C746" s="25" t="str">
        <x:v>Operational metric</x:v>
      </x:c>
      <x:c r="D746" s="25" t="str">
        <x:v>MC-KPI-061</x:v>
      </x:c>
      <x:c r="E746" s="25" t="str">
        <x:v>Contracts &amp; Schema</x:v>
      </x:c>
      <x:c r="F746" s="25" t="str">
        <x:v>monitoring.cfg_job_run; monitoring.rpt_job_run_summary</x:v>
      </x:c>
      <x:c r="G746" s="25" t="str">
        <x:v>VAR Days=VALUES('Load Calendar'[Date])
			VAR JobChosen=ISFILTERED('Discovery Job Runs'[job_run_id])
			VAR Jobs=VALUES('Discovery Job Runs'[job_run_id])
			RETURN COALESCE(0,0)</x:v>
      </x:c>
      <x:c r="H746" s="25" t="str">
        <x:v>KPI_LATEST_CALCULATIONS.md#mission-discovery-contracts-calendar-critical</x:v>
      </x:c>
      <x:c r="I746" s="25" t="str">
        <x:v>Saved definition; runtime/acceptance pending</x:v>
      </x:c>
    </x:row>
    <x:row r="747" ht="150" customHeight="1">
      <x:c r="A747" s="25" t="str">
        <x:v>Discovery contracts calendar discoveries</x:v>
      </x:c>
      <x:c r="B747" s="25" t="str">
        <x:v>_MissionControl_Measures</x:v>
      </x:c>
      <x:c r="C747" s="25" t="str">
        <x:v>Operational metric</x:v>
      </x:c>
      <x:c r="D747" s="25" t="str">
        <x:v>MC-KPI-062</x:v>
      </x:c>
      <x:c r="E747" s="25" t="str">
        <x:v>Contracts &amp; Schema</x:v>
      </x:c>
      <x:c r="F747" s="25" t="str">
        <x:v>monitoring.cfg_bronze_schema_live; monitoring.cfg_job_run; monitoring.cfg_schema_contract_column; monitoring.rpt_job_run_summary</x:v>
      </x:c>
      <x:c r="G747" s="25" t="str">
        <x:v>VAR Days=VALUES('Load Calendar'[Date])
			VAR JobChosen=ISFILTERED('Discovery Job Runs'[job_run_id])
			VAR Jobs=VALUES('Discovery Job Runs'[job_run_id])
			RETURN COALESCE(COUNTROWS(SUMMARIZE(FILTER(ALL('cfg_bronze_schema_live'), ((NOT ISBLANK('cfg_bronze_schema_live'[captured_at]) &amp;&amp; INT('cfg_bronze_schema_live'[captured_at]) IN Days)) &amp;&amp; (TRUE()) &amp;&amp; (NOT JobChosen || 'cfg_bronze_schema_live'[job_run_id] IN Jobs)),'cfg_bronze_schema_live'[run_id])) + COUNTROWS(SUMMARIZE(FILTER(ALL('cfg_schema_contract_column'), ((NOT ISBLANK('cfg_schema_contract_column'[contract_loaded_at]) &amp;&amp; INT('cfg_schema_contract_column'[contract_loaded_at]) IN Days)) &amp;&amp; (TRUE())),'cfg_schema_contract_column'[contract_loaded_at])),0)</x:v>
      </x:c>
      <x:c r="H747" s="25" t="str">
        <x:v>KPI_LATEST_CALCULATIONS.md#mission-discovery-contracts-calendar-discoveries</x:v>
      </x:c>
      <x:c r="I747" s="25" t="str">
        <x:v>Saved definition; runtime/acceptance pending</x:v>
      </x:c>
    </x:row>
    <x:row r="748" ht="163" customHeight="1">
      <x:c r="A748" s="25" t="str">
        <x:v>Discovery contracts calendar linked job visible</x:v>
      </x:c>
      <x:c r="B748" s="25" t="str">
        <x:v>_MissionControl_Measures</x:v>
      </x:c>
      <x:c r="C748" s="25" t="str">
        <x:v>Filter/context helper</x:v>
      </x:c>
      <x:c r="D748" s="25" t="str">
        <x:v>Helper/context; not registered as an additional KPI</x:v>
      </x:c>
      <x:c r="E748" s="25" t="str">
        <x:v>Contracts &amp; Schema</x:v>
      </x:c>
      <x:c r="F748" s="25" t="str">
        <x:v>monitoring.cfg_bronze_schema_live; monitoring.cfg_job_run; monitoring.cfg_schema_drift_event; monitoring.rpt_job_run_summary</x:v>
      </x:c>
      <x:c r="G748" s="25" t="str">
        <x:v>VAR Days=VALUES('Load Calendar'[Date])
			VAR Jobs=VALUES('Discovery Job Runs'[job_run_id])
			RETURN IF(COUNTROWS(FILTER(ALL('cfg_schema_drift_event'),((NOT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ISBLANK('cfg_schema_drift_event'[resolved_at]) &amp;&amp; INT('cfg_schema_drift_event'[resolved_at]) IN Days)) &amp;&amp; (TRUE()) &amp;&amp; 'cfg_schema_drift_event'[job_run_id] IN Jobs)) + COUNTROWS(FILTER(ALL('cfg_bronze_schema_liv
[EXCERPT; complete logic in KPI_LATEST_CALCULATIONS.md]</x:v>
      </x:c>
      <x:c r="H748" s="25" t="str">
        <x:v>KPI_LATEST_CALCULATIONS.md#mission-discovery-contracts-calendar-linked-job-visible</x:v>
      </x:c>
      <x:c r="I748" s="25" t="str">
        <x:v>Saved definition; runtime/acceptance pending</x:v>
      </x:c>
    </x:row>
    <x:row r="749" ht="98" customHeight="1">
      <x:c r="A749" s="25" t="str">
        <x:v>Discovery domains calendar changes</x:v>
      </x:c>
      <x:c r="B749" s="25" t="str">
        <x:v>_MissionControl_Measures</x:v>
      </x:c>
      <x:c r="C749" s="25" t="str">
        <x:v>Operational metric</x:v>
      </x:c>
      <x:c r="D749" s="25" t="str">
        <x:v>MC-KPI-063</x:v>
      </x:c>
      <x:c r="E749" s="25" t="str">
        <x:v>Domains &amp; Reference</x:v>
      </x:c>
      <x:c r="F749" s="25" t="str">
        <x:v>monitoring.cfg_data_domain; monitoring.cfg_job_run; monitoring.rpt_job_run_summary</x:v>
      </x:c>
      <x:c r="G749" s="25" t="str">
        <x:v>VAR Days=VALUES('Load Calendar'[Date])
			VAR JobChosen=ISFILTERED('Discovery Job Runs'[job_run_id])
			VAR Jobs=VALUES('Discovery Job Runs'[job_run_id])
			RETURN COALESCE(COUNTROWS(FILTER(ALL('cfg_data_domain'), ((NOT ISBLANK('cfg_data_domain'[profiled_at]) &amp;&amp; INT('cfg_data_domain'[profiled_at]) IN Days)) &amp;&amp; (cfg_data_domain[change_type] IN {"ADDED","REMOVED"}) &amp;&amp; (NOT JobChosen || 'cfg_data_domain'[job_run_id] IN Jobs))),0)</x:v>
      </x:c>
      <x:c r="H749" s="25" t="str">
        <x:v>KPI_LATEST_CALCULATIONS.md#mission-discovery-domains-calendar-changes</x:v>
      </x:c>
      <x:c r="I749" s="25" t="str">
        <x:v>Saved definition; runtime/acceptance pending</x:v>
      </x:c>
    </x:row>
    <x:row r="750" ht="59" customHeight="1">
      <x:c r="A750" s="25" t="str">
        <x:v>Discovery domains calendar critical</x:v>
      </x:c>
      <x:c r="B750" s="25" t="str">
        <x:v>_MissionControl_Measures</x:v>
      </x:c>
      <x:c r="C750" s="25" t="str">
        <x:v>Operational metric</x:v>
      </x:c>
      <x:c r="D750" s="25" t="str">
        <x:v>MC-KPI-064</x:v>
      </x:c>
      <x:c r="E750" s="25" t="str">
        <x:v>Domains &amp; Reference</x:v>
      </x:c>
      <x:c r="F750" s="25" t="str">
        <x:v>monitoring.cfg_job_run; monitoring.rpt_job_run_summary</x:v>
      </x:c>
      <x:c r="G750" s="25" t="str">
        <x:v>VAR Days=VALUES('Load Calendar'[Date])
			VAR JobChosen=ISFILTERED('Discovery Job Runs'[job_run_id])
			VAR Jobs=VALUES('Discovery Job Runs'[job_run_id])
			RETURN COALESCE(0,0)</x:v>
      </x:c>
      <x:c r="H750" s="25" t="str">
        <x:v>KPI_LATEST_CALCULATIONS.md#mission-discovery-domains-calendar-critical</x:v>
      </x:c>
      <x:c r="I750" s="25" t="str">
        <x:v>Saved definition; runtime/acceptance pending</x:v>
      </x:c>
    </x:row>
    <x:row r="751" ht="98" customHeight="1">
      <x:c r="A751" s="25" t="str">
        <x:v>Discovery domains calendar discoveries</x:v>
      </x:c>
      <x:c r="B751" s="25" t="str">
        <x:v>_MissionControl_Measures</x:v>
      </x:c>
      <x:c r="C751" s="25" t="str">
        <x:v>Operational metric</x:v>
      </x:c>
      <x:c r="D751" s="25" t="str">
        <x:v>MC-KPI-065</x:v>
      </x:c>
      <x:c r="E751" s="25" t="str">
        <x:v>Domains &amp; Reference</x:v>
      </x:c>
      <x:c r="F751" s="25" t="str">
        <x:v>monitoring.cfg_data_domain; monitoring.cfg_job_run; monitoring.rpt_job_run_summary</x:v>
      </x:c>
      <x:c r="G751" s="25" t="str">
        <x:v>VAR Days=VALUES('Load Calendar'[Date])
			VAR JobChosen=ISFILTERED('Discovery Job Runs'[job_run_id])
			VAR Jobs=VALUES('Discovery Job Runs'[job_run_id])
			RETURN COALESCE(COUNTROWS(SUMMARIZE(FILTER(ALL('cfg_data_domain'), ((NOT ISBLANK('cfg_data_domain'[profiled_at]) &amp;&amp; INT('cfg_data_domain'[profiled_at]) IN Days)) &amp;&amp; (TRUE()) &amp;&amp; (NOT JobChosen || 'cfg_data_domain'[job_run_id] IN Jobs)),'cfg_data_domain'[run_id])),0)</x:v>
      </x:c>
      <x:c r="H751" s="25" t="str">
        <x:v>KPI_LATEST_CALCULATIONS.md#mission-discovery-domains-calendar-discoveries</x:v>
      </x:c>
      <x:c r="I751" s="25" t="str">
        <x:v>Saved definition; runtime/acceptance pending</x:v>
      </x:c>
    </x:row>
    <x:row r="752" ht="72" customHeight="1">
      <x:c r="A752" s="25" t="str">
        <x:v>Discovery domains calendar linked job visible</x:v>
      </x:c>
      <x:c r="B752" s="25" t="str">
        <x:v>_MissionControl_Measures</x:v>
      </x:c>
      <x:c r="C752" s="25" t="str">
        <x:v>Filter/context helper</x:v>
      </x:c>
      <x:c r="D752" s="25" t="str">
        <x:v>Helper/context; not registered as an additional KPI</x:v>
      </x:c>
      <x:c r="E752" s="25" t="str">
        <x:v>Domains &amp; Reference</x:v>
      </x:c>
      <x:c r="F752" s="25" t="str">
        <x:v>monitoring.cfg_data_domain; monitoring.cfg_job_run; monitoring.rpt_job_run_summary</x:v>
      </x:c>
      <x:c r="G752" s="25" t="str">
        <x:v>VAR Days=VALUES('Load Calendar'[Date])
			VAR Jobs=VALUES('Discovery Job Runs'[job_run_id])
			RETURN IF(COUNTROWS(FILTER(ALL('cfg_data_domain'),((NOT ISBLANK('cfg_data_domain'[profiled_at]) &amp;&amp; INT('cfg_data_domain'[profiled_at]) IN Days)) &amp;&amp; (TRUE()) &amp;&amp; 'cfg_data_domain'[job_run_id] IN Jobs))&gt;0,1,0)</x:v>
      </x:c>
      <x:c r="H752" s="25" t="str">
        <x:v>KPI_LATEST_CALCULATIONS.md#mission-discovery-domains-calendar-linked-job-visible</x:v>
      </x:c>
      <x:c r="I752" s="25" t="str">
        <x:v>Saved definition; runtime/acceptance pending</x:v>
      </x:c>
    </x:row>
    <x:row r="753" ht="163" customHeight="1">
      <x:c r="A753" s="25" t="str">
        <x:v>Discovery drift calendar changes</x:v>
      </x:c>
      <x:c r="B753" s="25" t="str">
        <x:v>_MissionControl_Measures</x:v>
      </x:c>
      <x:c r="C753" s="25" t="str">
        <x:v>Operational metric</x:v>
      </x:c>
      <x:c r="D753" s="25" t="str">
        <x:v>MC-KPI-066</x:v>
      </x:c>
      <x:c r="E753" s="25" t="str">
        <x:v>Schema &amp; Drift</x:v>
      </x:c>
      <x:c r="F753" s="25" t="str">
        <x:v>monitoring.cfg_job_run; monitoring.cfg_schema_drift_event; monitoring.rpt_job_run_summary</x:v>
      </x:c>
      <x:c r="G753" s="25" t="str">
        <x:v>VAR Days=VALUES('Load Calendar'[Date])
			VAR JobChosen=ISFILTERED('Discovery Job Runs'[job_run_id])
			VAR Jobs=VALUES('Discovery Job Runs'[job_run_id])
			RETURN COALESCE(COUNTROWS(SUMMARIZE(FILTER(ALL('cfg_schema_drift_event'), 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ISBLANK('cfg_schema_drift_event'[resolved_at]) &amp;&amp; INT('cfg_schema_drift_event'[resolved_at]) IN Days)) &amp;&amp; (TRUE()) &amp;&amp; (NOT JobChosen || 'cfg_schema_drift_event'[job_run_id] IN Jobs)),'cfg_schema_drift_event'[drift_key])),0)</x:v>
      </x:c>
      <x:c r="H753" s="25" t="str">
        <x:v>KPI_LATEST_CALCULATIONS.md#mission-discovery-drift-calendar-changes</x:v>
      </x:c>
      <x:c r="I753" s="25" t="str">
        <x:v>Saved definition; runtime/acceptance pending</x:v>
      </x:c>
    </x:row>
    <x:row r="754" ht="59" customHeight="1">
      <x:c r="A754" s="25" t="str">
        <x:v>Discovery drift calendar critical</x:v>
      </x:c>
      <x:c r="B754" s="25" t="str">
        <x:v>_MissionControl_Measures</x:v>
      </x:c>
      <x:c r="C754" s="25" t="str">
        <x:v>Operational metric</x:v>
      </x:c>
      <x:c r="D754" s="25" t="str">
        <x:v>MC-KPI-067</x:v>
      </x:c>
      <x:c r="E754" s="25" t="str">
        <x:v>Schema &amp; Drift</x:v>
      </x:c>
      <x:c r="F754" s="25" t="str">
        <x:v>monitoring.cfg_job_run; monitoring.rpt_job_run_summary</x:v>
      </x:c>
      <x:c r="G754" s="25" t="str">
        <x:v>VAR Days=VALUES('Load Calendar'[Date])
			VAR JobChosen=ISFILTERED('Discovery Job Runs'[job_run_id])
			VAR Jobs=VALUES('Discovery Job Runs'[job_run_id])
			RETURN COALESCE(0,0)</x:v>
      </x:c>
      <x:c r="H754" s="25" t="str">
        <x:v>KPI_LATEST_CALCULATIONS.md#mission-discovery-drift-calendar-critical</x:v>
      </x:c>
      <x:c r="I754" s="25" t="str">
        <x:v>Saved definition; runtime/acceptance pending</x:v>
      </x:c>
    </x:row>
    <x:row r="755" ht="98" customHeight="1">
      <x:c r="A755" s="25" t="str">
        <x:v>Discovery drift calendar discoveries</x:v>
      </x:c>
      <x:c r="B755" s="25" t="str">
        <x:v>_MissionControl_Measures</x:v>
      </x:c>
      <x:c r="C755" s="25" t="str">
        <x:v>Operational metric</x:v>
      </x:c>
      <x:c r="D755" s="25" t="str">
        <x:v>MC-KPI-068</x:v>
      </x:c>
      <x:c r="E755" s="25" t="str">
        <x:v>Schema &amp; Drift</x:v>
      </x:c>
      <x:c r="F755" s="25" t="str">
        <x:v>monitoring.cfg_job_run; monitoring.cfg_schema_drift_definition; monitoring.rpt_job_run_summary</x:v>
      </x:c>
      <x:c r="G755" s="25" t="str">
        <x:v>VAR Days=VALUES('Load Calendar'[Date])
			VAR JobChosen=ISFILTERED('Discovery Job Runs'[job_run_id])
			VAR Jobs=VALUES('Discovery Job Runs'[job_run_id])
			RETURN COALESCE(COUNTROWS(SUMMARIZE(FILTER(ALL('cfg_schema_drift_definition'), ((NOT ISBLANK('cfg_schema_drift_definition'[definition_loaded_at]) &amp;&amp; INT('cfg_schema_drift_definition'[definition_loaded_at]) IN Days)) &amp;&amp; (TRUE())),'cfg_schema_drift_definition'[definition_loaded_at])),0)</x:v>
      </x:c>
      <x:c r="H755" s="25" t="str">
        <x:v>KPI_LATEST_CALCULATIONS.md#mission-discovery-drift-calendar-discoveries</x:v>
      </x:c>
      <x:c r="I755" s="25" t="str">
        <x:v>Saved definition; runtime/acceptance pending</x:v>
      </x:c>
    </x:row>
    <x:row r="756" ht="137" customHeight="1">
      <x:c r="A756" s="25" t="str">
        <x:v>Discovery drift calendar linked job visible</x:v>
      </x:c>
      <x:c r="B756" s="25" t="str">
        <x:v>_MissionControl_Measures</x:v>
      </x:c>
      <x:c r="C756" s="25" t="str">
        <x:v>Filter/context helper</x:v>
      </x:c>
      <x:c r="D756" s="25" t="str">
        <x:v>Helper/context; not registered as an additional KPI</x:v>
      </x:c>
      <x:c r="E756" s="25" t="str">
        <x:v>Schema &amp; Drift</x:v>
      </x:c>
      <x:c r="F756" s="25" t="str">
        <x:v>monitoring.cfg_job_run; monitoring.cfg_schema_drift_event; monitoring.rpt_job_run_summary</x:v>
      </x:c>
      <x:c r="G756" s="25" t="str">
        <x:v>VAR Days=VALUES('Load Calendar'[Date])
			VAR Jobs=VALUES('Discovery Job Runs'[job_run_id])
			RETURN IF(COUNTROWS(FILTER(ALL('cfg_schema_drift_event'),((NOT ISBLANK('cfg_schema_drift_event'[first_detected_at]) &amp;&amp; INT('cfg_schema_drift_event'[first_detected_at]) IN Days) || (NOT ISBLANK('cfg_schema_drift_event'[detected_at]) &amp;&amp; INT('cfg_schema_drift_event'[detected_at]) IN Days) || (NOT ISBLANK('cfg_schema_drift_event'[last_detected_at]) &amp;&amp; INT('cfg_schema_drift_event'[last_detected_at]) IN Days) || (NOT ISBLANK('cfg_schema_drift_event'[resolved_at]) &amp;&amp; INT('cfg_schema_drift_event'[resolved_at]) IN Days)) &amp;&amp; (TRUE()) &amp;&amp; 'cfg_schema_drift_event'[job_run_id] IN Jobs))&gt;0,1,0)</x:v>
      </x:c>
      <x:c r="H756" s="25" t="str">
        <x:v>KPI_LATEST_CALCULATIONS.md#mission-discovery-drift-calendar-linked-job-visible</x:v>
      </x:c>
      <x:c r="I756" s="25" t="str">
        <x:v>Saved definition; runtime/acceptance pending</x:v>
      </x:c>
    </x:row>
    <x:row r="757" ht="33" customHeight="1">
      <x:c r="A757" s="25" t="str">
        <x:v>Discovery history selected</x:v>
      </x:c>
      <x:c r="B757" s="25" t="str">
        <x:v>_MissionControl_Measures</x:v>
      </x:c>
      <x:c r="C757" s="25" t="str">
        <x:v>Filter/context helper</x:v>
      </x:c>
      <x:c r="D757" s="25" t="str">
        <x:v>Helper/context; not registered as an additional KPI</x:v>
      </x:c>
      <x:c r="E757" s="25" t="str">
        <x:v>No direct saved visual binding</x:v>
      </x:c>
      <x:c r="F757" s="25" t="str">
        <x:v>monitoring.cfg_job_run; monitoring.rpt_job_run_summary</x:v>
      </x:c>
      <x:c r="G757" s="25" t="str">
        <x:v>IF(ISFILTERED('Load Calendar'[Date]) || ISFILTERED('Discovery Job Runs'[job_run_id]), 1, 0)</x:v>
      </x:c>
      <x:c r="H757" s="25" t="str">
        <x:v>KPI_LATEST_CALCULATIONS.md#mission-discovery-history-selected</x:v>
      </x:c>
      <x:c r="I757" s="25" t="str">
        <x:v>Saved definition; runtime/acceptance pending</x:v>
      </x:c>
    </x:row>
    <x:row r="758" ht="46" customHeight="1">
      <x:c r="A758" s="25" t="str">
        <x:v>Discovery job picker visible</x:v>
      </x:c>
      <x:c r="B758" s="25" t="str">
        <x:v>_MissionControl_Measures</x:v>
      </x:c>
      <x:c r="C758" s="25" t="str">
        <x:v>Filter/context helper</x:v>
      </x:c>
      <x:c r="D758" s="25" t="str">
        <x:v>Helper/context; not registered as an additional KPI</x:v>
      </x:c>
      <x:c r="E758" s="25" t="str">
        <x:v>No direct saved visual binding</x:v>
      </x:c>
      <x:c r="F758" s="25" t="str">
        <x:v>monitoring.cfg_job_run; monitoring.rpt_job_run_summary</x:v>
      </x:c>
      <x:c r="G758" s="25" t="str">
        <x:v>IF(CALCULATE(COUNTROWS('Discovery Job Runs'),
			    KEEPFILTERS(TREATAS(VALUES('Load Calendar'[Date]), 'Discovery Job Runs'[Run Date]))) &gt; 0, 1, 0)</x:v>
      </x:c>
      <x:c r="H758" s="25" t="str">
        <x:v>KPI_LATEST_CALCULATIONS.md#mission-discovery-job-picker-visible</x:v>
      </x:c>
      <x:c r="I758" s="25" t="str">
        <x:v>Saved definition; runtime/acceptance pending</x:v>
      </x:c>
    </x:row>
    <x:row r="759" ht="176" customHeight="1">
      <x:c r="A759" s="25" t="str">
        <x:v>Discovery lineage calendar changes</x:v>
      </x:c>
      <x:c r="B759" s="25" t="str">
        <x:v>_MissionControl_Measures</x:v>
      </x:c>
      <x:c r="C759" s="25" t="str">
        <x:v>Operational metric</x:v>
      </x:c>
      <x:c r="D759" s="25" t="str">
        <x:v>MC-KPI-069</x:v>
      </x:c>
      <x:c r="E759" s="25" t="str">
        <x:v>Lineage &amp; Step Summary</x:v>
      </x:c>
      <x:c r="F759" s="25" t="str">
        <x:v>monitoring.cfg_job_run; monitoring.rpt_job_layer_lineage; monitoring.rpt_job_run_summary; monitoring.rpt_job_step_summary</x:v>
      </x:c>
      <x:c r="G759" s="25" t="str">
        <x:v>VAR Days=VALUES('Load Calendar'[Date])
			VAR JobChosen=ISFILTERED('Discovery Job Runs'[job_run_id])
			VAR Jobs=VALUES('Discovery Job Runs'[job_run_id])
			RETURN COALESCE(COUNTROWS(FILTER(ALL('rpt_job_layer_lineage'), ((NOT ISBLANK('rpt_job_layer_lineage'[observed_at]) &amp;&amp; INT('rpt_job_layer_lineage'[observed_at]) IN Days)) &amp;&amp; ((UPPER(COALESCE(rpt_job_layer_lineage[lineage_status],""))
			    IN {"FAIL","FAILED","FAILURE","ERROR","MISSING","UNMATCHED","BROKEN","NOT_FOUND","STALE"}) || COALESCE(rpt_job_layer_lineage[duplicate_key_count],0)&gt;0) &amp;&amp; (NOT JobChosen || 'rpt_job_layer_lineage'[job_run_id] IN Jobs))) + COUNTROWS(FILTER(ALL('rpt_job_step_summary'), (NOT ISBLANK(COALESCE(rpt_job_step_summary[ended_at],rp
[EXCERPT; complete logic in KPI_LATEST_CALCULATIONS.md]</x:v>
      </x:c>
      <x:c r="H759" s="25" t="str">
        <x:v>KPI_LATEST_CALCULATIONS.md#mission-discovery-lineage-calendar-changes</x:v>
      </x:c>
      <x:c r="I759" s="25" t="str">
        <x:v>Saved definition; runtime/acceptance pending</x:v>
      </x:c>
    </x:row>
    <x:row r="760" ht="176" customHeight="1">
      <x:c r="A760" s="25" t="str">
        <x:v>Discovery lineage calendar critical</x:v>
      </x:c>
      <x:c r="B760" s="25" t="str">
        <x:v>_MissionControl_Measures</x:v>
      </x:c>
      <x:c r="C760" s="25" t="str">
        <x:v>Operational metric</x:v>
      </x:c>
      <x:c r="D760" s="25" t="str">
        <x:v>MC-KPI-070</x:v>
      </x:c>
      <x:c r="E760" s="25" t="str">
        <x:v>Lineage &amp; Step Summary</x:v>
      </x:c>
      <x:c r="F760" s="25" t="str">
        <x:v>monitoring.cfg_job_run; monitoring.rpt_job_layer_lineage; monitoring.rpt_job_run_summary; monitoring.rpt_job_step_summary</x:v>
      </x:c>
      <x:c r="G760" s="25" t="str">
        <x:v>VAR Days=VALUES('Load Calendar'[Date])
			VAR JobChosen=ISFILTERED('Discovery Job Runs'[job_run_id])
			VAR Jobs=VALUES('Discovery Job Runs'[job_run_id])
			RETURN COALESCE(COUNTROWS(FILTER(ALL('rpt_job_layer_lineage'), ((NOT ISBLANK('rpt_job_layer_lineage'[observed_at]) &amp;&amp; INT('rpt_job_layer_lineage'[observed_at]) IN Days)) &amp;&amp; (UPPER(COALESCE(rpt_job_layer_lineage[lineage_status],""))
			    IN {"FAIL","FAILED","FAILURE","ERROR","MISSING","UNMATCHED","BROKEN","NOT_FOUND","STALE"}) &amp;&amp; (NOT JobChosen || 'rpt_job_layer_lineage'[job_run_id] IN Jobs))) + COUNTROWS(FILTER(ALL('rpt_job_step_summary'), (NOT ISBLANK(COALESCE(rpt_job_step_summary[ended_at],rpt_job_step_summary[started_at])) &amp;&amp; INT(COALESCE(rpt_job_step_
[EXCERPT; complete logic in KPI_LATEST_CALCULATIONS.md]</x:v>
      </x:c>
      <x:c r="H760" s="25" t="str">
        <x:v>KPI_LATEST_CALCULATIONS.md#mission-discovery-lineage-calendar-critical</x:v>
      </x:c>
      <x:c r="I760" s="25" t="str">
        <x:v>Saved definition; runtime/acceptance pending</x:v>
      </x:c>
    </x:row>
    <x:row r="761" ht="98" customHeight="1">
      <x:c r="A761" s="25" t="str">
        <x:v>Discovery lineage calendar discoveries</x:v>
      </x:c>
      <x:c r="B761" s="25" t="str">
        <x:v>_MissionControl_Measures</x:v>
      </x:c>
      <x:c r="C761" s="25" t="str">
        <x:v>Operational metric</x:v>
      </x:c>
      <x:c r="D761" s="25" t="str">
        <x:v>MC-KPI-071</x:v>
      </x:c>
      <x:c r="E761" s="25" t="str">
        <x:v>Lineage &amp; Step Summary</x:v>
      </x:c>
      <x:c r="F761" s="25" t="str">
        <x:v>monitoring.cfg_job_run; monitoring.rpt_job_layer_lineage; monitoring.rpt_job_run_summary</x:v>
      </x:c>
      <x:c r="G761" s="25" t="str">
        <x:v>VAR Days=VALUES('Load Calendar'[Date])
			VAR JobChosen=ISFILTERED('Discovery Job Runs'[job_run_id])
			VAR Jobs=VALUES('Discovery Job Runs'[job_run_id])
			RETURN COALESCE(COUNTROWS(SUMMARIZE(FILTER(ALL('rpt_job_layer_lineage'), ((NOT ISBLANK('rpt_job_layer_lineage'[observed_at]) &amp;&amp; INT('rpt_job_layer_lineage'[observed_at]) IN Days)) &amp;&amp; (TRUE()) &amp;&amp; (NOT JobChosen || 'rpt_job_layer_lineage'[job_run_id] IN Jobs)),'rpt_job_layer_lineage'[job_run_id])),0)</x:v>
      </x:c>
      <x:c r="H761" s="25" t="str">
        <x:v>KPI_LATEST_CALCULATIONS.md#mission-discovery-lineage-calendar-discoveries</x:v>
      </x:c>
      <x:c r="I761" s="25" t="str">
        <x:v>Saved definition; runtime/acceptance pending</x:v>
      </x:c>
    </x:row>
    <x:row r="762" ht="163" customHeight="1">
      <x:c r="A762" s="25" t="str">
        <x:v>Discovery lineage calendar linked job visible</x:v>
      </x:c>
      <x:c r="B762" s="25" t="str">
        <x:v>_MissionControl_Measures</x:v>
      </x:c>
      <x:c r="C762" s="25" t="str">
        <x:v>Filter/context helper</x:v>
      </x:c>
      <x:c r="D762" s="25" t="str">
        <x:v>Helper/context; not registered as an additional KPI</x:v>
      </x:c>
      <x:c r="E762" s="25" t="str">
        <x:v>Lineage &amp; Step Summary</x:v>
      </x:c>
      <x:c r="F762" s="25" t="str">
        <x:v>monitoring.cfg_job_run; monitoring.rpt_job_layer_lineage; monitoring.rpt_job_run_summary; monitoring.rpt_job_step_summary</x:v>
      </x:c>
      <x:c r="G762" s="25" t="str">
        <x:v>VAR Days=VALUES('Load Calendar'[Date])
			VAR Jobs=VALUES('Discovery Job Runs'[job_run_id])
			RETURN IF(COUNTROWS(FILTER(ALL('rpt_job_layer_lineage'),((NOT ISBLANK('rpt_job_layer_lineage'[observed_at]) &amp;&amp; INT('rpt_job_layer_lineage'[observed_at]) IN Days)) &amp;&amp; ((UPPER(COALESCE(rpt_job_layer_lineage[lineage_status],""))
			    IN {"FAIL","FAILED","FAILURE","ERROR","MISSING","UNMATCHED","BROKEN","NOT_FOUND","STALE"}) || COALESCE(rpt_job_layer_lineage[duplicate_key_count],0)&gt;0) &amp;&amp; 'rpt_job_layer_lineage'[job_run_id] IN Jobs)) + COUNTROWS(FILTER(ALL('rpt_job_step_summary'),(NOT ISBLANK(COALESCE(rpt_job_step_summary[ended_at],rpt_job_step_summary[started_at])) &amp;&amp; INT(COALESCE(rpt_job_step_summary[ended_at],rpt_job_s
[EXCERPT; complete logic in KPI_LATEST_CALCULATIONS.md]</x:v>
      </x:c>
      <x:c r="H762" s="25" t="str">
        <x:v>KPI_LATEST_CALCULATIONS.md#mission-discovery-lineage-calendar-linked-job-visible</x:v>
      </x:c>
      <x:c r="I762" s="25" t="str">
        <x:v>Saved definition; runtime/acceptance pending</x:v>
      </x:c>
    </x:row>
    <x:row r="763" ht="163" customHeight="1">
      <x:c r="A763" s="25" t="str">
        <x:v>Discovery loads calendar changes</x:v>
      </x:c>
      <x:c r="B763" s="25" t="str">
        <x:v>_MissionControl_Measures</x:v>
      </x:c>
      <x:c r="C763" s="25" t="str">
        <x:v>Operational metric</x:v>
      </x:c>
      <x:c r="D763" s="25" t="str">
        <x:v>MC-KPI-072</x:v>
      </x:c>
      <x:c r="E763" s="25" t="str">
        <x:v>Load Metrics &amp; Control</x:v>
      </x:c>
      <x:c r="F763" s="25" t="str">
        <x:v>monitoring.cfg_job_run; monitoring.cfg_silver_export_load; monitoring.cfg_silver_load_control; monitoring.cfg_table_load_metric; monitoring.rpt_job_run_summary</x:v>
      </x:c>
      <x:c r="G763" s="25" t="str">
        <x:v>VAR Days=VALUES('Load Calendar'[Date])
			VAR JobChosen=ISFILTERED('Discovery Job Runs'[job_run_id])
			VAR Jobs=VALUES('Discovery Job Runs'[job_run_id])
			RETURN COALESCE(COUNTROWS(FILTER(ALL('cfg_table_load_metric'), ((NOT ISBLANK('cfg_table_load_metric'[recorded_at]) &amp;&amp; INT('cfg_table_load_metric'[recorded_at]) IN Days)) &amp;&amp; (COALESCE(cfg_table_load_metric[duplicate_key_count],0)&gt;0 || COALESCE(cfg_table_load_metric[null_primary_key_count],0)&gt;0) &amp;&amp; (NOT JobChosen || 'cfg_table_load_metric'[job_run_id] IN Jobs))) + COUNTROWS(FILTER(ALL('cfg_silver_export_load'), (NOT ISBLANK(COALESCE(cfg_silver_export_load[last_updated_at],COALESCE(cfg_silver_export_load[ended_at],cfg_silver_export_load[started_at]))) &amp;&amp; INT(C
[EXCERPT; complete logic in KPI_LATEST_CALCULATIONS.md]</x:v>
      </x:c>
      <x:c r="H763" s="25" t="str">
        <x:v>KPI_LATEST_CALCULATIONS.md#mission-discovery-loads-calendar-changes</x:v>
      </x:c>
      <x:c r="I763" s="25" t="str">
        <x:v>Saved definition; runtime/acceptance pending</x:v>
      </x:c>
    </x:row>
    <x:row r="764" ht="163" customHeight="1">
      <x:c r="A764" s="25" t="str">
        <x:v>Discovery loads calendar critical</x:v>
      </x:c>
      <x:c r="B764" s="25" t="str">
        <x:v>_MissionControl_Measures</x:v>
      </x:c>
      <x:c r="C764" s="25" t="str">
        <x:v>Operational metric</x:v>
      </x:c>
      <x:c r="D764" s="25" t="str">
        <x:v>MC-KPI-073</x:v>
      </x:c>
      <x:c r="E764" s="25" t="str">
        <x:v>Load Metrics &amp; Control</x:v>
      </x:c>
      <x:c r="F764" s="25" t="str">
        <x:v>monitoring.cfg_job_run; monitoring.cfg_silver_export_load; monitoring.cfg_silver_load_control; monitoring.cfg_table_load_metric; monitoring.rpt_job_run_summary</x:v>
      </x:c>
      <x:c r="G764" s="25" t="str">
        <x:v>VAR Days=VALUES('Load Calendar'[Date])
			VAR JobChosen=ISFILTERED('Discovery Job Runs'[job_run_id])
			VAR Jobs=VALUES('Discovery Job Runs'[job_run_id])
			RETURN COALESCE(COUNTROWS(FILTER(ALL('cfg_table_load_metric'), ((NOT ISBLANK('cfg_table_load_metric'[recorded_at]) &amp;&amp; INT('cfg_table_load_metric'[recorded_at]) IN Days)) &amp;&amp; (COALESCE(cfg_table_load_metric[null_primary_key_count],0)&gt;0) &amp;&amp; (NOT JobChosen || 'cfg_table_load_metric'[job_run_id] IN Jobs))) + COUNTROWS(FILTER(ALL('cfg_silver_export_load'), (NOT ISBLANK(COALESCE(cfg_silver_export_load[last_updated_at],COALESCE(cfg_silver_export_load[ended_at],cfg_silver_export_load[started_at]))) &amp;&amp; INT(COALESCE(cfg_silver_export_load[last_updated_at],COALESCE(cfg
[EXCERPT; complete logic in KPI_LATEST_CALCULATIONS.md]</x:v>
      </x:c>
      <x:c r="H764" s="25" t="str">
        <x:v>KPI_LATEST_CALCULATIONS.md#mission-discovery-loads-calendar-critical</x:v>
      </x:c>
      <x:c r="I764" s="25" t="str">
        <x:v>Saved definition; runtime/acceptance pending</x:v>
      </x:c>
    </x:row>
    <x:row r="765" ht="163" customHeight="1">
      <x:c r="A765" s="25" t="str">
        <x:v>Discovery loads calendar discoveries</x:v>
      </x:c>
      <x:c r="B765" s="25" t="str">
        <x:v>_MissionControl_Measures</x:v>
      </x:c>
      <x:c r="C765" s="25" t="str">
        <x:v>Operational metric</x:v>
      </x:c>
      <x:c r="D765" s="25" t="str">
        <x:v>MC-KPI-074</x:v>
      </x:c>
      <x:c r="E765" s="25" t="str">
        <x:v>Load Metrics &amp; Control</x:v>
      </x:c>
      <x:c r="F765" s="25" t="str">
        <x:v>monitoring.cfg_job_run; monitoring.cfg_silver_export_load; monitoring.cfg_silver_load_control; monitoring.cfg_table_load_metric; monitoring.rpt_job_run_summary</x:v>
      </x:c>
      <x:c r="G765" s="25" t="str">
        <x:v>VAR Days=VALUES('Load Calendar'[Date])
			VAR JobChosen=ISFILTERED('Discovery Job Runs'[job_run_id])
			VAR Jobs=VALUES('Discovery Job Runs'[job_run_id])
			RETURN COALESCE(COUNTROWS(SUMMARIZE(FILTER(ALL('cfg_table_load_metric'), ((NOT ISBLANK('cfg_table_load_metric'[recorded_at]) &amp;&amp; INT('cfg_table_load_metric'[recorded_at]) IN Days)) &amp;&amp; (TRUE()) &amp;&amp; (NOT JobChosen || 'cfg_table_load_metric'[job_run_id] IN Jobs)),'cfg_table_load_metric'[run_id])) + COUNTROWS(SUMMARIZE(FILTER(ALL('cfg_silver_export_load'), (NOT ISBLANK(COALESCE(cfg_silver_export_load[last_updated_at],COALESCE(cfg_silver_export_load[ended_at],cfg_silver_export_load[started_at]))) &amp;&amp; INT(COALESCE(cfg_silver_export_load[last_updated_at],COALESCE(cfg
[EXCERPT; complete logic in KPI_LATEST_CALCULATIONS.md]</x:v>
      </x:c>
      <x:c r="H765" s="25" t="str">
        <x:v>KPI_LATEST_CALCULATIONS.md#mission-discovery-loads-calendar-discoveries</x:v>
      </x:c>
      <x:c r="I765" s="25" t="str">
        <x:v>Saved definition; runtime/acceptance pending</x:v>
      </x:c>
    </x:row>
    <x:row r="766" ht="163" customHeight="1">
      <x:c r="A766" s="25" t="str">
        <x:v>Discovery loads calendar linked job visible</x:v>
      </x:c>
      <x:c r="B766" s="25" t="str">
        <x:v>_MissionControl_Measures</x:v>
      </x:c>
      <x:c r="C766" s="25" t="str">
        <x:v>Filter/context helper</x:v>
      </x:c>
      <x:c r="D766" s="25" t="str">
        <x:v>Helper/context; not registered as an additional KPI</x:v>
      </x:c>
      <x:c r="E766" s="25" t="str">
        <x:v>Load Metrics &amp; Control</x:v>
      </x:c>
      <x:c r="F766" s="25" t="str">
        <x:v>monitoring.cfg_job_run; monitoring.cfg_silver_export_load; monitoring.cfg_table_load_metric; monitoring.rpt_job_run_summary</x:v>
      </x:c>
      <x:c r="G766" s="25" t="str">
        <x:v>VAR Days=VALUES('Load Calendar'[Date])
			VAR Jobs=VALUES('Discovery Job Runs'[job_run_id])
			RETURN IF(COUNTROWS(FILTER(ALL('cfg_table_load_metric'),((NOT ISBLANK('cfg_table_load_metric'[recorded_at]) &amp;&amp; INT('cfg_table_load_metric'[recorded_at]) IN Days)) &amp;&amp; (COALESCE(cfg_table_load_metric[duplicate_key_count],0)&gt;0 || COALESCE(cfg_table_load_metric[null_primary_key_count],0)&gt;0) &amp;&amp; 'cfg_table_load_metric'[job_run_id] IN Jobs)) + COUNTROWS(FILTER(ALL('cfg_silver_export_load'),(NOT ISBLANK(COALESCE(cfg_silver_export_load[last_updated_at],COALESCE(cfg_silver_export_load[ended_at],cfg_silver_export_load[started_at]))) &amp;&amp; INT(COALESCE(cfg_silver_export_load[last_updated_at],COALESCE(cfg_silver_export_load[ended_at]
[EXCERPT; complete logic in KPI_LATEST_CALCULATIONS.md]</x:v>
      </x:c>
      <x:c r="H766" s="25" t="str">
        <x:v>KPI_LATEST_CALCULATIONS.md#mission-discovery-loads-calendar-linked-job-visible</x:v>
      </x:c>
      <x:c r="I766" s="25" t="str">
        <x:v>Saved definition; runtime/acceptance pending</x:v>
      </x:c>
    </x:row>
    <x:row r="767" ht="163" customHeight="1">
      <x:c r="A767" s="25" t="str">
        <x:v>Discovery quality calendar changes</x:v>
      </x:c>
      <x:c r="B767" s="25" t="str">
        <x:v>_MissionControl_Measures</x:v>
      </x:c>
      <x:c r="C767" s="25" t="str">
        <x:v>Operational metric</x:v>
      </x:c>
      <x:c r="D767" s="25" t="str">
        <x:v>MC-KPI-075</x:v>
      </x:c>
      <x:c r="E767" s="25" t="str">
        <x:v>Quality &amp; Exceptions</x:v>
      </x:c>
      <x:c r="F767" s="25" t="str">
        <x:v>monitoring.cfg_job_run; monitoring.cfg_referential_exception; monitoring.cfg_rejected_row; monitoring.rpt_job_data_quality; monitoring.rpt_job_run_summary</x:v>
      </x:c>
      <x:c r="G767" s="25" t="str">
        <x:v>VAR Days=VALUES('Load Calendar'[Date])
			VAR JobChosen=ISFILTERED('Discovery Job Runs'[job_run_id])
			VAR Jobs=VALUES('Discovery Job Runs'[job_run_id])
			RETURN COALESCE(COUNTROWS(FILTER(ALL('rpt_job_data_quality'), ((NOT ISBLANK('rpt_job_data_quality'[checked_at]) &amp;&amp; INT('rpt_job_data_quality'[checked_at]) IN Days)) &amp;&amp; (COALESCE(rpt_job_data_quality[failed_row_count],0)&gt;0
			    || COALESCE(rpt_job_data_quality[rejected_key_count],0)&gt;0
			    || COALESCE(rpt_job_data_quality[referential_exception_count],0)&gt;0
			    || UPPER(COALESCE(rpt_job_data_quality[status],"")) IN {"FAIL","FAILED","FAILURE","ERROR"}) &amp;&amp; (NOT JobChosen || 'rpt_job_data_quality'[job_run_id] IN Jobs))) + COUNTROWS(FILTER(ALL('cfg_rejected
[EXCERPT; complete logic in KPI_LATEST_CALCULATIONS.md]</x:v>
      </x:c>
      <x:c r="H767" s="25" t="str">
        <x:v>KPI_LATEST_CALCULATIONS.md#mission-discovery-quality-calendar-changes</x:v>
      </x:c>
      <x:c r="I767" s="25" t="str">
        <x:v>Saved definition; runtime/acceptance pending</x:v>
      </x:c>
    </x:row>
    <x:row r="768" ht="163" customHeight="1">
      <x:c r="A768" s="25" t="str">
        <x:v>Discovery quality calendar critical</x:v>
      </x:c>
      <x:c r="B768" s="25" t="str">
        <x:v>_MissionControl_Measures</x:v>
      </x:c>
      <x:c r="C768" s="25" t="str">
        <x:v>Operational metric</x:v>
      </x:c>
      <x:c r="D768" s="25" t="str">
        <x:v>MC-KPI-076</x:v>
      </x:c>
      <x:c r="E768" s="25" t="str">
        <x:v>Quality &amp; Exceptions</x:v>
      </x:c>
      <x:c r="F768" s="25" t="str">
        <x:v>monitoring.cfg_job_run; monitoring.rpt_job_data_quality; monitoring.rpt_job_run_summary</x:v>
      </x:c>
      <x:c r="G768" s="25" t="str">
        <x:v>VAR Days=VALUES('Load Calendar'[Date])
			VAR JobChosen=ISFILTERED('Discovery Job Runs'[job_run_id])
			VAR Jobs=VALUES('Discovery Job Runs'[job_run_id])
			RETURN COALESCE(COUNTROWS(FILTER(ALL('rpt_job_data_quality'), ((NOT ISBLANK('rpt_job_data_quality'[checked_at]) &amp;&amp; INT('rpt_job_data_quality'[checked_at]) IN Days)) &amp;&amp; ((COALESCE(rpt_job_data_quality[failed_row_count],0)&gt;0
			    || COALESCE(rpt_job_data_quality[rejected_key_count],0)&gt;0
			    || COALESCE(rpt_job_data_quality[referential_exception_count],0)&gt;0
			    || UPPER(COALESCE(rpt_job_data_quality[status],"")) IN {"FAIL","FAILED","FAILURE","ERROR"}) &amp;&amp; UPPER(COALESCE(rpt_job_data_quality[severity],"")) IN {"CRITICAL","ERROR","FATAL"}) &amp;&amp; (NOT JobChosen || 'rpt_job_data_quality'[job_run_id] IN Jobs))),0)</x:v>
      </x:c>
      <x:c r="H768" s="25" t="str">
        <x:v>KPI_LATEST_CALCULATIONS.md#mission-discovery-quality-calendar-critical</x:v>
      </x:c>
      <x:c r="I768" s="25" t="str">
        <x:v>Saved definition; runtime/acceptance pending</x:v>
      </x:c>
    </x:row>
    <x:row r="769" ht="59" customHeight="1">
      <x:c r="A769" s="25" t="str">
        <x:v>Discovery quality calendar discoveries</x:v>
      </x:c>
      <x:c r="B769" s="25" t="str">
        <x:v>_MissionControl_Measures</x:v>
      </x:c>
      <x:c r="C769" s="25" t="str">
        <x:v>Operational metric</x:v>
      </x:c>
      <x:c r="D769" s="25" t="str">
        <x:v>MC-KPI-077</x:v>
      </x:c>
      <x:c r="E769" s="25" t="str">
        <x:v>Quality &amp; Exceptions</x:v>
      </x:c>
      <x:c r="F769" s="25" t="str">
        <x:v>monitoring.cfg_job_run; monitoring.rpt_job_run_summary</x:v>
      </x:c>
      <x:c r="G769" s="25" t="str">
        <x:v>VAR Days=VALUES('Load Calendar'[Date])
			VAR JobChosen=ISFILTERED('Discovery Job Runs'[job_run_id])
			VAR Jobs=VALUES('Discovery Job Runs'[job_run_id])
			RETURN COALESCE(0,0)</x:v>
      </x:c>
      <x:c r="H769" s="25" t="str">
        <x:v>KPI_LATEST_CALCULATIONS.md#mission-discovery-quality-calendar-discoveries</x:v>
      </x:c>
      <x:c r="I769" s="25" t="str">
        <x:v>Saved definition; runtime/acceptance pending</x:v>
      </x:c>
    </x:row>
    <x:row r="770" ht="163" customHeight="1">
      <x:c r="A770" s="25" t="str">
        <x:v>Discovery quality calendar linked job visible</x:v>
      </x:c>
      <x:c r="B770" s="25" t="str">
        <x:v>_MissionControl_Measures</x:v>
      </x:c>
      <x:c r="C770" s="25" t="str">
        <x:v>Filter/context helper</x:v>
      </x:c>
      <x:c r="D770" s="25" t="str">
        <x:v>Helper/context; not registered as an additional KPI</x:v>
      </x:c>
      <x:c r="E770" s="25" t="str">
        <x:v>Quality &amp; Exceptions</x:v>
      </x:c>
      <x:c r="F770" s="25" t="str">
        <x:v>monitoring.cfg_job_run; monitoring.cfg_referential_exception; monitoring.cfg_rejected_row; monitoring.rpt_job_data_quality; monitoring.rpt_job_run_summary</x:v>
      </x:c>
      <x:c r="G770" s="25" t="str">
        <x:v>VAR Days=VALUES('Load Calendar'[Date])
			VAR Jobs=VALUES('Discovery Job Runs'[job_run_id])
			RETURN IF(COUNTROWS(FILTER(ALL('rpt_job_data_quality'),((NOT ISBLANK('rpt_job_data_quality'[checked_at]) &amp;&amp; INT('rpt_job_data_quality'[checked_at]) IN Days)) &amp;&amp; (COALESCE(rpt_job_data_quality[failed_row_count],0)&gt;0
			    || COALESCE(rpt_job_data_quality[rejected_key_count],0)&gt;0
			    || COALESCE(rpt_job_data_quality[referential_exception_count],0)&gt;0
			    || UPPER(COALESCE(rpt_job_data_quality[status],"")) IN {"FAIL","FAILED","FAILURE","ERROR"}) &amp;&amp; 'rpt_job_data_quality'[job_run_id] IN Jobs)) + COUNTROWS(FILTER(ALL('cfg_rejected_row'),((NOT ISBLANK('cfg_rejected_row'[rejected_at]) &amp;&amp; INT('cfg_rejected_row'[rejected
[EXCERPT; complete logic in KPI_LATEST_CALCULATIONS.md]</x:v>
      </x:c>
      <x:c r="H770" s="25" t="str">
        <x:v>KPI_LATEST_CALCULATIONS.md#mission-discovery-quality-calendar-linked-job-visible</x:v>
      </x:c>
      <x:c r="I770" s="25" t="str">
        <x:v>Saved definition; runtime/acceptance pending</x:v>
      </x:c>
    </x:row>
    <x:row r="771" ht="85" customHeight="1">
      <x:c r="A771" s="25" t="str">
        <x:v>Discovery rpt_job_data_quality Context</x:v>
      </x:c>
      <x:c r="B771" s="25" t="str">
        <x:v>_MissionControl_Measures</x:v>
      </x:c>
      <x:c r="C771" s="25" t="str">
        <x:v>Display/context helper</x:v>
      </x:c>
      <x:c r="D771" s="25" t="str">
        <x:v>Helper/context; not registered as an additional KPI</x:v>
      </x:c>
      <x:c r="E771" s="25" t="str">
        <x:v>Quality &amp; Exceptions</x:v>
      </x:c>
      <x:c r="F771" s="25" t="str">
        <x:v>monitoring.cfg_job_run; monitoring.rpt_job_data_quality; monitoring.rpt_job_run_summary</x:v>
      </x:c>
      <x:c r="G771" s="25" t="str">
        <x:v>VAR Day=SELECTEDVALUE('Load Calendar'[Date])
			VAR Time=[Discovery rpt_job_data_quality Latest time]
			RETURN IF([Discovery history selected]=1,"Historical activity" &amp; IF(NOT ISBLANK(Day)," · " &amp; FORMAT(Day,"dd MMM yyyy")," · linked job"),IF(ISBLANK(Time),"No latest discovery available","Latest discovery · " &amp; FORMAT(Time,"dd MMM yyyy HH:mm")))</x:v>
      </x:c>
      <x:c r="H771" s="25" t="str">
        <x:v>KPI_LATEST_CALCULATIONS.md#mission-discovery-rpt-job-data-quality-context</x:v>
      </x:c>
      <x:c r="I771" s="25" t="str">
        <x:v>Saved definition; runtime/acceptance pending</x:v>
      </x:c>
    </x:row>
    <x:row r="772" ht="163" customHeight="1">
      <x:c r="A772" s="25" t="str">
        <x:v>Discovery rpt_job_data_quality Discovery batches</x:v>
      </x:c>
      <x:c r="B772" s="25" t="str">
        <x:v>_MissionControl_Measures</x:v>
      </x:c>
      <x:c r="C772" s="25" t="str">
        <x:v>Operational metric</x:v>
      </x:c>
      <x:c r="D772" s="25" t="str">
        <x:v>MC-KPI-078</x:v>
      </x:c>
      <x:c r="E772" s="25" t="str">
        <x:v>Quality &amp; Exceptions</x:v>
      </x:c>
      <x:c r="F772" s="25" t="str">
        <x:v>monitoring.cfg_job_run; monitoring.rpt_job_data_quality; monitoring.rpt_job_run_summary</x:v>
      </x:c>
      <x:c r="G772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JobChosen,CALCULATE(DISTINCTCOUNT('rpt_job_data_quality'[run_id]),KEEPFILTERS(FILTER('rpt_job_data_quality',(NOT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key]),CALCULATE(DISTINCTCOUNT('rpt_job_data_quality'[run_id]),KEEPFILTERS(TREATAS({[Discovery rpt_job_data_quality Latest time] 
[EXCERPT; complete logic in KPI_LATEST_CALCULATIONS.md]</x:v>
      </x:c>
      <x:c r="H772" s="25" t="str">
        <x:v>KPI_LATEST_CALCULATIONS.md#mission-discovery-rpt-job-data-quality-discovery-batches</x:v>
      </x:c>
      <x:c r="I772" s="25" t="str">
        <x:v>Saved definition; runtime/acceptance pending</x:v>
      </x:c>
    </x:row>
    <x:row r="773" ht="163" customHeight="1">
      <x:c r="A773" s="25" t="str">
        <x:v>Discovery rpt_job_data_quality Distinct objects</x:v>
      </x:c>
      <x:c r="B773" s="25" t="str">
        <x:v>_MissionControl_Measures</x:v>
      </x:c>
      <x:c r="C773" s="25" t="str">
        <x:v>Operational metric</x:v>
      </x:c>
      <x:c r="D773" s="25" t="str">
        <x:v>MC-KPI-079</x:v>
      </x:c>
      <x:c r="E773" s="25" t="str">
        <x:v>Quality &amp; Exceptions</x:v>
      </x:c>
      <x:c r="F773" s="25" t="str">
        <x:v>monitoring.cfg_job_run; monitoring.rpt_job_data_quality; monitoring.rpt_job_run_summary</x:v>
      </x:c>
      <x:c r="G773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JobChosen,CALCULATE(DISTINCTCOUNT('rpt_job_data_quality'[source_table]),KEEPFILTERS(FILTER('rpt_job_data_quality',(NOT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key]),CALCULATE(DISTINCTCOUNT('rpt_job_data_quality'[source_table]),KEEPFILTERS(TREATAS({[Discovery rpt_job_data_quality L
[EXCERPT; complete logic in KPI_LATEST_CALCULATIONS.md]</x:v>
      </x:c>
      <x:c r="H773" s="25" t="str">
        <x:v>KPI_LATEST_CALCULATIONS.md#mission-discovery-rpt-job-data-quality-distinct-objects</x:v>
      </x:c>
      <x:c r="I773" s="25" t="str">
        <x:v>Saved definition; runtime/acceptance pending</x:v>
      </x:c>
    </x:row>
    <x:row r="774" ht="98" customHeight="1">
      <x:c r="A774" s="25" t="str">
        <x:v>Discovery rpt_job_data_quality Latest key</x:v>
      </x:c>
      <x:c r="B774" s="25" t="str">
        <x:v>_MissionControl_Measures</x:v>
      </x:c>
      <x:c r="C774" s="25" t="str">
        <x:v>Display/context helper</x:v>
      </x:c>
      <x:c r="D774" s="25" t="str">
        <x:v>Helper/context; not registered as an additional KPI</x:v>
      </x:c>
      <x:c r="E774" s="25" t="str">
        <x:v>No direct saved visual binding</x:v>
      </x:c>
      <x:c r="F774" s="25" t="str">
        <x:v>monitoring.rpt_job_data_quality</x:v>
      </x:c>
      <x:c r="G774" s="25" t="str">
        <x:v>VAR Batches = CALCULATETABLE(SUMMARIZE(rpt_job_data_quality, rpt_job_data_quality[run_id],
			    "DiscoveryTime", MAX(rpt_job_data_quality[checked_at])), REMOVEFILTERS())
			VAR LatestBatch = TOPN(1, FILTER(Batches, NOT ISBLANK([DiscoveryTime])),
			    [DiscoveryTime], DESC, rpt_job_data_quality[run_id], DESC)
			RETURN MAXX(LatestBatch, rpt_job_data_quality[run_id])</x:v>
      </x:c>
      <x:c r="H774" s="25" t="str">
        <x:v>KPI_LATEST_CALCULATIONS.md#mission-discovery-rpt-job-data-quality-latest-key</x:v>
      </x:c>
      <x:c r="I774" s="25" t="str">
        <x:v>Saved definition; runtime/acceptance pending</x:v>
      </x:c>
    </x:row>
    <x:row r="775" ht="33" customHeight="1">
      <x:c r="A775" s="25" t="str">
        <x:v>Discovery rpt_job_data_quality Latest time</x:v>
      </x:c>
      <x:c r="B775" s="25" t="str">
        <x:v>_MissionControl_Measures</x:v>
      </x:c>
      <x:c r="C775" s="25" t="str">
        <x:v>Filter/context helper</x:v>
      </x:c>
      <x:c r="D775" s="25" t="str">
        <x:v>Helper/context; not registered as an additional KPI</x:v>
      </x:c>
      <x:c r="E775" s="25" t="str">
        <x:v>No direct saved visual binding</x:v>
      </x:c>
      <x:c r="F775" s="25" t="str">
        <x:v>monitoring.rpt_job_data_quality</x:v>
      </x:c>
      <x:c r="G775" s="25" t="str">
        <x:v>CALCULATE(MAX(rpt_job_data_quality[checked_at]), REMOVEFILTERS())</x:v>
      </x:c>
      <x:c r="H775" s="25" t="str">
        <x:v>KPI_LATEST_CALCULATIONS.md#mission-discovery-rpt-job-data-quality-latest-time</x:v>
      </x:c>
      <x:c r="I775" s="25" t="str">
        <x:v>Saved definition; runtime/acceptance pending</x:v>
      </x:c>
    </x:row>
    <x:row r="776" ht="163" customHeight="1">
      <x:c r="A776" s="25" t="str">
        <x:v>Discovery rpt_job_data_quality Rows</x:v>
      </x:c>
      <x:c r="B776" s="25" t="str">
        <x:v>_MissionControl_Measures</x:v>
      </x:c>
      <x:c r="C776" s="25" t="str">
        <x:v>Operational metric</x:v>
      </x:c>
      <x:c r="D776" s="25" t="str">
        <x:v>MC-KPI-080</x:v>
      </x:c>
      <x:c r="E776" s="25" t="str">
        <x:v>Quality &amp; Exceptions</x:v>
      </x:c>
      <x:c r="F776" s="25" t="str">
        <x:v>monitoring.cfg_job_run; monitoring.rpt_job_data_quality; monitoring.rpt_job_run_summary</x:v>
      </x:c>
      <x:c r="G776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JobChosen,CALCULATE(COUNTROWS('rpt_job_data_quality'),KEEPFILTERS(FILTER('rpt_job_data_quality',(NOT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key]),CALCULATE(COUNTROWS('rpt_job_data_quality'),KEEPFILTERS(TREATAS({[Discovery rpt_job_data_quality Latest time] },'rpt_job_data_quality'
[EXCERPT; complete logic in KPI_LATEST_CALCULATIONS.md]</x:v>
      </x:c>
      <x:c r="H776" s="25" t="str">
        <x:v>KPI_LATEST_CALCULATIONS.md#mission-discovery-rpt-job-data-quality-rows</x:v>
      </x:c>
      <x:c r="I776" s="25" t="str">
        <x:v>Saved definition; runtime/acceptance pending</x:v>
      </x:c>
    </x:row>
    <x:row r="777" ht="163" customHeight="1">
      <x:c r="A777" s="25" t="str">
        <x:v>Discovery rpt_job_data_quality Scope count</x:v>
      </x:c>
      <x:c r="B777" s="25" t="str">
        <x:v>_MissionControl_Measures</x:v>
      </x:c>
      <x:c r="C777" s="25" t="str">
        <x:v>Operational metric</x:v>
      </x:c>
      <x:c r="D777" s="25" t="str">
        <x:v>MC-KPI-081</x:v>
      </x:c>
      <x:c r="E777" s="25" t="str">
        <x:v>Quality &amp; Exceptions</x:v>
      </x:c>
      <x:c r="F777" s="25" t="str">
        <x:v>monitoring.cfg_job_run; monitoring.rpt_job_data_quality; monitoring.rpt_job_run_summary</x:v>
      </x:c>
      <x:c r="G777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JobChosen,CALCULATE(COUNTROWS(SUMMARIZE('rpt_job_data_quality','rpt_job_data_quality'[rule_id])),KEEPFILTERS(FILTER('rpt_job_data_quality',(NOT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key]),CALCULATE(COUNTROWS(SUMMARIZE('rpt_job_data_quality','rpt_job_data_quality'[rule_id])),KEEP
[EXCERPT; complete logic in KPI_LATEST_CALCULATIONS.md]</x:v>
      </x:c>
      <x:c r="H777" s="25" t="str">
        <x:v>KPI_LATEST_CALCULATIONS.md#mission-discovery-rpt-job-data-quality-scope-count</x:v>
      </x:c>
      <x:c r="I777" s="25" t="str">
        <x:v>Saved definition; runtime/acceptance pending</x:v>
      </x:c>
    </x:row>
    <x:row r="778" ht="163" customHeight="1">
      <x:c r="A778" s="25" t="str">
        <x:v>Discovery rpt_job_data_quality Selected time</x:v>
      </x:c>
      <x:c r="B778" s="25" t="str">
        <x:v>_MissionControl_Measures</x:v>
      </x:c>
      <x:c r="C778" s="25" t="str">
        <x:v>Filter/context helper</x:v>
      </x:c>
      <x:c r="D778" s="25" t="str">
        <x:v>Helper/context; not registered as an additional KPI</x:v>
      </x:c>
      <x:c r="E778" s="25" t="str">
        <x:v>No direct saved visual binding</x:v>
      </x:c>
      <x:c r="F778" s="25" t="str">
        <x:v>monitoring.cfg_job_run; monitoring.rpt_job_data_quality; monitoring.rpt_job_run_summary</x:v>
      </x:c>
      <x:c r="G778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JobChosen,CALCULATE(MAX('rpt_job_data_quality'[checked_at]),KEEPFILTERS(FILTER('rpt_job_data_quality',(NOT DateChosen || ((NOT ISBLANK('rpt_job_data_quality'[checked_at]) &amp;&amp; INT('rpt_job_data_quality'[checked_at]) IN Days))) &amp;&amp; (NOT JobChosen || 'rpt_job_data_quality'[job_run_id] IN Jobs)))),IF(ISBLANK([Discovery rpt_job_data_quality Latest key]),CALCULATE(MAX('rpt_job_data_quality'[checked_at]),KEEPFILTERS(TREATAS({[Discovery rpt_job_data_quality Latest time] },'rpt_job_data_qualit
[EXCERPT; complete logic in KPI_LATEST_CALCULATIONS.md]</x:v>
      </x:c>
      <x:c r="H778" s="25" t="str">
        <x:v>KPI_LATEST_CALCULATIONS.md#mission-discovery-rpt-job-data-quality-selected-time</x:v>
      </x:c>
      <x:c r="I778" s="25" t="str">
        <x:v>Saved definition; runtime/acceptance pending</x:v>
      </x:c>
    </x:row>
    <x:row r="779" ht="59" customHeight="1">
      <x:c r="A779" s="25" t="str">
        <x:v>Discovery rpt_job_data_quality State</x:v>
      </x:c>
      <x:c r="B779" s="25" t="str">
        <x:v>_MissionControl_Measures</x:v>
      </x:c>
      <x:c r="C779" s="25" t="str">
        <x:v>Display/context helper</x:v>
      </x:c>
      <x:c r="D779" s="25" t="str">
        <x:v>Helper/context; not registered as an additional KPI</x:v>
      </x:c>
      <x:c r="E779" s="25" t="str">
        <x:v>Quality &amp; Exceptions</x:v>
      </x:c>
      <x:c r="F779" s="25" t="str">
        <x:v>monitoring.cfg_job_run; monitoring.rpt_job_data_quality; monitoring.rpt_job_run_summary</x:v>
      </x:c>
      <x:c r="G779" s="25" t="str">
        <x:v>VAR n=[Discovery rpt_job_data_quality Rows]
			RETURN IF(n=0,IF([Discovery history selected]=1,"No retained records for this activity selection","No discovery records available"),"Retained records: " &amp; FORMAT(n,"#,0"))</x:v>
      </x:c>
      <x:c r="H779" s="25" t="str">
        <x:v>KPI_LATEST_CALCULATIONS.md#mission-discovery-rpt-job-data-quality-state</x:v>
      </x:c>
      <x:c r="I779" s="25" t="str">
        <x:v>Saved definition; runtime/acceptance pending</x:v>
      </x:c>
    </x:row>
    <x:row r="780" ht="33" customHeight="1">
      <x:c r="A780" s="25" t="str">
        <x:v>Discovery rpt_job_data_quality Visible</x:v>
      </x:c>
      <x:c r="B780" s="25" t="str">
        <x:v>_MissionControl_Measures</x:v>
      </x:c>
      <x:c r="C780" s="25" t="str">
        <x:v>Filter/context helper</x:v>
      </x:c>
      <x:c r="D780" s="25" t="str">
        <x:v>Helper/context; not registered as an additional KPI</x:v>
      </x:c>
      <x:c r="E780" s="25" t="str">
        <x:v>Quality &amp; Exceptions</x:v>
      </x:c>
      <x:c r="F780" s="25" t="str">
        <x:v>monitoring.cfg_job_run; monitoring.rpt_job_data_quality; monitoring.rpt_job_run_summary</x:v>
      </x:c>
      <x:c r="G780" s="25" t="str">
        <x:v>IF([Discovery rpt_job_data_quality Rows]&gt;0,1,0)</x:v>
      </x:c>
      <x:c r="H780" s="25" t="str">
        <x:v>KPI_LATEST_CALCULATIONS.md#mission-discovery-rpt-job-data-quality-visible</x:v>
      </x:c>
      <x:c r="I780" s="25" t="str">
        <x:v>Saved definition; runtime/acceptance pending</x:v>
      </x:c>
    </x:row>
    <x:row r="781" ht="85" customHeight="1">
      <x:c r="A781" s="25" t="str">
        <x:v>Discovery rpt_job_layer_lineage Context</x:v>
      </x:c>
      <x:c r="B781" s="25" t="str">
        <x:v>_MissionControl_Measures</x:v>
      </x:c>
      <x:c r="C781" s="25" t="str">
        <x:v>Display/context helper</x:v>
      </x:c>
      <x:c r="D781" s="25" t="str">
        <x:v>Helper/context; not registered as an additional KPI</x:v>
      </x:c>
      <x:c r="E781" s="25" t="str">
        <x:v>Lineage &amp; Step Summary</x:v>
      </x:c>
      <x:c r="F781" s="25" t="str">
        <x:v>monitoring.cfg_job_run; monitoring.rpt_job_layer_lineage; monitoring.rpt_job_run_summary</x:v>
      </x:c>
      <x:c r="G781" s="25" t="str">
        <x:v>VAR Day=SELECTEDVALUE('Load Calendar'[Date])
			VAR Time=[Discovery rpt_job_layer_lineage Latest time]
			RETURN IF([Discovery history selected]=1,"Historical activity" &amp; IF(NOT ISBLANK(Day)," · " &amp; FORMAT(Day,"dd MMM yyyy")," · linked job"),IF(ISBLANK(Time),"No latest discovery available","Latest discovery · " &amp; FORMAT(Time,"dd MMM yyyy HH:mm")))</x:v>
      </x:c>
      <x:c r="H781" s="25" t="str">
        <x:v>KPI_LATEST_CALCULATIONS.md#mission-discovery-rpt-job-layer-lineage-context</x:v>
      </x:c>
      <x:c r="I781" s="25" t="str">
        <x:v>Saved definition; runtime/acceptance pending</x:v>
      </x:c>
    </x:row>
    <x:row r="782" ht="163" customHeight="1">
      <x:c r="A782" s="25" t="str">
        <x:v>Discovery rpt_job_layer_lineage Discovery batches</x:v>
      </x:c>
      <x:c r="B782" s="25" t="str">
        <x:v>_MissionControl_Measures</x:v>
      </x:c>
      <x:c r="C782" s="25" t="str">
        <x:v>Operational metric</x:v>
      </x:c>
      <x:c r="D782" s="25" t="str">
        <x:v>MC-KPI-082</x:v>
      </x:c>
      <x:c r="E782" s="25" t="str">
        <x:v>Lineage &amp; Step Summary</x:v>
      </x:c>
      <x:c r="F782" s="25" t="str">
        <x:v>monitoring.cfg_job_run; monitoring.rpt_job_layer_lineage; monitoring.rpt_job_run_summary</x:v>
      </x:c>
      <x:c r="G782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JobChosen,CALCULATE(DISTINCTCOUNT('rpt_job_layer_lineage'[job_run_id]),KEEPFILTERS(FILTER('rpt_job_layer_lineage',(NOT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key]),CALCULATE(DISTINCTCOUNT('rpt_job_layer_lineage'[job_run_id]),KEEPFILTERS(TREATAS({[Discovery rpt_job_layer_lin
[EXCERPT; complete logic in KPI_LATEST_CALCULATIONS.md]</x:v>
      </x:c>
      <x:c r="H782" s="25" t="str">
        <x:v>KPI_LATEST_CALCULATIONS.md#mission-discovery-rpt-job-layer-lineage-discovery-batches</x:v>
      </x:c>
      <x:c r="I782" s="25" t="str">
        <x:v>Saved definition; runtime/acceptance pending</x:v>
      </x:c>
    </x:row>
    <x:row r="783" ht="163" customHeight="1">
      <x:c r="A783" s="25" t="str">
        <x:v>Discovery rpt_job_layer_lineage Distinct objects</x:v>
      </x:c>
      <x:c r="B783" s="25" t="str">
        <x:v>_MissionControl_Measures</x:v>
      </x:c>
      <x:c r="C783" s="25" t="str">
        <x:v>Operational metric</x:v>
      </x:c>
      <x:c r="D783" s="25" t="str">
        <x:v>MC-KPI-083</x:v>
      </x:c>
      <x:c r="E783" s="25" t="str">
        <x:v>Lineage &amp; Step Summary</x:v>
      </x:c>
      <x:c r="F783" s="25" t="str">
        <x:v>monitoring.cfg_job_run; monitoring.rpt_job_layer_lineage; monitoring.rpt_job_run_summary</x:v>
      </x:c>
      <x:c r="G783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JobChosen,CALCULATE(DISTINCTCOUNT('rpt_job_layer_lineage'[source_object]),KEEPFILTERS(FILTER('rpt_job_layer_lineage',(NOT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key]),CALCULATE(DISTINCTCOUNT('rpt_job_layer_lineage'[source_object]),KEEPFILTERS(TREATAS({[Discovery rpt_job_lay
[EXCERPT; complete logic in KPI_LATEST_CALCULATIONS.md]</x:v>
      </x:c>
      <x:c r="H783" s="25" t="str">
        <x:v>KPI_LATEST_CALCULATIONS.md#mission-discovery-rpt-job-layer-lineage-distinct-objects</x:v>
      </x:c>
      <x:c r="I783" s="25" t="str">
        <x:v>Saved definition; runtime/acceptance pending</x:v>
      </x:c>
    </x:row>
    <x:row r="784" ht="98" customHeight="1">
      <x:c r="A784" s="25" t="str">
        <x:v>Discovery rpt_job_layer_lineage Latest key</x:v>
      </x:c>
      <x:c r="B784" s="25" t="str">
        <x:v>_MissionControl_Measures</x:v>
      </x:c>
      <x:c r="C784" s="25" t="str">
        <x:v>Display/context helper</x:v>
      </x:c>
      <x:c r="D784" s="25" t="str">
        <x:v>Helper/context; not registered as an additional KPI</x:v>
      </x:c>
      <x:c r="E784" s="25" t="str">
        <x:v>No direct saved visual binding</x:v>
      </x:c>
      <x:c r="F784" s="25" t="str">
        <x:v>monitoring.rpt_job_layer_lineage</x:v>
      </x:c>
      <x:c r="G784" s="25" t="str">
        <x:v>VAR Batches = CALCULATETABLE(SUMMARIZE(rpt_job_layer_lineage, rpt_job_layer_lineage[job_run_id],
			    "DiscoveryTime", MAX(rpt_job_layer_lineage[observed_at])), REMOVEFILTERS())
			VAR LatestBatch = TOPN(1, FILTER(Batches, NOT ISBLANK([DiscoveryTime])),
			    [DiscoveryTime], DESC, rpt_job_layer_lineage[job_run_id], DESC)
			RETURN MAXX(LatestBatch, rpt_job_layer_lineage[job_run_id])</x:v>
      </x:c>
      <x:c r="H784" s="25" t="str">
        <x:v>KPI_LATEST_CALCULATIONS.md#mission-discovery-rpt-job-layer-lineage-latest-key</x:v>
      </x:c>
      <x:c r="I784" s="25" t="str">
        <x:v>Saved definition; runtime/acceptance pending</x:v>
      </x:c>
    </x:row>
    <x:row r="785" ht="33" customHeight="1">
      <x:c r="A785" s="25" t="str">
        <x:v>Discovery rpt_job_layer_lineage Latest time</x:v>
      </x:c>
      <x:c r="B785" s="25" t="str">
        <x:v>_MissionControl_Measures</x:v>
      </x:c>
      <x:c r="C785" s="25" t="str">
        <x:v>Filter/context helper</x:v>
      </x:c>
      <x:c r="D785" s="25" t="str">
        <x:v>Helper/context; not registered as an additional KPI</x:v>
      </x:c>
      <x:c r="E785" s="25" t="str">
        <x:v>No direct saved visual binding</x:v>
      </x:c>
      <x:c r="F785" s="25" t="str">
        <x:v>monitoring.rpt_job_layer_lineage</x:v>
      </x:c>
      <x:c r="G785" s="25" t="str">
        <x:v>CALCULATE(MAX(rpt_job_layer_lineage[observed_at]), REMOVEFILTERS())</x:v>
      </x:c>
      <x:c r="H785" s="25" t="str">
        <x:v>KPI_LATEST_CALCULATIONS.md#mission-discovery-rpt-job-layer-lineage-latest-time</x:v>
      </x:c>
      <x:c r="I785" s="25" t="str">
        <x:v>Saved definition; runtime/acceptance pending</x:v>
      </x:c>
    </x:row>
    <x:row r="786" ht="163" customHeight="1">
      <x:c r="A786" s="25" t="str">
        <x:v>Discovery rpt_job_layer_lineage Rows</x:v>
      </x:c>
      <x:c r="B786" s="25" t="str">
        <x:v>_MissionControl_Measures</x:v>
      </x:c>
      <x:c r="C786" s="25" t="str">
        <x:v>Operational metric</x:v>
      </x:c>
      <x:c r="D786" s="25" t="str">
        <x:v>MC-KPI-084</x:v>
      </x:c>
      <x:c r="E786" s="25" t="str">
        <x:v>Lineage &amp; Step Summary</x:v>
      </x:c>
      <x:c r="F786" s="25" t="str">
        <x:v>monitoring.cfg_job_run; monitoring.rpt_job_layer_lineage; monitoring.rpt_job_run_summary</x:v>
      </x:c>
      <x:c r="G786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JobChosen,CALCULATE(COUNTROWS('rpt_job_layer_lineage'),KEEPFILTERS(FILTER('rpt_job_layer_lineage',(NOT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key]),CALCULATE(COUNTROWS('rpt_job_layer_lineage'),KEEPFILTERS(TREATAS({[Discovery rpt_job_layer_lineage Latest time] },'rpt_job_lay
[EXCERPT; complete logic in KPI_LATEST_CALCULATIONS.md]</x:v>
      </x:c>
      <x:c r="H786" s="25" t="str">
        <x:v>KPI_LATEST_CALCULATIONS.md#mission-discovery-rpt-job-layer-lineage-rows</x:v>
      </x:c>
      <x:c r="I786" s="25" t="str">
        <x:v>Saved definition; runtime/acceptance pending</x:v>
      </x:c>
    </x:row>
    <x:row r="787" ht="163" customHeight="1">
      <x:c r="A787" s="25" t="str">
        <x:v>Discovery rpt_job_layer_lineage Scope count</x:v>
      </x:c>
      <x:c r="B787" s="25" t="str">
        <x:v>_MissionControl_Measures</x:v>
      </x:c>
      <x:c r="C787" s="25" t="str">
        <x:v>Operational metric</x:v>
      </x:c>
      <x:c r="D787" s="25" t="str">
        <x:v>MC-KPI-085</x:v>
      </x:c>
      <x:c r="E787" s="25" t="str">
        <x:v>Lineage &amp; Step Summary</x:v>
      </x:c>
      <x:c r="F787" s="25" t="str">
        <x:v>monitoring.cfg_job_run; monitoring.rpt_job_layer_lineage; monitoring.rpt_job_run_summary</x:v>
      </x:c>
      <x:c r="G787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JobChosen,CALCULATE(COUNTROWS(SUMMARIZE('rpt_job_layer_lineage','rpt_job_layer_lineage'[target_layer],'rpt_job_layer_lineage'[target_object])),KEEPFILTERS(FILTER('rpt_job_layer_lineage',(NOT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key]),CALCULATE(COUNTROWS(SUMMARIZE('rpt_job
[EXCERPT; complete logic in KPI_LATEST_CALCULATIONS.md]</x:v>
      </x:c>
      <x:c r="H787" s="25" t="str">
        <x:v>KPI_LATEST_CALCULATIONS.md#mission-discovery-rpt-job-layer-lineage-scope-count</x:v>
      </x:c>
      <x:c r="I787" s="25" t="str">
        <x:v>Saved definition; runtime/acceptance pending</x:v>
      </x:c>
    </x:row>
    <x:row r="788" ht="163" customHeight="1">
      <x:c r="A788" s="25" t="str">
        <x:v>Discovery rpt_job_layer_lineage Selected time</x:v>
      </x:c>
      <x:c r="B788" s="25" t="str">
        <x:v>_MissionControl_Measures</x:v>
      </x:c>
      <x:c r="C788" s="25" t="str">
        <x:v>Filter/context helper</x:v>
      </x:c>
      <x:c r="D788" s="25" t="str">
        <x:v>Helper/context; not registered as an additional KPI</x:v>
      </x:c>
      <x:c r="E788" s="25" t="str">
        <x:v>No direct saved visual binding</x:v>
      </x:c>
      <x:c r="F788" s="25" t="str">
        <x:v>monitoring.cfg_job_run; monitoring.rpt_job_layer_lineage; monitoring.rpt_job_run_summary</x:v>
      </x:c>
      <x:c r="G788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JobChosen,CALCULATE(MAX('rpt_job_layer_lineage'[observed_at]),KEEPFILTERS(FILTER('rpt_job_layer_lineage',(NOT DateChosen || ((NOT ISBLANK('rpt_job_layer_lineage'[observed_at]) &amp;&amp; INT('rpt_job_layer_lineage'[observed_at]) IN Days))) &amp;&amp; (NOT JobChosen || 'rpt_job_layer_lineage'[job_run_id] IN Jobs)))),IF(ISBLANK([Discovery rpt_job_layer_lineage Latest key]),CALCULATE(MAX('rpt_job_layer_lineage'[observed_at]),KEEPFILTERS(TREATAS({[Discovery rpt_job_layer_lineage Latest time] },'rpt_job
[EXCERPT; complete logic in KPI_LATEST_CALCULATIONS.md]</x:v>
      </x:c>
      <x:c r="H788" s="25" t="str">
        <x:v>KPI_LATEST_CALCULATIONS.md#mission-discovery-rpt-job-layer-lineage-selected-time</x:v>
      </x:c>
      <x:c r="I788" s="25" t="str">
        <x:v>Saved definition; runtime/acceptance pending</x:v>
      </x:c>
    </x:row>
    <x:row r="789" ht="59" customHeight="1">
      <x:c r="A789" s="25" t="str">
        <x:v>Discovery rpt_job_layer_lineage State</x:v>
      </x:c>
      <x:c r="B789" s="25" t="str">
        <x:v>_MissionControl_Measures</x:v>
      </x:c>
      <x:c r="C789" s="25" t="str">
        <x:v>Display/context helper</x:v>
      </x:c>
      <x:c r="D789" s="25" t="str">
        <x:v>Helper/context; not registered as an additional KPI</x:v>
      </x:c>
      <x:c r="E789" s="25" t="str">
        <x:v>Lineage &amp; Step Summary</x:v>
      </x:c>
      <x:c r="F789" s="25" t="str">
        <x:v>monitoring.cfg_job_run; monitoring.rpt_job_layer_lineage; monitoring.rpt_job_run_summary</x:v>
      </x:c>
      <x:c r="G789" s="25" t="str">
        <x:v>VAR n=[Discovery rpt_job_layer_lineage Rows]
			RETURN IF(n=0,IF([Discovery history selected]=1,"No retained records for this activity selection","No discovery records available"),"Retained records: " &amp; FORMAT(n,"#,0"))</x:v>
      </x:c>
      <x:c r="H789" s="25" t="str">
        <x:v>KPI_LATEST_CALCULATIONS.md#mission-discovery-rpt-job-layer-lineage-state</x:v>
      </x:c>
      <x:c r="I789" s="25" t="str">
        <x:v>Saved definition; runtime/acceptance pending</x:v>
      </x:c>
    </x:row>
    <x:row r="790" ht="33" customHeight="1">
      <x:c r="A790" s="25" t="str">
        <x:v>Discovery rpt_job_layer_lineage Visible</x:v>
      </x:c>
      <x:c r="B790" s="25" t="str">
        <x:v>_MissionControl_Measures</x:v>
      </x:c>
      <x:c r="C790" s="25" t="str">
        <x:v>Filter/context helper</x:v>
      </x:c>
      <x:c r="D790" s="25" t="str">
        <x:v>Helper/context; not registered as an additional KPI</x:v>
      </x:c>
      <x:c r="E790" s="25" t="str">
        <x:v>Lineage &amp; Step Summary</x:v>
      </x:c>
      <x:c r="F790" s="25" t="str">
        <x:v>monitoring.cfg_job_run; monitoring.rpt_job_layer_lineage; monitoring.rpt_job_run_summary</x:v>
      </x:c>
      <x:c r="G790" s="25" t="str">
        <x:v>IF([Discovery rpt_job_layer_lineage Rows]&gt;0,1,0)</x:v>
      </x:c>
      <x:c r="H790" s="25" t="str">
        <x:v>KPI_LATEST_CALCULATIONS.md#mission-discovery-rpt-job-layer-lineage-visible</x:v>
      </x:c>
      <x:c r="I790" s="25" t="str">
        <x:v>Saved definition; runtime/acceptance pending</x:v>
      </x:c>
    </x:row>
    <x:row r="791" ht="98" customHeight="1">
      <x:c r="A791" s="25" t="str">
        <x:v>Discovery rpt_job_schema_drift Latest key</x:v>
      </x:c>
      <x:c r="B791" s="25" t="str">
        <x:v>_MissionControl_Measures</x:v>
      </x:c>
      <x:c r="C791" s="25" t="str">
        <x:v>Display/context helper</x:v>
      </x:c>
      <x:c r="D791" s="25" t="str">
        <x:v>Helper/context; not registered as an additional KPI</x:v>
      </x:c>
      <x:c r="E791" s="25" t="str">
        <x:v>No direct saved visual binding</x:v>
      </x:c>
      <x:c r="F791" s="25" t="str">
        <x:v>monitoring.rpt_job_schema_drift</x:v>
      </x:c>
      <x:c r="G791" s="25" t="str">
        <x:v>VAR Batches = CALCULATETABLE(SUMMARIZE(rpt_job_schema_drift, rpt_job_schema_drift[run_id],
			    "DiscoveryTime", MAX(rpt_job_schema_drift[last_detected_at])), REMOVEFILTERS())
			VAR LatestBatch = TOPN(1, FILTER(Batches, NOT ISBLANK([DiscoveryTime])),
			    [DiscoveryTime], DESC, rpt_job_schema_drift[run_id], DESC)
			RETURN MAXX(LatestBatch, rpt_job_schema_drift[run_id])</x:v>
      </x:c>
      <x:c r="H791" s="25" t="str">
        <x:v>KPI_LATEST_CALCULATIONS.md#mission-discovery-rpt-job-schema-drift-latest-key</x:v>
      </x:c>
      <x:c r="I791" s="25" t="str">
        <x:v>Saved definition; runtime/acceptance pending</x:v>
      </x:c>
    </x:row>
    <x:row r="792" ht="33" customHeight="1">
      <x:c r="A792" s="25" t="str">
        <x:v>Discovery rpt_job_schema_drift Latest time</x:v>
      </x:c>
      <x:c r="B792" s="25" t="str">
        <x:v>_MissionControl_Measures</x:v>
      </x:c>
      <x:c r="C792" s="25" t="str">
        <x:v>Filter/context helper</x:v>
      </x:c>
      <x:c r="D792" s="25" t="str">
        <x:v>Helper/context; not registered as an additional KPI</x:v>
      </x:c>
      <x:c r="E792" s="25" t="str">
        <x:v>No direct saved visual binding</x:v>
      </x:c>
      <x:c r="F792" s="25" t="str">
        <x:v>monitoring.rpt_job_schema_drift</x:v>
      </x:c>
      <x:c r="G792" s="25" t="str">
        <x:v>CALCULATE(MAX(rpt_job_schema_drift[last_detected_at]), REMOVEFILTERS())</x:v>
      </x:c>
      <x:c r="H792" s="25" t="str">
        <x:v>KPI_LATEST_CALCULATIONS.md#mission-discovery-rpt-job-schema-drift-latest-time</x:v>
      </x:c>
      <x:c r="I792" s="25" t="str">
        <x:v>Saved definition; runtime/acceptance pending</x:v>
      </x:c>
    </x:row>
    <x:row r="793" ht="163" customHeight="1">
      <x:c r="A793" s="25" t="str">
        <x:v>Discovery rpt_job_schema_drift Rows</x:v>
      </x:c>
      <x:c r="B793" s="25" t="str">
        <x:v>_MissionControl_Measures</x:v>
      </x:c>
      <x:c r="C793" s="25" t="str">
        <x:v>Operational metric</x:v>
      </x:c>
      <x:c r="D793" s="25" t="str">
        <x:v>MC-KPI-086</x:v>
      </x:c>
      <x:c r="E793" s="25" t="str">
        <x:v>No direct saved visual binding</x:v>
      </x:c>
      <x:c r="F793" s="25" t="str">
        <x:v>monitoring.cfg_job_run; monitoring.rpt_job_run_summary; monitoring.rpt_job_schema_drift</x:v>
      </x:c>
      <x:c r="G793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JobChosen,CALCULATE(COUNTROWS('rpt_job_schema_drift'),KEEPFILTERS(FILTER('rpt_job_schema_drift',(NOT DateChosen || ((NOT ISBLANK('rpt_job_schema_drift'[first_detected_at]) &amp;&amp; INT('rpt_job_schema_drift'[first_detected_at]) IN Days) || (NOT ISBLANK('rpt_job_schema_drift'[last_detected_at]) &amp;&amp; INT('rpt_job_schema_drift'[last_detected_at]) IN Days) || (NOT ISBLANK('rpt_job_schema_drift'[resolved_at]) &amp;&amp; INT('rpt_job_schema_drift'[resolved_at]) IN Days))) &amp;&amp; (NOT JobChosen || '
[EXCERPT; complete logic in KPI_LATEST_CALCULATIONS.md]</x:v>
      </x:c>
      <x:c r="H793" s="25" t="str">
        <x:v>KPI_LATEST_CALCULATIONS.md#mission-discovery-rpt-job-schema-drift-rows</x:v>
      </x:c>
      <x:c r="I793" s="25" t="str">
        <x:v>Saved definition; runtime/acceptance pending</x:v>
      </x:c>
    </x:row>
    <x:row r="794" ht="163" customHeight="1">
      <x:c r="A794" s="25" t="str">
        <x:v>Discovery rpt_job_schema_drift Selected time</x:v>
      </x:c>
      <x:c r="B794" s="25" t="str">
        <x:v>_MissionControl_Measures</x:v>
      </x:c>
      <x:c r="C794" s="25" t="str">
        <x:v>Filter/context helper</x:v>
      </x:c>
      <x:c r="D794" s="25" t="str">
        <x:v>Helper/context; not registered as an additional KPI</x:v>
      </x:c>
      <x:c r="E794" s="25" t="str">
        <x:v>No direct saved visual binding</x:v>
      </x:c>
      <x:c r="F794" s="25" t="str">
        <x:v>monitoring.cfg_job_run; monitoring.rpt_job_run_summary; monitoring.rpt_job_schema_drift</x:v>
      </x:c>
      <x:c r="G794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JobChosen,CALCULATE(MAX('rpt_job_schema_drift'[last_detected_at]),KEEPFILTERS(FILTER('rpt_job_schema_drift',(NOT DateChosen || ((NOT ISBLANK('rpt_job_schema_drift'[first_detected_at]) &amp;&amp; INT('rpt_job_schema_drift'[first_detected_at]) IN Days) || (NOT ISBLANK('rpt_job_schema_drift'[last_detected_at]) &amp;&amp; INT('rpt_job_schema_drift'[last_detected_at]) IN Days) || (NOT ISBLANK('rpt_job_schema_drift'[resolved_at]) &amp;&amp; INT('rpt_job_schema_drift'[resolved_at]) IN Days))) &amp;&amp; (NOT JobChosen ||
[EXCERPT; complete logic in KPI_LATEST_CALCULATIONS.md]</x:v>
      </x:c>
      <x:c r="H794" s="25" t="str">
        <x:v>KPI_LATEST_CALCULATIONS.md#mission-discovery-rpt-job-schema-drift-selected-time</x:v>
      </x:c>
      <x:c r="I794" s="25" t="str">
        <x:v>Saved definition; runtime/acceptance pending</x:v>
      </x:c>
    </x:row>
    <x:row r="795" ht="59" customHeight="1">
      <x:c r="A795" s="25" t="str">
        <x:v>Discovery rpt_job_schema_drift State</x:v>
      </x:c>
      <x:c r="B795" s="25" t="str">
        <x:v>_MissionControl_Measures</x:v>
      </x:c>
      <x:c r="C795" s="25" t="str">
        <x:v>Display/context helper</x:v>
      </x:c>
      <x:c r="D795" s="25" t="str">
        <x:v>Helper/context; not registered as an additional KPI</x:v>
      </x:c>
      <x:c r="E795" s="25" t="str">
        <x:v>No direct saved visual binding</x:v>
      </x:c>
      <x:c r="F795" s="25" t="str">
        <x:v>monitoring.cfg_job_run; monitoring.rpt_job_run_summary; monitoring.rpt_job_schema_drift</x:v>
      </x:c>
      <x:c r="G795" s="25" t="str">
        <x:v>VAR n=[Discovery rpt_job_schema_drift Rows]
			RETURN IF(n=0,IF([Discovery history selected]=1,"No retained records for this activity selection","No discovery records available"),"Retained records: " &amp; FORMAT(n,"#,0"))</x:v>
      </x:c>
      <x:c r="H795" s="25" t="str">
        <x:v>KPI_LATEST_CALCULATIONS.md#mission-discovery-rpt-job-schema-drift-state</x:v>
      </x:c>
      <x:c r="I795" s="25" t="str">
        <x:v>Saved definition; runtime/acceptance pending</x:v>
      </x:c>
    </x:row>
    <x:row r="796" ht="33" customHeight="1">
      <x:c r="A796" s="25" t="str">
        <x:v>Discovery rpt_job_schema_drift Visible</x:v>
      </x:c>
      <x:c r="B796" s="25" t="str">
        <x:v>_MissionControl_Measures</x:v>
      </x:c>
      <x:c r="C796" s="25" t="str">
        <x:v>Filter/context helper</x:v>
      </x:c>
      <x:c r="D796" s="25" t="str">
        <x:v>Helper/context; not registered as an additional KPI</x:v>
      </x:c>
      <x:c r="E796" s="25" t="str">
        <x:v>Schema &amp; Drift</x:v>
      </x:c>
      <x:c r="F796" s="25" t="str">
        <x:v>monitoring.cfg_job_run; monitoring.rpt_job_run_summary; monitoring.rpt_job_schema_drift</x:v>
      </x:c>
      <x:c r="G796" s="25" t="str">
        <x:v>IF([Discovery rpt_job_schema_drift Rows]&gt;0,1,0)</x:v>
      </x:c>
      <x:c r="H796" s="25" t="str">
        <x:v>KPI_LATEST_CALCULATIONS.md#mission-discovery-rpt-job-schema-drift-visible</x:v>
      </x:c>
      <x:c r="I796" s="25" t="str">
        <x:v>Saved definition; runtime/acceptance pending</x:v>
      </x:c>
    </x:row>
    <x:row r="797" ht="98" customHeight="1">
      <x:c r="A797" s="25" t="str">
        <x:v>Discovery rpt_job_step_summary Latest key</x:v>
      </x:c>
      <x:c r="B797" s="25" t="str">
        <x:v>_MissionControl_Measures</x:v>
      </x:c>
      <x:c r="C797" s="25" t="str">
        <x:v>Display/context helper</x:v>
      </x:c>
      <x:c r="D797" s="25" t="str">
        <x:v>Helper/context; not registered as an additional KPI</x:v>
      </x:c>
      <x:c r="E797" s="25" t="str">
        <x:v>No direct saved visual binding</x:v>
      </x:c>
      <x:c r="F797" s="25" t="str">
        <x:v>monitoring.rpt_job_step_summary</x:v>
      </x:c>
      <x:c r="G797" s="25" t="str">
        <x:v>VAR Batches = CALCULATETABLE(SUMMARIZE(rpt_job_step_summary, rpt_job_step_summary[job_run_id],
			    "DiscoveryTime", MAX(rpt_job_step_summary[started_at])), REMOVEFILTERS())
			VAR LatestBatch = TOPN(1, FILTER(Batches, NOT ISBLANK([DiscoveryTime])),
			    [DiscoveryTime], DESC, rpt_job_step_summary[job_run_id], DESC)
			RETURN MAXX(LatestBatch, rpt_job_step_summary[job_run_id])</x:v>
      </x:c>
      <x:c r="H797" s="25" t="str">
        <x:v>KPI_LATEST_CALCULATIONS.md#mission-discovery-rpt-job-step-summary-latest-key</x:v>
      </x:c>
      <x:c r="I797" s="25" t="str">
        <x:v>Saved definition; runtime/acceptance pending</x:v>
      </x:c>
    </x:row>
    <x:row r="798" ht="33" customHeight="1">
      <x:c r="A798" s="25" t="str">
        <x:v>Discovery rpt_job_step_summary Latest time</x:v>
      </x:c>
      <x:c r="B798" s="25" t="str">
        <x:v>_MissionControl_Measures</x:v>
      </x:c>
      <x:c r="C798" s="25" t="str">
        <x:v>Filter/context helper</x:v>
      </x:c>
      <x:c r="D798" s="25" t="str">
        <x:v>Helper/context; not registered as an additional KPI</x:v>
      </x:c>
      <x:c r="E798" s="25" t="str">
        <x:v>No direct saved visual binding</x:v>
      </x:c>
      <x:c r="F798" s="25" t="str">
        <x:v>monitoring.rpt_job_step_summary</x:v>
      </x:c>
      <x:c r="G798" s="25" t="str">
        <x:v>CALCULATE(MAX(rpt_job_step_summary[started_at]), REMOVEFILTERS())</x:v>
      </x:c>
      <x:c r="H798" s="25" t="str">
        <x:v>KPI_LATEST_CALCULATIONS.md#mission-discovery-rpt-job-step-summary-latest-time</x:v>
      </x:c>
      <x:c r="I798" s="25" t="str">
        <x:v>Saved definition; runtime/acceptance pending</x:v>
      </x:c>
    </x:row>
    <x:row r="799" ht="163" customHeight="1">
      <x:c r="A799" s="25" t="str">
        <x:v>Discovery rpt_job_step_summary Rows</x:v>
      </x:c>
      <x:c r="B799" s="25" t="str">
        <x:v>_MissionControl_Measures</x:v>
      </x:c>
      <x:c r="C799" s="25" t="str">
        <x:v>Operational metric</x:v>
      </x:c>
      <x:c r="D799" s="25" t="str">
        <x:v>MC-KPI-087</x:v>
      </x:c>
      <x:c r="E799" s="25" t="str">
        <x:v>No direct saved visual binding</x:v>
      </x:c>
      <x:c r="F799" s="25" t="str">
        <x:v>monitoring.cfg_job_run; monitoring.rpt_job_run_summary; monitoring.rpt_job_step_summary</x:v>
      </x:c>
      <x:c r="G799" s="25" t="str">
        <x:v>COALESCE((VAR DateChosen=ISFILTERED('Load Calendar'[Date])
			VAR JobChosen=ISFILTERED('Discovery Job Runs'[job_run_id])
			VAR Days=VALUES('Load Calendar'[Date])
			VAR Jobs=VALUES('Discovery Job Runs'[job_run_id])
			RETURN IF(DateChosen || JobChosen,CALCULATE(COUNTROWS('rpt_job_step_summary'),KEEPFILTERS(FILTER('rpt_job_step_summary',(NOT DateChosen || (NOT ISBLANK(COALESCE(rpt_job_step_summary[ended_at],rpt_job_step_summary[started_at])) &amp;&amp; INT(COALESCE(rpt_job_step_summary[ended_at],rpt_job_step_summary[started_at])) IN Days)) &amp;&amp; (NOT JobChosen || 'rpt_job_step_summary'[job_run_id] IN Jobs)))),IF(ISBLANK([Discovery rpt_job_step_summary Latest key]),CALCULATE(COUNTROWS('rpt_job_step_summary'),KEEPFILTERS(TR
[EXCERPT; complete logic in KPI_LATEST_CALCULATIONS.md]</x:v>
      </x:c>
      <x:c r="H799" s="25" t="str">
        <x:v>KPI_LATEST_CALCULATIONS.md#mission-discovery-rpt-job-step-summary-rows</x:v>
      </x:c>
      <x:c r="I799" s="25" t="str">
        <x:v>Saved definition; runtime/acceptance pending</x:v>
      </x:c>
    </x:row>
    <x:row r="800" ht="163" customHeight="1">
      <x:c r="A800" s="25" t="str">
        <x:v>Discovery rpt_job_step_summary Selected time</x:v>
      </x:c>
      <x:c r="B800" s="25" t="str">
        <x:v>_MissionControl_Measures</x:v>
      </x:c>
      <x:c r="C800" s="25" t="str">
        <x:v>Filter/context helper</x:v>
      </x:c>
      <x:c r="D800" s="25" t="str">
        <x:v>Helper/context; not registered as an additional KPI</x:v>
      </x:c>
      <x:c r="E800" s="25" t="str">
        <x:v>No direct saved visual binding</x:v>
      </x:c>
      <x:c r="F800" s="25" t="str">
        <x:v>monitoring.cfg_job_run; monitoring.rpt_job_run_summary; monitoring.rpt_job_step_summary</x:v>
      </x:c>
      <x:c r="G800" s="25" t="str">
        <x:v>VAR DateChosen=ISFILTERED('Load Calendar'[Date])
			VAR JobChosen=ISFILTERED('Discovery Job Runs'[job_run_id])
			VAR Days=VALUES('Load Calendar'[Date])
			VAR Jobs=VALUES('Discovery Job Runs'[job_run_id])
			RETURN IF(DateChosen || JobChosen,CALCULATE(MAX('rpt_job_step_summary'[started_at]),KEEPFILTERS(FILTER('rpt_job_step_summary',(NOT DateChosen || (NOT ISBLANK(COALESCE(rpt_job_step_summary[ended_at],rpt_job_step_summary[started_at])) &amp;&amp; INT(COALESCE(rpt_job_step_summary[ended_at],rpt_job_step_summary[started_at])) IN Days)) &amp;&amp; (NOT JobChosen || 'rpt_job_step_summary'[job_run_id] IN Jobs)))),IF(ISBLANK([Discovery rpt_job_step_summary Latest key]),CALCULATE(MAX('rpt_job_step_summary'[started_at]),KEEPFILTERS(
[EXCERPT; complete logic in KPI_LATEST_CALCULATIONS.md]</x:v>
      </x:c>
      <x:c r="H800" s="25" t="str">
        <x:v>KPI_LATEST_CALCULATIONS.md#mission-discovery-rpt-job-step-summary-selected-time</x:v>
      </x:c>
      <x:c r="I800" s="25" t="str">
        <x:v>Saved definition; runtime/acceptance pending</x:v>
      </x:c>
    </x:row>
    <x:row r="801" ht="59" customHeight="1">
      <x:c r="A801" s="25" t="str">
        <x:v>Discovery rpt_job_step_summary State</x:v>
      </x:c>
      <x:c r="B801" s="25" t="str">
        <x:v>_MissionControl_Measures</x:v>
      </x:c>
      <x:c r="C801" s="25" t="str">
        <x:v>Display/context helper</x:v>
      </x:c>
      <x:c r="D801" s="25" t="str">
        <x:v>Helper/context; not registered as an additional KPI</x:v>
      </x:c>
      <x:c r="E801" s="25" t="str">
        <x:v>No direct saved visual binding</x:v>
      </x:c>
      <x:c r="F801" s="25" t="str">
        <x:v>monitoring.cfg_job_run; monitoring.rpt_job_run_summary; monitoring.rpt_job_step_summary</x:v>
      </x:c>
      <x:c r="G801" s="25" t="str">
        <x:v>VAR n=[Discovery rpt_job_step_summary Rows]
			RETURN IF(n=0,IF([Discovery history selected]=1,"No retained records for this activity selection","No discovery records available"),"Retained records: " &amp; FORMAT(n,"#,0"))</x:v>
      </x:c>
      <x:c r="H801" s="25" t="str">
        <x:v>KPI_LATEST_CALCULATIONS.md#mission-discovery-rpt-job-step-summary-state</x:v>
      </x:c>
      <x:c r="I801" s="25" t="str">
        <x:v>Saved definition; runtime/acceptance pending</x:v>
      </x:c>
    </x:row>
    <x:row r="802" ht="33" customHeight="1">
      <x:c r="A802" s="25" t="str">
        <x:v>Discovery rpt_job_step_summary Visible</x:v>
      </x:c>
      <x:c r="B802" s="25" t="str">
        <x:v>_MissionControl_Measures</x:v>
      </x:c>
      <x:c r="C802" s="25" t="str">
        <x:v>Filter/context helper</x:v>
      </x:c>
      <x:c r="D802" s="25" t="str">
        <x:v>Helper/context; not registered as an additional KPI</x:v>
      </x:c>
      <x:c r="E802" s="25" t="str">
        <x:v>Lineage &amp; Step Summary</x:v>
      </x:c>
      <x:c r="F802" s="25" t="str">
        <x:v>monitoring.cfg_job_run; monitoring.rpt_job_run_summary; monitoring.rpt_job_step_summary</x:v>
      </x:c>
      <x:c r="G802" s="25" t="str">
        <x:v>IF([Discovery rpt_job_step_summary Rows]&gt;0,1,0)</x:v>
      </x:c>
      <x:c r="H802" s="25" t="str">
        <x:v>KPI_LATEST_CALCULATIONS.md#mission-discovery-rpt-job-step-summary-visible</x:v>
      </x:c>
      <x:c r="I802" s="25" t="str">
        <x:v>Saved definition; runtime/acceptance pending</x:v>
      </x:c>
    </x:row>
    <x:row r="803" ht="33" customHeight="1">
      <x:c r="A803" s="25" t="str">
        <x:v>Domain value changes</x:v>
      </x:c>
      <x:c r="B803" s="25" t="str">
        <x:v>_MissionControl_Measures</x:v>
      </x:c>
      <x:c r="C803" s="25" t="str">
        <x:v>Display/context helper</x:v>
      </x:c>
      <x:c r="D803" s="25" t="str">
        <x:v>Helper/context; not registered as an additional KPI</x:v>
      </x:c>
      <x:c r="E803" s="25" t="str">
        <x:v>Domains &amp; Reference</x:v>
      </x:c>
      <x:c r="F803" s="25" t="str">
        <x:v>monitoring.cfg_data_domain; monitoring.cfg_job_run; monitoring.rpt_job_run_summary</x:v>
      </x:c>
      <x:c r="G803" s="25" t="str">
        <x:v>"Added " &amp; FORMAT(COALESCE([Domain values Added],0),"#,0") &amp; " · Removed " &amp; FORMAT(COALESCE([Domain values Removed],0),"#,0")</x:v>
      </x:c>
      <x:c r="H803" s="25" t="str">
        <x:v>KPI_LATEST_CALCULATIONS.md#mission-domain-value-changes</x:v>
      </x:c>
      <x:c r="I803" s="25" t="str">
        <x:v>Saved definition; runtime/acceptance pending</x:v>
      </x:c>
    </x:row>
    <x:row r="804" ht="189" customHeight="1">
      <x:c r="A804" s="25" t="str">
        <x:v>Domain values Added</x:v>
      </x:c>
      <x:c r="B804" s="25" t="str">
        <x:v>_MissionControl_Measures</x:v>
      </x:c>
      <x:c r="C804" s="25" t="str">
        <x:v>Operational metric</x:v>
      </x:c>
      <x:c r="D804" s="25" t="str">
        <x:v>MC-KPI-088</x:v>
      </x:c>
      <x:c r="E804" s="25" t="str">
        <x:v>No direct saved visual binding</x:v>
      </x:c>
      <x:c r="F804" s="25" t="str">
        <x:v>monitoring.cfg_data_domain; monitoring.cfg_job_run; monitoring.rpt_job_run_summary</x:v>
      </x:c>
      <x:c r="G804" s="25" t="str">
        <x:v>COALESCE((VAR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CALCULATE(COUNTROWS(FILTER(cfg_data_domain,cfg_data_domain[change_type]="ADDED")),KEEPFILTERS(FILTER(cfg_data_domain,
			        (NOT DateChosen || INT(cfg_data_domain[profiled_at]) IN Days)
			        &amp;&amp; (NOT JobChosen || cfg_
[EXCERPT; complete logic in KPI_LATEST_CALCULATIONS.md]</x:v>
      </x:c>
      <x:c r="H804" s="25" t="str">
        <x:v>KPI_LATEST_CALCULATIONS.md#mission-domain-values-added</x:v>
      </x:c>
      <x:c r="I804" s="25" t="str">
        <x:v>Saved definition; runtime/acceptance pending</x:v>
      </x:c>
    </x:row>
    <x:row r="805" ht="189" customHeight="1">
      <x:c r="A805" s="25" t="str">
        <x:v>Domain values Removed</x:v>
      </x:c>
      <x:c r="B805" s="25" t="str">
        <x:v>_MissionControl_Measures</x:v>
      </x:c>
      <x:c r="C805" s="25" t="str">
        <x:v>Operational metric</x:v>
      </x:c>
      <x:c r="D805" s="25" t="str">
        <x:v>MC-KPI-089</x:v>
      </x:c>
      <x:c r="E805" s="25" t="str">
        <x:v>No direct saved visual binding</x:v>
      </x:c>
      <x:c r="F805" s="25" t="str">
        <x:v>monitoring.cfg_data_domain; monitoring.cfg_job_run; monitoring.rpt_job_run_summary</x:v>
      </x:c>
      <x:c r="G805" s="25" t="str">
        <x:v>COALESCE((VAR DateChosen=ISFILTERED('Load Calendar'[Date])
			VAR JobChosen=ISFILTERED('Discovery Job Runs'[job_run_id])
			VAR AllVersions=SELECTEDVALUE('Domain History View'[Mode],"Latest version")="All retained versions"
			VAR Days=VALUES('Load Calendar'[Date])
			VAR Jobs=VALUES('Discovery Job Runs'[job_run_id])
			VAR LatestKey=[Discovery cfg_data_domain Latest key]
			VAR LatestTime=[Discovery cfg_data_domain Latest time]
			RETURN IF(DateChosen || JobChosen || AllVersions,
			    CALCULATE(COUNTROWS(FILTER(cfg_data_domain,cfg_data_domain[change_type]="REMOVED")),KEEPFILTERS(FILTER(cfg_data_domain,
			        (NOT DateChosen || INT(cfg_data_domain[profiled_at]) IN Days)
			        &amp;&amp; (NOT JobChosen || cf
[EXCERPT; complete logic in KPI_LATEST_CALCULATIONS.md]</x:v>
      </x:c>
      <x:c r="H805" s="25" t="str">
        <x:v>KPI_LATEST_CALCULATIONS.md#mission-domain-values-removed</x:v>
      </x:c>
      <x:c r="I805" s="25" t="str">
        <x:v>Saved definition; runtime/acceptance pending</x:v>
      </x:c>
    </x:row>
    <x:row r="806" ht="46" customHeight="1">
      <x:c r="A806" s="25" t="str">
        <x:v>Failed Archive Table Exports</x:v>
      </x:c>
      <x:c r="B806" s="25" t="str">
        <x:v>_MissionControl_Measures</x:v>
      </x:c>
      <x:c r="C806" s="25" t="str">
        <x:v>Operational metric</x:v>
      </x:c>
      <x:c r="D806" s="25" t="str">
        <x:v>MC-KPI-097</x:v>
      </x:c>
      <x:c r="E806" s="25" t="str">
        <x:v>No direct saved visual binding</x:v>
      </x:c>
      <x:c r="F806" s="25" t="str">
        <x:v>monitoring.cfg_archive_table_export_load</x:v>
      </x:c>
      <x:c r="G806" s="25" t="str">
        <x:v>COUNTROWS ( FILTER ( 'cfg_archive_table_export_load', UPPER ( COALESCE ( 'cfg_archive_table_export_load'[status], "" ) ) IN { "FAILED", "FAIL", "ERROR" } ) )</x:v>
      </x:c>
      <x:c r="H806" s="25" t="str">
        <x:v>KPI_LATEST_CALCULATIONS.md#mission-failed-archive-table-exports</x:v>
      </x:c>
      <x:c r="I806" s="25" t="str">
        <x:v>Saved definition; runtime/acceptance pending</x:v>
      </x:c>
    </x:row>
    <x:row r="807" ht="33" customHeight="1">
      <x:c r="A807" s="25" t="str">
        <x:v>Failed Archive ZIP Batches</x:v>
      </x:c>
      <x:c r="B807" s="25" t="str">
        <x:v>_MissionControl_Measures</x:v>
      </x:c>
      <x:c r="C807" s="25" t="str">
        <x:v>Operational metric</x:v>
      </x:c>
      <x:c r="D807" s="25" t="str">
        <x:v>MC-KPI-098</x:v>
      </x:c>
      <x:c r="E807" s="25" t="str">
        <x:v>No direct saved visual binding</x:v>
      </x:c>
      <x:c r="F807" s="25" t="str">
        <x:v>monitoring.cfg_archive_zip_load</x:v>
      </x:c>
      <x:c r="G807" s="25" t="str">
        <x:v>COUNTROWS ( FILTER ( 'cfg_archive_zip_load', UPPER ( COALESCE ( 'cfg_archive_zip_load'[status], "" ) ) IN { "FAILED", "FAIL", "ERROR" } ) )</x:v>
      </x:c>
      <x:c r="H807" s="25" t="str">
        <x:v>KPI_LATEST_CALCULATIONS.md#mission-failed-archive-zip-batches</x:v>
      </x:c>
      <x:c r="I807" s="25" t="str">
        <x:v>Saved definition; runtime/acceptance pending</x:v>
      </x:c>
    </x:row>
    <x:row r="808" ht="33" customHeight="1">
      <x:c r="A808" s="25" t="str">
        <x:v>Failed Gold Snapshots</x:v>
      </x:c>
      <x:c r="B808" s="25" t="str">
        <x:v>_MissionControl_Measures</x:v>
      </x:c>
      <x:c r="C808" s="25" t="str">
        <x:v>Operational metric</x:v>
      </x:c>
      <x:c r="D808" s="25" t="str">
        <x:v>MC-KPI-099</x:v>
      </x:c>
      <x:c r="E808" s="25" t="str">
        <x:v>No direct saved visual binding</x:v>
      </x:c>
      <x:c r="F808" s="25" t="str">
        <x:v>monitoring.cfg_month_end_gold_run</x:v>
      </x:c>
      <x:c r="G808" s="25" t="str">
        <x:v>COUNTROWS ( FILTER ( 'cfg_month_end_gold_run', UPPER ( COALESCE ( 'cfg_month_end_gold_run'[status], "" ) ) IN { "FAILED", "FAIL", "ERROR" } ) )</x:v>
      </x:c>
      <x:c r="H808" s="25" t="str">
        <x:v>KPI_LATEST_CALCULATIONS.md#mission-failed-gold-snapshots</x:v>
      </x:c>
      <x:c r="I808" s="25" t="str">
        <x:v>Saved definition; runtime/acceptance pending</x:v>
      </x:c>
    </x:row>
    <x:row r="809" ht="33" customHeight="1">
      <x:c r="A809" s="25" t="str">
        <x:v>Failed Job Runs</x:v>
      </x:c>
      <x:c r="B809" s="25" t="str">
        <x:v>_MissionControl_Measures</x:v>
      </x:c>
      <x:c r="C809" s="25" t="str">
        <x:v>Operational metric</x:v>
      </x:c>
      <x:c r="D809" s="25" t="str">
        <x:v>MC-KPI-100</x:v>
      </x:c>
      <x:c r="E809" s="25" t="str">
        <x:v>No direct saved visual binding</x:v>
      </x:c>
      <x:c r="F809" s="25" t="str">
        <x:v>monitoring.rpt_job_run_summary</x:v>
      </x:c>
      <x:c r="G809" s="25" t="str">
        <x:v>CALCULATE ( [Job Runs], FILTER ( 'rpt_job_run_summary', UPPER ( COALESCE ( 'rpt_job_run_summary'[status], "" ) ) IN { "FAILED", "FAIL", "ERROR" } ) )</x:v>
      </x:c>
      <x:c r="H809" s="25" t="str">
        <x:v>KPI_LATEST_CALCULATIONS.md#mission-failed-job-runs</x:v>
      </x:c>
      <x:c r="I809" s="25" t="str">
        <x:v>Saved definition; runtime/acceptance pending</x:v>
      </x:c>
    </x:row>
    <x:row r="810" ht="33" customHeight="1">
      <x:c r="A810" s="25" t="str">
        <x:v>Failed Job Steps</x:v>
      </x:c>
      <x:c r="B810" s="25" t="str">
        <x:v>_MissionControl_Measures</x:v>
      </x:c>
      <x:c r="C810" s="25" t="str">
        <x:v>Operational metric</x:v>
      </x:c>
      <x:c r="D810" s="25" t="str">
        <x:v>MC-KPI-101</x:v>
      </x:c>
      <x:c r="E810" s="25" t="str">
        <x:v>No direct saved visual binding</x:v>
      </x:c>
      <x:c r="F810" s="25" t="str">
        <x:v>monitoring.rpt_job_step_timing</x:v>
      </x:c>
      <x:c r="G810" s="25" t="str">
        <x:v>CALCULATE ( [Job Steps], FILTER ( 'rpt_job_step_timing', UPPER ( COALESCE ( 'rpt_job_step_timing'[status], "" ) ) IN { "FAILED", "FAIL", "ERROR" } ) )</x:v>
      </x:c>
      <x:c r="H810" s="25" t="str">
        <x:v>KPI_LATEST_CALCULATIONS.md#mission-failed-job-steps</x:v>
      </x:c>
      <x:c r="I810" s="25" t="str">
        <x:v>Saved definition; runtime/acceptance pending</x:v>
      </x:c>
    </x:row>
    <x:row r="811" ht="33" customHeight="1">
      <x:c r="A811" s="25" t="str">
        <x:v>Failed Pipeline Runs</x:v>
      </x:c>
      <x:c r="B811" s="25" t="str">
        <x:v>_MissionControl_Measures</x:v>
      </x:c>
      <x:c r="C811" s="25" t="str">
        <x:v>Operational metric</x:v>
      </x:c>
      <x:c r="D811" s="25" t="str">
        <x:v>MC-KPI-102</x:v>
      </x:c>
      <x:c r="E811" s="25" t="str">
        <x:v>No direct saved visual binding</x:v>
      </x:c>
      <x:c r="F811" s="25" t="str">
        <x:v>monitoring.cfg_pipeline_run</x:v>
      </x:c>
      <x:c r="G811" s="25" t="str">
        <x:v>CALCULATE ( [Pipeline Runs], FILTER ( 'cfg_pipeline_run', UPPER ( COALESCE ( 'cfg_pipeline_run'[status], "" ) ) IN { "FAILED", "FAIL", "ERROR" } ) )</x:v>
      </x:c>
      <x:c r="H811" s="25" t="str">
        <x:v>KPI_LATEST_CALCULATIONS.md#mission-failed-pipeline-runs</x:v>
      </x:c>
      <x:c r="I811" s="25" t="str">
        <x:v>Saved definition; runtime/acceptance pending</x:v>
      </x:c>
    </x:row>
    <x:row r="812" ht="24" customHeight="1">
      <x:c r="A812" s="25" t="str">
        <x:v>Failures</x:v>
      </x:c>
      <x:c r="B812" s="25" t="str">
        <x:v>_Load Experience</x:v>
      </x:c>
      <x:c r="C812" s="25" t="str">
        <x:v>Operational metric</x:v>
      </x:c>
      <x:c r="D812" s="25" t="str">
        <x:v>MC-KPI-103</x:v>
      </x:c>
      <x:c r="E812" s="25" t="str">
        <x:v>No direct saved visual binding</x:v>
      </x:c>
      <x:c r="F812" s="25" t="str">
        <x:v>monitoring.rpt_job_run_summary</x:v>
      </x:c>
      <x:c r="G812" s="25" t="str">
        <x:v>CALCULATE([Runs], KEEPFILTERS(rpt_job_run_summary[Outcome]="Failed"))</x:v>
      </x:c>
      <x:c r="H812" s="25" t="str">
        <x:v>KPI_LATEST_CALCULATIONS.md#mission-failures</x:v>
      </x:c>
      <x:c r="I812" s="25" t="str">
        <x:v>Saved definition; runtime/acceptance pending</x:v>
      </x:c>
    </x:row>
    <x:row r="813" ht="33" customHeight="1">
      <x:c r="A813" s="25" t="str">
        <x:v>Gold Snapshot DQ Failures</x:v>
      </x:c>
      <x:c r="B813" s="25" t="str">
        <x:v>_MissionControl_Measures</x:v>
      </x:c>
      <x:c r="C813" s="25" t="str">
        <x:v>Operational metric</x:v>
      </x:c>
      <x:c r="D813" s="25" t="str">
        <x:v>MC-KPI-104</x:v>
      </x:c>
      <x:c r="E813" s="25" t="str">
        <x:v>No direct saved visual binding</x:v>
      </x:c>
      <x:c r="F813" s="25" t="str">
        <x:v>monitoring.cfg_month_end_gold_run</x:v>
      </x:c>
      <x:c r="G813" s="25" t="str">
        <x:v>COUNTROWS ( FILTER ( 'cfg_month_end_gold_run', UPPER ( COALESCE ( 'cfg_month_end_gold_run'[dq_result], "" ) ) IN { "FAILED", "FAIL", "ERROR" } ) )</x:v>
      </x:c>
      <x:c r="H813" s="25" t="str">
        <x:v>KPI_LATEST_CALCULATIONS.md#mission-gold-snapshot-dq-failures</x:v>
      </x:c>
      <x:c r="I813" s="25" t="str">
        <x:v>Saved definition; runtime/acceptance pending</x:v>
      </x:c>
    </x:row>
    <x:row r="814" ht="24" customHeight="1">
      <x:c r="A814" s="25" t="str">
        <x:v>Gold Snapshot Runs</x:v>
      </x:c>
      <x:c r="B814" s="25" t="str">
        <x:v>_MissionControl_Measures</x:v>
      </x:c>
      <x:c r="C814" s="25" t="str">
        <x:v>Operational metric</x:v>
      </x:c>
      <x:c r="D814" s="25" t="str">
        <x:v>MC-KPI-105</x:v>
      </x:c>
      <x:c r="E814" s="25" t="str">
        <x:v>No direct saved visual binding</x:v>
      </x:c>
      <x:c r="F814" s="25" t="str">
        <x:v>monitoring.cfg_month_end_gold_run</x:v>
      </x:c>
      <x:c r="G814" s="25" t="str">
        <x:v>COUNTROWS ( 'cfg_month_end_gold_run' )</x:v>
      </x:c>
      <x:c r="H814" s="25" t="str">
        <x:v>KPI_LATEST_CALCULATIONS.md#mission-gold-snapshot-runs</x:v>
      </x:c>
      <x:c r="I814" s="25" t="str">
        <x:v>Saved definition; runtime/acceptance pending</x:v>
      </x:c>
    </x:row>
    <x:row r="815" ht="33" customHeight="1">
      <x:c r="A815" s="25" t="str">
        <x:v>Gold Snapshots Awaiting Replay</x:v>
      </x:c>
      <x:c r="B815" s="25" t="str">
        <x:v>_MissionControl_Measures</x:v>
      </x:c>
      <x:c r="C815" s="25" t="str">
        <x:v>Operational metric</x:v>
      </x:c>
      <x:c r="D815" s="25" t="str">
        <x:v>MC-KPI-106</x:v>
      </x:c>
      <x:c r="E815" s="25" t="str">
        <x:v>No direct saved visual binding</x:v>
      </x:c>
      <x:c r="F815" s="25" t="str">
        <x:v>monitoring.cfg_month_end_gold_run</x:v>
      </x:c>
      <x:c r="G815" s="25" t="str">
        <x:v>CALCULATE ( [Gold Snapshot Runs], 'cfg_month_end_gold_run'[reload] = TRUE () )</x:v>
      </x:c>
      <x:c r="H815" s="25" t="str">
        <x:v>KPI_LATEST_CALCULATIONS.md#mission-gold-snapshots-awaiting-replay</x:v>
      </x:c>
      <x:c r="I815" s="25" t="str">
        <x:v>Saved definition; runtime/acceptance pending</x:v>
      </x:c>
    </x:row>
    <x:row r="816" ht="59" customHeight="1">
      <x:c r="A816" s="25" t="str">
        <x:v>High or Critical Rules Failing</x:v>
      </x:c>
      <x:c r="B816" s="25" t="str">
        <x:v>_MissionControl_Measures</x:v>
      </x:c>
      <x:c r="C816" s="25" t="str">
        <x:v>Operational metric</x:v>
      </x:c>
      <x:c r="D816" s="25" t="str">
        <x:v>MC-KPI-107</x:v>
      </x:c>
      <x:c r="E816" s="25" t="str">
        <x:v>No direct saved visual binding</x:v>
      </x:c>
      <x:c r="F816" s="25" t="str">
        <x:v>monitoring.cfg_data_quality_result</x:v>
      </x:c>
      <x:c r="G816" s="25" t="str">
        <x:v>CALCULATE ( DISTINCTCOUNT ( 'cfg_data_quality_result'[rule_id] ), FILTER ( 'cfg_data_quality_result', UPPER ( COALESCE ( 'cfg_data_quality_result'[severity], "" ) ) IN { "CRITICAL", "HIGH" } &amp;&amp; UPPER ( COALESCE ( 'cfg_data_quality_result'[status], "" ) ) IN { "FAILED", "FAIL", "ERROR" } ) )</x:v>
      </x:c>
      <x:c r="H816" s="25" t="str">
        <x:v>KPI_LATEST_CALCULATIONS.md#mission-high-or-critical-rules-failing</x:v>
      </x:c>
      <x:c r="I816" s="25" t="str">
        <x:v>Saved definition; runtime/acceptance pending</x:v>
      </x:c>
    </x:row>
    <x:row r="817" ht="33" customHeight="1">
      <x:c r="A817" s="25" t="str">
        <x:v>In progress or other</x:v>
      </x:c>
      <x:c r="B817" s="25" t="str">
        <x:v>_Load Experience</x:v>
      </x:c>
      <x:c r="C817" s="25" t="str">
        <x:v>Operational metric</x:v>
      </x:c>
      <x:c r="D817" s="25" t="str">
        <x:v>MC-KPI-108</x:v>
      </x:c>
      <x:c r="E817" s="25" t="str">
        <x:v>No direct saved visual binding</x:v>
      </x:c>
      <x:c r="F817" s="25" t="str">
        <x:v>monitoring.rpt_job_run_summary</x:v>
      </x:c>
      <x:c r="G817" s="25" t="str">
        <x:v>CALCULATE([Runs], KEEPFILTERS(rpt_job_run_summary[Outcome] IN {"Running","Other"}))</x:v>
      </x:c>
      <x:c r="H817" s="25" t="str">
        <x:v>KPI_LATEST_CALCULATIONS.md#mission-in-progress-or-other</x:v>
      </x:c>
      <x:c r="I817" s="25" t="str">
        <x:v>Saved definition; runtime/acceptance pending</x:v>
      </x:c>
    </x:row>
    <x:row r="818" ht="24" customHeight="1">
      <x:c r="A818" s="25" t="str">
        <x:v>Job Runs</x:v>
      </x:c>
      <x:c r="B818" s="25" t="str">
        <x:v>_MissionControl_Measures</x:v>
      </x:c>
      <x:c r="C818" s="25" t="str">
        <x:v>Operational metric</x:v>
      </x:c>
      <x:c r="D818" s="25" t="str">
        <x:v>MC-KPI-115</x:v>
      </x:c>
      <x:c r="E818" s="25" t="str">
        <x:v>No direct saved visual binding</x:v>
      </x:c>
      <x:c r="F818" s="25" t="str">
        <x:v>monitoring.rpt_job_run_summary</x:v>
      </x:c>
      <x:c r="G818" s="25" t="str">
        <x:v>DISTINCTCOUNT ( 'rpt_job_run_summary'[job_run_id] )</x:v>
      </x:c>
      <x:c r="H818" s="25" t="str">
        <x:v>KPI_LATEST_CALCULATIONS.md#mission-job-runs</x:v>
      </x:c>
      <x:c r="I818" s="25" t="str">
        <x:v>Saved definition; runtime/acceptance pending</x:v>
      </x:c>
    </x:row>
    <x:row r="819" ht="24" customHeight="1">
      <x:c r="A819" s="25" t="str">
        <x:v>Job Steps</x:v>
      </x:c>
      <x:c r="B819" s="25" t="str">
        <x:v>_MissionControl_Measures</x:v>
      </x:c>
      <x:c r="C819" s="25" t="str">
        <x:v>Operational metric</x:v>
      </x:c>
      <x:c r="D819" s="25" t="str">
        <x:v>MC-KPI-116</x:v>
      </x:c>
      <x:c r="E819" s="25" t="str">
        <x:v>No direct saved visual binding</x:v>
      </x:c>
      <x:c r="F819" s="25" t="str">
        <x:v>monitoring.rpt_job_step_timing</x:v>
      </x:c>
      <x:c r="G819" s="25" t="str">
        <x:v>COUNTROWS ( 'rpt_job_step_timing' )</x:v>
      </x:c>
      <x:c r="H819" s="25" t="str">
        <x:v>KPI_LATEST_CALCULATIONS.md#mission-job-steps</x:v>
      </x:c>
      <x:c r="I819" s="25" t="str">
        <x:v>Saved definition; runtime/acceptance pending</x:v>
      </x:c>
    </x:row>
    <x:row r="820" ht="33" customHeight="1">
      <x:c r="A820" s="25" t="str">
        <x:v>Job Steps With Error</x:v>
      </x:c>
      <x:c r="B820" s="25" t="str">
        <x:v>_MissionControl_Measures</x:v>
      </x:c>
      <x:c r="C820" s="25" t="str">
        <x:v>Operational metric</x:v>
      </x:c>
      <x:c r="D820" s="25" t="str">
        <x:v>MC-KPI-117</x:v>
      </x:c>
      <x:c r="E820" s="25" t="str">
        <x:v>No direct saved visual binding</x:v>
      </x:c>
      <x:c r="F820" s="25" t="str">
        <x:v>monitoring.rpt_job_step_timing</x:v>
      </x:c>
      <x:c r="G820" s="25" t="str">
        <x:v>COUNTROWS ( FILTER ( 'rpt_job_step_timing', NOT ISBLANK ( 'rpt_job_step_timing'[error_message] ) &amp;&amp; 'rpt_job_step_timing'[error_message] &lt;&gt; "" ) )</x:v>
      </x:c>
      <x:c r="H820" s="25" t="str">
        <x:v>KPI_LATEST_CALCULATIONS.md#mission-job-steps-with-error</x:v>
      </x:c>
      <x:c r="I820" s="25" t="str">
        <x:v>Saved definition; runtime/acceptance pending</x:v>
      </x:c>
    </x:row>
    <x:row r="821" ht="24" customHeight="1">
      <x:c r="A821" s="25" t="str">
        <x:v>Job Success Rate</x:v>
      </x:c>
      <x:c r="B821" s="25" t="str">
        <x:v>_MissionControl_Measures</x:v>
      </x:c>
      <x:c r="C821" s="25" t="str">
        <x:v>Operational metric</x:v>
      </x:c>
      <x:c r="D821" s="25" t="str">
        <x:v>MC-KPI-118</x:v>
      </x:c>
      <x:c r="E821" s="25" t="str">
        <x:v>No direct saved visual binding</x:v>
      </x:c>
      <x:c r="F821" s="25" t="str">
        <x:v>monitoring.rpt_job_run_summary</x:v>
      </x:c>
      <x:c r="G821" s="25" t="str">
        <x:v>DIVIDE ( [Successful Job Runs], [Successful Job Runs] + [Failed Job Runs] )</x:v>
      </x:c>
      <x:c r="H821" s="25" t="str">
        <x:v>KPI_LATEST_CALCULATIONS.md#mission-job-success-rate</x:v>
      </x:c>
      <x:c r="I821" s="25" t="str">
        <x:v>Saved definition; runtime/acceptance pending</x:v>
      </x:c>
    </x:row>
    <x:row r="822" ht="24" customHeight="1">
      <x:c r="A822" s="25" t="str">
        <x:v>Job actual min</x:v>
      </x:c>
      <x:c r="B822" s="25" t="str">
        <x:v>_Run Benchmarks</x:v>
      </x:c>
      <x:c r="C822" s="25" t="str">
        <x:v>Operational metric</x:v>
      </x:c>
      <x:c r="D822" s="25" t="str">
        <x:v>MC-KPI-109</x:v>
      </x:c>
      <x:c r="E822" s="25" t="str">
        <x:v>Job &amp; Step Timelines; Watch Tower</x:v>
      </x:c>
      <x:c r="F822" s="25" t="str">
        <x:v>monitoring.rpt_job_run_summary</x:v>
      </x:c>
      <x:c r="G822" s="25" t="str">
        <x:v>DIVIDE(SELECTEDVALUE('rpt_job_run_summary'[job_duration_seconds]),60)</x:v>
      </x:c>
      <x:c r="H822" s="25" t="str">
        <x:v>KPI_LATEST_CALCULATIONS.md#mission-job-actual-min</x:v>
      </x:c>
      <x:c r="I822" s="25" t="str">
        <x:v>Saved definition; runtime/acceptance pending</x:v>
      </x:c>
    </x:row>
    <x:row r="823" ht="189" customHeight="1">
      <x:c r="A823" s="25" t="str">
        <x:v>Job baseline n</x:v>
      </x:c>
      <x:c r="B823" s="25" t="str">
        <x:v>_Run Benchmarks</x:v>
      </x:c>
      <x:c r="C823" s="25" t="str">
        <x:v>Operational metric</x:v>
      </x:c>
      <x:c r="D823" s="25" t="str">
        <x:v>MC-KPI-110</x:v>
      </x:c>
      <x:c r="E823" s="25" t="str">
        <x:v>Job &amp; Step Timelines; Watch Tower</x:v>
      </x:c>
      <x:c r="F823" s="25" t="str">
        <x:v>monitoring.rpt_job_run_summary</x:v>
      </x:c>
      <x:c r="G823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
[EXCERPT; complete logic in KPI_LATEST_CALCULATIONS.md]</x:v>
      </x:c>
      <x:c r="H823" s="25" t="str">
        <x:v>KPI_LATEST_CALCULATIONS.md#mission-job-baseline-n</x:v>
      </x:c>
      <x:c r="I823" s="25" t="str">
        <x:v>Saved definition; runtime/acceptance pending</x:v>
      </x:c>
    </x:row>
    <x:row r="824" ht="72" customHeight="1">
      <x:c r="A824" s="25" t="str">
        <x:v>Job comparison</x:v>
      </x:c>
      <x:c r="B824" s="25" t="str">
        <x:v>_Run Benchmarks</x:v>
      </x:c>
      <x:c r="C824" s="25" t="str">
        <x:v>Display/context helper</x:v>
      </x:c>
      <x:c r="D824" s="25" t="str">
        <x:v>Helper/context; not registered as an additional KPI</x:v>
      </x:c>
      <x:c r="E824" s="25" t="str">
        <x:v>Job &amp; Step Timelines; Watch Tower</x:v>
      </x:c>
      <x:c r="F824" s="25" t="str">
        <x:v>monitoring.rpt_job_run_summary</x:v>
      </x:c>
      <x:c r="G824" s="25" t="str">
        <x:v>VAR n=[Job baseline n]
			VAR actual=[Job actual min]
			RETURN SWITCH(TRUE(),ISBLANK(n),"Select one job",n&lt;5,"Insufficient history",ISBLANK(actual),"No duration recorded",actual&lt;[Job prior p25 min],"Below prior P25",actual&gt;[Job prior p75 min],"Above prior P75","Within prior IQR")</x:v>
      </x:c>
      <x:c r="H824" s="25" t="str">
        <x:v>KPI_LATEST_CALCULATIONS.md#mission-job-comparison</x:v>
      </x:c>
      <x:c r="I824" s="25" t="str">
        <x:v>Saved definition; runtime/acceptance pending</x:v>
      </x:c>
    </x:row>
    <x:row r="825" ht="189" customHeight="1">
      <x:c r="A825" s="25" t="str">
        <x:v>Job prior mean min</x:v>
      </x:c>
      <x:c r="B825" s="25" t="str">
        <x:v>_Run Benchmarks</x:v>
      </x:c>
      <x:c r="C825" s="25" t="str">
        <x:v>Operational metric</x:v>
      </x:c>
      <x:c r="D825" s="25" t="str">
        <x:v>MC-KPI-111</x:v>
      </x:c>
      <x:c r="E825" s="25" t="str">
        <x:v>Job &amp; Step Timelines; Watch Tower</x:v>
      </x:c>
      <x:c r="F825" s="25" t="str">
        <x:v>monitoring.rpt_job_run_summary</x:v>
      </x:c>
      <x:c r="G825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
[EXCERPT; complete logic in KPI_LATEST_CALCULATIONS.md]</x:v>
      </x:c>
      <x:c r="H825" s="25" t="str">
        <x:v>KPI_LATEST_CALCULATIONS.md#mission-job-prior-mean-min</x:v>
      </x:c>
      <x:c r="I825" s="25" t="str">
        <x:v>Saved definition; runtime/acceptance pending</x:v>
      </x:c>
    </x:row>
    <x:row r="826" ht="189" customHeight="1">
      <x:c r="A826" s="25" t="str">
        <x:v>Job prior median min</x:v>
      </x:c>
      <x:c r="B826" s="25" t="str">
        <x:v>_Run Benchmarks</x:v>
      </x:c>
      <x:c r="C826" s="25" t="str">
        <x:v>Operational metric</x:v>
      </x:c>
      <x:c r="D826" s="25" t="str">
        <x:v>MC-KPI-112</x:v>
      </x:c>
      <x:c r="E826" s="25" t="str">
        <x:v>Job &amp; Step Timelines; Watch Tower</x:v>
      </x:c>
      <x:c r="F826" s="25" t="str">
        <x:v>monitoring.rpt_job_run_summary</x:v>
      </x:c>
      <x:c r="G826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
[EXCERPT; complete logic in KPI_LATEST_CALCULATIONS.md]</x:v>
      </x:c>
      <x:c r="H826" s="25" t="str">
        <x:v>KPI_LATEST_CALCULATIONS.md#mission-job-prior-median-min</x:v>
      </x:c>
      <x:c r="I826" s="25" t="str">
        <x:v>Saved definition; runtime/acceptance pending</x:v>
      </x:c>
    </x:row>
    <x:row r="827" ht="189" customHeight="1">
      <x:c r="A827" s="25" t="str">
        <x:v>Job prior p25 min</x:v>
      </x:c>
      <x:c r="B827" s="25" t="str">
        <x:v>_Run Benchmarks</x:v>
      </x:c>
      <x:c r="C827" s="25" t="str">
        <x:v>Operational metric</x:v>
      </x:c>
      <x:c r="D827" s="25" t="str">
        <x:v>MC-KPI-113</x:v>
      </x:c>
      <x:c r="E827" s="25" t="str">
        <x:v>Job &amp; Step Timelines; Watch Tower</x:v>
      </x:c>
      <x:c r="F827" s="25" t="str">
        <x:v>monitoring.rpt_job_run_summary</x:v>
      </x:c>
      <x:c r="G827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
[EXCERPT; complete logic in KPI_LATEST_CALCULATIONS.md]</x:v>
      </x:c>
      <x:c r="H827" s="25" t="str">
        <x:v>KPI_LATEST_CALCULATIONS.md#mission-job-prior-p25-min</x:v>
      </x:c>
      <x:c r="I827" s="25" t="str">
        <x:v>Saved definition; runtime/acceptance pending</x:v>
      </x:c>
    </x:row>
    <x:row r="828" ht="189" customHeight="1">
      <x:c r="A828" s="25" t="str">
        <x:v>Job prior p75 min</x:v>
      </x:c>
      <x:c r="B828" s="25" t="str">
        <x:v>_Run Benchmarks</x:v>
      </x:c>
      <x:c r="C828" s="25" t="str">
        <x:v>Operational metric</x:v>
      </x:c>
      <x:c r="D828" s="25" t="str">
        <x:v>MC-KPI-114</x:v>
      </x:c>
      <x:c r="E828" s="25" t="str">
        <x:v>Job &amp; Step Timelines; Watch Tower</x:v>
      </x:c>
      <x:c r="F828" s="25" t="str">
        <x:v>monitoring.rpt_job_run_summary</x:v>
      </x:c>
      <x:c r="G828" s="25" t="str">
        <x:v>VAR anchor=SELECTEDVALUE('rpt_job_run_summary'[started_at])
			VAR pipeline=SELECTEDVALUE('rpt_job_run_summary'[pipeline_name])
			VAR currentJob=SELECTEDVALUE('rpt_job_run_summary'[job_run_id])
			VAR history=FILTER(CALCULATETABLE('rpt_job_run_summary',REMOVEFILTERS('Load Calendar'),REMOVEFILTERS('rpt_job_run_summary'),REMOVEFILTERS('rpt_job_run_summary')),
			    'rpt_job_run_summary'[pipeline_name]=pipeline &amp;&amp; 'rpt_job_run_summary'[job_run_id]&lt;&gt;currentJob
			    &amp;&amp; 'rpt_job_run_summary'[started_at]&gt;=anchor-30 &amp;&amp; 'rpt_job_run_summary'[ended_at]&lt;anchor
			    &amp;&amp; NOT ISBLANK('rpt_job_run_summary'[ended_at]) &amp;&amp; 'rpt_job_run_summary'[ended_at]&gt;='rpt_job_run_summary'[started_at]
			    &amp;&amp; NOT ISBLANK('rpt_job_run_
[EXCERPT; complete logic in KPI_LATEST_CALCULATIONS.md]</x:v>
      </x:c>
      <x:c r="H828" s="25" t="str">
        <x:v>KPI_LATEST_CALCULATIONS.md#mission-job-prior-p75-min</x:v>
      </x:c>
      <x:c r="I828" s="25" t="str">
        <x:v>Saved definition; runtime/acceptance pending</x:v>
      </x:c>
    </x:row>
    <x:row r="829" ht="33" customHeight="1">
      <x:c r="A829" s="25" t="str">
        <x:v>Latest Archived Schema Capture</x:v>
      </x:c>
      <x:c r="B829" s="25" t="str">
        <x:v>_MissionControl_Measures</x:v>
      </x:c>
      <x:c r="C829" s="25" t="str">
        <x:v>Operational metric</x:v>
      </x:c>
      <x:c r="D829" s="25" t="str">
        <x:v>MC-KPI-119</x:v>
      </x:c>
      <x:c r="E829" s="25" t="str">
        <x:v>No direct saved visual binding</x:v>
      </x:c>
      <x:c r="F829" s="25" t="str">
        <x:v>monitoring.cfg_archived_schema_live</x:v>
      </x:c>
      <x:c r="G829" s="25" t="str">
        <x:v>MAX ( 'cfg_archived_schema_live'[contract_loaded_at] )</x:v>
      </x:c>
      <x:c r="H829" s="25" t="str">
        <x:v>KPI_LATEST_CALCULATIONS.md#mission-latest-archived-schema-capture</x:v>
      </x:c>
      <x:c r="I829" s="25" t="str">
        <x:v>Saved definition; runtime/acceptance pending</x:v>
      </x:c>
    </x:row>
    <x:row r="830" ht="137" customHeight="1">
      <x:c r="A830" s="25" t="str">
        <x:v>Latest Job Run ID</x:v>
      </x:c>
      <x:c r="B830" s="25" t="str">
        <x:v>_MissionControl_Measures</x:v>
      </x:c>
      <x:c r="C830" s="25" t="str">
        <x:v>Display/context helper</x:v>
      </x:c>
      <x:c r="D830" s="25" t="str">
        <x:v>Helper/context; not registered as an additional KPI</x:v>
      </x:c>
      <x:c r="E830" s="25" t="str">
        <x:v>No direct saved visual binding</x:v>
      </x:c>
      <x:c r="F830" s="25" t="str">
        <x:v>monitoring.rpt_job_run_summary</x:v>
      </x:c>
      <x:c r="G830" s="25" t="str">
        <x:v>VAR latest_job =
				TOPN (
					1,
					FILTER ( ALLSELECTED ( 'rpt_job_run_summary' ), NOT ISBLANK ( 'rpt_job_run_summary'[started_at] ) ),
					'rpt_job_run_summary'[started_at], DESC,
					'rpt_job_run_summary'[job_run_id], DESC
				)
			RETURN
				MAXX ( latest_job, 'rpt_job_run_summary'[job_run_id] )</x:v>
      </x:c>
      <x:c r="H830" s="25" t="str">
        <x:v>KPI_LATEST_CALCULATIONS.md#mission-latest-job-run-id</x:v>
      </x:c>
      <x:c r="I830" s="25" t="str">
        <x:v>Saved definition; runtime/acceptance pending</x:v>
      </x:c>
    </x:row>
    <x:row r="831" ht="33" customHeight="1">
      <x:c r="A831" s="25" t="str">
        <x:v>Latest Job Run Started</x:v>
      </x:c>
      <x:c r="B831" s="25" t="str">
        <x:v>_MissionControl_Measures</x:v>
      </x:c>
      <x:c r="C831" s="25" t="str">
        <x:v>Operational metric</x:v>
      </x:c>
      <x:c r="D831" s="25" t="str">
        <x:v>MC-KPI-120</x:v>
      </x:c>
      <x:c r="E831" s="25" t="str">
        <x:v>No direct saved visual binding</x:v>
      </x:c>
      <x:c r="F831" s="25" t="str">
        <x:v>monitoring.rpt_job_run_summary</x:v>
      </x:c>
      <x:c r="G831" s="25" t="str">
        <x:v>MAXX ( FILTER ( ALLSELECTED ( 'rpt_job_run_summary' ), NOT ISBLANK ( 'rpt_job_run_summary'[started_at] ) ), 'rpt_job_run_summary'[started_at] )</x:v>
      </x:c>
      <x:c r="H831" s="25" t="str">
        <x:v>KPI_LATEST_CALCULATIONS.md#mission-latest-job-run-started</x:v>
      </x:c>
      <x:c r="I831" s="25" t="str">
        <x:v>Saved definition; runtime/acceptance pending</x:v>
      </x:c>
    </x:row>
    <x:row r="832" ht="59" customHeight="1">
      <x:c r="A832" s="25" t="str">
        <x:v>Latest Load Critical Rules</x:v>
      </x:c>
      <x:c r="B832" s="25" t="str">
        <x:v>_MissionControl_Measures</x:v>
      </x:c>
      <x:c r="C832" s="25" t="str">
        <x:v>Operational metric</x:v>
      </x:c>
      <x:c r="D832" s="25" t="str">
        <x:v>MC-KPI-121</x:v>
      </x:c>
      <x:c r="E832" s="25" t="str">
        <x:v>Quality &amp; Schema</x:v>
      </x:c>
      <x:c r="F832" s="25" t="str">
        <x:v>monitoring.cfg_data_quality_result; monitoring.rpt_job_run_summary</x:v>
      </x:c>
      <x:c r="G832" s="25" t="str">
        <x:v>VAR _id = [Latest Load Run ID]
			RETURN IF([Latest Load Quality Records] &gt; 0,
			    COALESCE(CALCULATE([Critical Rules Failing], KEEPFILTERS(TREATAS({_id}, cfg_data_quality_result[job_run_id]))), 0))</x:v>
      </x:c>
      <x:c r="H832" s="25" t="str">
        <x:v>KPI_LATEST_CALCULATIONS.md#mission-latest-load-critical-rules</x:v>
      </x:c>
      <x:c r="I832" s="25" t="str">
        <x:v>Saved definition; runtime/acceptance pending</x:v>
      </x:c>
    </x:row>
    <x:row r="833" ht="59" customHeight="1">
      <x:c r="A833" s="25" t="str">
        <x:v>Latest Load Evaluated Checks</x:v>
      </x:c>
      <x:c r="B833" s="25" t="str">
        <x:v>_MissionControl_Measures</x:v>
      </x:c>
      <x:c r="C833" s="25" t="str">
        <x:v>Operational metric</x:v>
      </x:c>
      <x:c r="D833" s="25" t="str">
        <x:v>MC-KPI-122</x:v>
      </x:c>
      <x:c r="E833" s="25" t="str">
        <x:v>Quality &amp; Schema</x:v>
      </x:c>
      <x:c r="F833" s="25" t="str">
        <x:v>monitoring.cfg_data_quality_result; monitoring.rpt_job_run_summary</x:v>
      </x:c>
      <x:c r="G833" s="25" t="str">
        <x:v>VAR _id = [Latest Load Run ID]
			RETURN IF([Latest Load Quality Records] &gt; 0,
			    COALESCE(CALCULATE([DQ Evaluated Checks], KEEPFILTERS(TREATAS({_id}, cfg_data_quality_result[job_run_id]))), 0))</x:v>
      </x:c>
      <x:c r="H833" s="25" t="str">
        <x:v>KPI_LATEST_CALCULATIONS.md#mission-latest-load-evaluated-checks</x:v>
      </x:c>
      <x:c r="I833" s="25" t="str">
        <x:v>Saved definition; runtime/acceptance pending</x:v>
      </x:c>
    </x:row>
    <x:row r="834" ht="59" customHeight="1">
      <x:c r="A834" s="25" t="str">
        <x:v>Latest Load Failed Checks</x:v>
      </x:c>
      <x:c r="B834" s="25" t="str">
        <x:v>_MissionControl_Measures</x:v>
      </x:c>
      <x:c r="C834" s="25" t="str">
        <x:v>Operational metric</x:v>
      </x:c>
      <x:c r="D834" s="25" t="str">
        <x:v>MC-KPI-123</x:v>
      </x:c>
      <x:c r="E834" s="25" t="str">
        <x:v>Quality &amp; Schema</x:v>
      </x:c>
      <x:c r="F834" s="25" t="str">
        <x:v>monitoring.cfg_data_quality_result; monitoring.rpt_job_run_summary</x:v>
      </x:c>
      <x:c r="G834" s="25" t="str">
        <x:v>VAR _id = [Latest Load Run ID]
			RETURN IF([Latest Load Quality Records] &gt; 0,
			    COALESCE(CALCULATE([DQ Failed Checks], KEEPFILTERS(TREATAS({_id}, cfg_data_quality_result[job_run_id]))), 0))</x:v>
      </x:c>
      <x:c r="H834" s="25" t="str">
        <x:v>KPI_LATEST_CALCULATIONS.md#mission-latest-load-failed-checks</x:v>
      </x:c>
      <x:c r="I834" s="25" t="str">
        <x:v>Saved definition; runtime/acceptance pending</x:v>
      </x:c>
    </x:row>
    <x:row r="835" ht="59" customHeight="1">
      <x:c r="A835" s="25" t="str">
        <x:v>Latest Load Failed Rows</x:v>
      </x:c>
      <x:c r="B835" s="25" t="str">
        <x:v>_MissionControl_Measures</x:v>
      </x:c>
      <x:c r="C835" s="25" t="str">
        <x:v>Operational metric</x:v>
      </x:c>
      <x:c r="D835" s="25" t="str">
        <x:v>MC-KPI-124</x:v>
      </x:c>
      <x:c r="E835" s="25" t="str">
        <x:v>Quality &amp; Schema</x:v>
      </x:c>
      <x:c r="F835" s="25" t="str">
        <x:v>monitoring.cfg_data_quality_result; monitoring.rpt_job_run_summary</x:v>
      </x:c>
      <x:c r="G835" s="25" t="str">
        <x:v>VAR _id = [Latest Load Run ID]
			RETURN IF([Latest Load Quality Records] &gt; 0,
			    COALESCE(CALCULATE([DQ Failed Rows], KEEPFILTERS(TREATAS({_id}, cfg_data_quality_result[job_run_id]))), 0))</x:v>
      </x:c>
      <x:c r="H835" s="25" t="str">
        <x:v>KPI_LATEST_CALCULATIONS.md#mission-latest-load-failed-rows</x:v>
      </x:c>
      <x:c r="I835" s="25" t="str">
        <x:v>Saved definition; runtime/acceptance pending</x:v>
      </x:c>
    </x:row>
    <x:row r="836" ht="46" customHeight="1">
      <x:c r="A836" s="25" t="str">
        <x:v>Latest Load Quality Records</x:v>
      </x:c>
      <x:c r="B836" s="25" t="str">
        <x:v>_MissionControl_Measures</x:v>
      </x:c>
      <x:c r="C836" s="25" t="str">
        <x:v>Operational metric</x:v>
      </x:c>
      <x:c r="D836" s="25" t="str">
        <x:v>MC-KPI-125</x:v>
      </x:c>
      <x:c r="E836" s="25" t="str">
        <x:v>No direct saved visual binding</x:v>
      </x:c>
      <x:c r="F836" s="25" t="str">
        <x:v>monitoring.cfg_data_quality_result; monitoring.rpt_job_run_summary</x:v>
      </x:c>
      <x:c r="G836" s="25" t="str">
        <x:v>VAR _id = [Latest Load Run ID]
			RETURN IF(NOT ISBLANK(_id), COALESCE(CALCULATE(COUNTROWS(cfg_data_quality_result), REMOVEFILTERS(), cfg_data_quality_result[job_run_id] = _id), 0))</x:v>
      </x:c>
      <x:c r="H836" s="25" t="str">
        <x:v>KPI_LATEST_CALCULATIONS.md#mission-latest-load-quality-records</x:v>
      </x:c>
      <x:c r="I836" s="25" t="str">
        <x:v>Saved definition; runtime/acceptance pending</x:v>
      </x:c>
    </x:row>
    <x:row r="837" ht="124" customHeight="1">
      <x:c r="A837" s="25" t="str">
        <x:v>Latest Load Quality Report</x:v>
      </x:c>
      <x:c r="B837" s="25" t="str">
        <x:v>_MissionControl_Measures</x:v>
      </x:c>
      <x:c r="C837" s="25" t="str">
        <x:v>Display/context helper</x:v>
      </x:c>
      <x:c r="D837" s="25" t="str">
        <x:v>Helper/context; not registered as an additional KPI</x:v>
      </x:c>
      <x:c r="E837" s="25" t="str">
        <x:v>Quality &amp; Schema</x:v>
      </x:c>
      <x:c r="F837" s="25" t="str">
        <x:v>monitoring.cfg_data_quality_result; monitoring.rpt_job_run_summary</x:v>
      </x:c>
      <x:c r="G837" s="25" t="str">
        <x:v>VAR _id = [Latest Load Run ID]
			VAR lastCheck = CALCULATE(MAX(cfg_data_quality_result[checked_at]), REMOVEFILTERS(), cfg_data_quality_result[job_run_id] = _id)
			RETURN IF(ISBLANK(_id), "No load recorded in this model",
			    "Load started " &amp; FORMAT([Latest Load Started], "dd MMM yyyy HH:mm") &amp; " | " &amp;
			    IF([Latest Load Quality Records] = 0, "No quality report for this load yet",
			       "Quality checked " &amp; FORMAT(lastCheck, "dd MMM yyyy HH:mm")))</x:v>
      </x:c>
      <x:c r="H837" s="25" t="str">
        <x:v>KPI_LATEST_CALCULATIONS.md#mission-latest-load-quality-report</x:v>
      </x:c>
      <x:c r="I837" s="25" t="str">
        <x:v>Saved definition; runtime/acceptance pending</x:v>
      </x:c>
    </x:row>
    <x:row r="838" ht="98" customHeight="1">
      <x:c r="A838" s="25" t="str">
        <x:v>Latest Load Run ID</x:v>
      </x:c>
      <x:c r="B838" s="25" t="str">
        <x:v>_MissionControl_Measures</x:v>
      </x:c>
      <x:c r="C838" s="25" t="str">
        <x:v>Display/context helper</x:v>
      </x:c>
      <x:c r="D838" s="25" t="str">
        <x:v>Helper/context; not registered as an additional KPI</x:v>
      </x:c>
      <x:c r="E838" s="25" t="str">
        <x:v>Quality &amp; Schema</x:v>
      </x:c>
      <x:c r="F838" s="25" t="str">
        <x:v>monitoring.rpt_job_run_summary</x:v>
      </x:c>
      <x:c r="G838" s="25" t="str">
        <x:v>VAR latest = TOPN(1,
			    FILTER(CALCULATETABLE(rpt_job_run_summary, REMOVEFILTERS()), NOT ISBLANK(rpt_job_run_summary[started_at])),
			    rpt_job_run_summary[started_at], DESC, rpt_job_run_summary[job_run_id], DESC)
			RETURN CALCULATE(MAXX(latest, rpt_job_run_summary[job_run_id]), REMOVEFILTERS())</x:v>
      </x:c>
      <x:c r="H838" s="25" t="str">
        <x:v>KPI_LATEST_CALCULATIONS.md#mission-latest-load-run-id</x:v>
      </x:c>
      <x:c r="I838" s="25" t="str">
        <x:v>Saved definition; runtime/acceptance pending</x:v>
      </x:c>
    </x:row>
    <x:row r="839" ht="46" customHeight="1">
      <x:c r="A839" s="25" t="str">
        <x:v>Latest Load Started</x:v>
      </x:c>
      <x:c r="B839" s="25" t="str">
        <x:v>_MissionControl_Measures</x:v>
      </x:c>
      <x:c r="C839" s="25" t="str">
        <x:v>Operational metric</x:v>
      </x:c>
      <x:c r="D839" s="25" t="str">
        <x:v>MC-KPI-126</x:v>
      </x:c>
      <x:c r="E839" s="25" t="str">
        <x:v>No direct saved visual binding</x:v>
      </x:c>
      <x:c r="F839" s="25" t="str">
        <x:v>monitoring.rpt_job_run_summary</x:v>
      </x:c>
      <x:c r="G839" s="25" t="str">
        <x:v>VAR _id = [Latest Load Run ID]
			RETURN IF(NOT ISBLANK(_id), CALCULATE(MAX(rpt_job_run_summary[started_at]), REMOVEFILTERS(), rpt_job_run_summary[job_run_id] = _id))</x:v>
      </x:c>
      <x:c r="H839" s="25" t="str">
        <x:v>KPI_LATEST_CALCULATIONS.md#mission-latest-load-started</x:v>
      </x:c>
      <x:c r="I839" s="25" t="str">
        <x:v>Saved definition; runtime/acceptance pending</x:v>
      </x:c>
    </x:row>
    <x:row r="840" ht="46" customHeight="1">
      <x:c r="A840" s="25" t="str">
        <x:v>Latest Load Status</x:v>
      </x:c>
      <x:c r="B840" s="25" t="str">
        <x:v>_MissionControl_Measures</x:v>
      </x:c>
      <x:c r="C840" s="25" t="str">
        <x:v>Display/context helper</x:v>
      </x:c>
      <x:c r="D840" s="25" t="str">
        <x:v>Helper/context; not registered as an additional KPI</x:v>
      </x:c>
      <x:c r="E840" s="25" t="str">
        <x:v>Quality &amp; Schema</x:v>
      </x:c>
      <x:c r="F840" s="25" t="str">
        <x:v>monitoring.rpt_job_run_summary</x:v>
      </x:c>
      <x:c r="G840" s="25" t="str">
        <x:v>VAR _id = [Latest Load Run ID]
			RETURN IF(ISBLANK(_id), "No loads", CALCULATE(SELECTEDVALUE(rpt_job_run_summary[status]), REMOVEFILTERS(), rpt_job_run_summary[job_run_id] = _id))</x:v>
      </x:c>
      <x:c r="H840" s="25" t="str">
        <x:v>KPI_LATEST_CALCULATIONS.md#mission-latest-load-status</x:v>
      </x:c>
      <x:c r="I840" s="25" t="str">
        <x:v>Saved definition; runtime/acceptance pending</x:v>
      </x:c>
    </x:row>
    <x:row r="841" ht="24" customHeight="1">
      <x:c r="A841" s="25" t="str">
        <x:v>Latest Pipeline End</x:v>
      </x:c>
      <x:c r="B841" s="25" t="str">
        <x:v>_MissionControl_Measures</x:v>
      </x:c>
      <x:c r="C841" s="25" t="str">
        <x:v>Operational metric</x:v>
      </x:c>
      <x:c r="D841" s="25" t="str">
        <x:v>MC-KPI-131</x:v>
      </x:c>
      <x:c r="E841" s="25" t="str">
        <x:v>No direct saved visual binding</x:v>
      </x:c>
      <x:c r="F841" s="25" t="str">
        <x:v>monitoring.cfg_pipeline_run</x:v>
      </x:c>
      <x:c r="G841" s="25" t="str">
        <x:v>MAX ( 'cfg_pipeline_run'[ended_at] )</x:v>
      </x:c>
      <x:c r="H841" s="25" t="str">
        <x:v>KPI_LATEST_CALCULATIONS.md#mission-latest-pipeline-end</x:v>
      </x:c>
      <x:c r="I841" s="25" t="str">
        <x:v>Saved definition; runtime/acceptance pending</x:v>
      </x:c>
    </x:row>
    <x:row r="842" ht="163" customHeight="1">
      <x:c r="A842" s="25" t="str">
        <x:v>Latest Pipeline Row Visible</x:v>
      </x:c>
      <x:c r="B842" s="25" t="str">
        <x:v>_MissionControl_Measures</x:v>
      </x:c>
      <x:c r="C842" s="25" t="str">
        <x:v>Filter/context helper</x:v>
      </x:c>
      <x:c r="D842" s="25" t="str">
        <x:v>Helper/context; not registered as an additional KPI</x:v>
      </x:c>
      <x:c r="E842" s="25" t="str">
        <x:v>Job Step Detail (Drillthrough)</x:v>
      </x:c>
      <x:c r="F842" s="25" t="str">
        <x:v>monitoring.rpt_job_run_summary</x:v>
      </x:c>
      <x:c r="G842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COUNTROWS(cfg_pipeline_run),
			    CALCULATE(COUNTROWS(cfg_pipeline_run), KEEPFILTERS(TREATAS({LatestId}, rpt_job_run_summary[job_run_id]))))
			RETURN IF(n &gt; 0, 1, 0)</x:v>
      </x:c>
      <x:c r="H842" s="25" t="str">
        <x:v>KPI_LATEST_CALCULATIONS.md#mission-latest-pipeline-row-visible</x:v>
      </x:c>
      <x:c r="I842" s="25" t="str">
        <x:v>Saved definition; runtime/acceptance pending</x:v>
      </x:c>
    </x:row>
    <x:row r="843" ht="59" customHeight="1">
      <x:c r="A843" s="25" t="str">
        <x:v>Latest Pipeline Status</x:v>
      </x:c>
      <x:c r="B843" s="25" t="str">
        <x:v>_MissionControl_Measures</x:v>
      </x:c>
      <x:c r="C843" s="25" t="str">
        <x:v>Display/context helper</x:v>
      </x:c>
      <x:c r="D843" s="25" t="str">
        <x:v>Helper/context; not registered as an additional KPI</x:v>
      </x:c>
      <x:c r="E843" s="25" t="str">
        <x:v>No direct saved visual binding</x:v>
      </x:c>
      <x:c r="F843" s="25" t="str">
        <x:v>monitoring.cfg_pipeline_run</x:v>
      </x:c>
      <x:c r="G843" s="25" t="str">
        <x:v>VAR latest_end = [Latest Pipeline End]
			RETURN
			    CALCULATE ( CONCATENATEX ( VALUES ( 'cfg_pipeline_run'[status] ), 'cfg_pipeline_run'[status], ", " ), 'cfg_pipeline_run'[ended_at] = latest_end )</x:v>
      </x:c>
      <x:c r="H843" s="25" t="str">
        <x:v>KPI_LATEST_CALCULATIONS.md#mission-latest-pipeline-status</x:v>
      </x:c>
      <x:c r="I843" s="25" t="str">
        <x:v>Saved definition; runtime/acceptance pending</x:v>
      </x:c>
    </x:row>
    <x:row r="844" ht="33" customHeight="1">
      <x:c r="A844" s="25" t="str">
        <x:v>Latest matching Archive ZIP Batches</x:v>
      </x:c>
      <x:c r="B844" s="25" t="str">
        <x:v>_MissionControl_Measures</x:v>
      </x:c>
      <x:c r="C844" s="25" t="str">
        <x:v>Operational metric</x:v>
      </x:c>
      <x:c r="D844" s="25" t="str">
        <x:v>MC-KPI-127</x:v>
      </x:c>
      <x:c r="E844" s="25" t="str">
        <x:v>Archive &amp; Replay</x:v>
      </x:c>
      <x:c r="F844" s="25" t="str">
        <x:v>monitoring.cfg_archive_zip_load</x:v>
      </x:c>
      <x:c r="G844" s="25" t="str">
        <x:v>CALCULATE([Archive ZIP Batches], KEEPFILTERS(TREATAS({[Discovery cfg_archive_zip_load Latest key]}, cfg_archive_zip_load[run_id])))</x:v>
      </x:c>
      <x:c r="H844" s="25" t="str">
        <x:v>KPI_LATEST_CALCULATIONS.md#mission-latest-matching-archive-zip-batches</x:v>
      </x:c>
      <x:c r="I844" s="25" t="str">
        <x:v>Saved definition; runtime/acceptance pending</x:v>
      </x:c>
    </x:row>
    <x:row r="845" ht="33" customHeight="1">
      <x:c r="A845" s="25" t="str">
        <x:v>Latest matching Archive ZIP Batches Awaiting Reload</x:v>
      </x:c>
      <x:c r="B845" s="25" t="str">
        <x:v>_MissionControl_Measures</x:v>
      </x:c>
      <x:c r="C845" s="25" t="str">
        <x:v>Operational metric</x:v>
      </x:c>
      <x:c r="D845" s="25" t="str">
        <x:v>MC-KPI-128</x:v>
      </x:c>
      <x:c r="E845" s="25" t="str">
        <x:v>Archive &amp; Replay</x:v>
      </x:c>
      <x:c r="F845" s="25" t="str">
        <x:v>monitoring.cfg_archive_zip_load</x:v>
      </x:c>
      <x:c r="G845" s="25" t="str">
        <x:v>CALCULATE([Archive ZIP Batches Awaiting Reload], KEEPFILTERS(TREATAS({[Discovery cfg_archive_zip_load Latest key]}, cfg_archive_zip_load[run_id])))</x:v>
      </x:c>
      <x:c r="H845" s="25" t="str">
        <x:v>KPI_LATEST_CALCULATIONS.md#mission-latest-matching-archive-zip-batches-awaiting-reload</x:v>
      </x:c>
      <x:c r="I845" s="25" t="str">
        <x:v>Saved definition; runtime/acceptance pending</x:v>
      </x:c>
    </x:row>
    <x:row r="846" ht="33" customHeight="1">
      <x:c r="A846" s="25" t="str">
        <x:v>Latest matching Failed Archive ZIP Batches</x:v>
      </x:c>
      <x:c r="B846" s="25" t="str">
        <x:v>_MissionControl_Measures</x:v>
      </x:c>
      <x:c r="C846" s="25" t="str">
        <x:v>Operational metric</x:v>
      </x:c>
      <x:c r="D846" s="25" t="str">
        <x:v>MC-KPI-129</x:v>
      </x:c>
      <x:c r="E846" s="25" t="str">
        <x:v>Archive &amp; Replay</x:v>
      </x:c>
      <x:c r="F846" s="25" t="str">
        <x:v>monitoring.cfg_archive_zip_load</x:v>
      </x:c>
      <x:c r="G846" s="25" t="str">
        <x:v>CALCULATE([Failed Archive ZIP Batches], KEEPFILTERS(TREATAS({[Discovery cfg_archive_zip_load Latest key]}, cfg_archive_zip_load[run_id])))</x:v>
      </x:c>
      <x:c r="H846" s="25" t="str">
        <x:v>KPI_LATEST_CALCULATIONS.md#mission-latest-matching-failed-archive-zip-batches</x:v>
      </x:c>
      <x:c r="I846" s="25" t="str">
        <x:v>Saved definition; runtime/acceptance pending</x:v>
      </x:c>
    </x:row>
    <x:row r="847" ht="33" customHeight="1">
      <x:c r="A847" s="25" t="str">
        <x:v>Latest matching Failed Gold Snapshots</x:v>
      </x:c>
      <x:c r="B847" s="25" t="str">
        <x:v>_MissionControl_Measures</x:v>
      </x:c>
      <x:c r="C847" s="25" t="str">
        <x:v>Operational metric</x:v>
      </x:c>
      <x:c r="D847" s="25" t="str">
        <x:v>MC-KPI-130</x:v>
      </x:c>
      <x:c r="E847" s="25" t="str">
        <x:v>Archive &amp; Replay</x:v>
      </x:c>
      <x:c r="F847" s="25" t="str">
        <x:v>monitoring.cfg_month_end_gold_run</x:v>
      </x:c>
      <x:c r="G847" s="25" t="str">
        <x:v>CALCULATE([Failed Gold Snapshots], KEEPFILTERS(TREATAS({[Discovery cfg_month_end_gold_run Latest key]}, cfg_month_end_gold_run[run_id])))</x:v>
      </x:c>
      <x:c r="H847" s="25" t="str">
        <x:v>KPI_LATEST_CALCULATIONS.md#mission-latest-matching-failed-gold-snapshots</x:v>
      </x:c>
      <x:c r="I847" s="25" t="str">
        <x:v>Saved definition; runtime/acceptance pending</x:v>
      </x:c>
    </x:row>
    <x:row r="848" ht="137" customHeight="1">
      <x:c r="A848" s="25" t="str">
        <x:v>Latest or selected Failures</x:v>
      </x:c>
      <x:c r="B848" s="25" t="str">
        <x:v>_MissionControl_Measures</x:v>
      </x:c>
      <x:c r="C848" s="25" t="str">
        <x:v>Filter/context helper</x:v>
      </x:c>
      <x:c r="D848" s="25" t="str">
        <x:v>Helper/context; not registered as an additional KPI</x:v>
      </x:c>
      <x:c r="E848" s="25" t="str">
        <x:v>Watch Tower</x:v>
      </x:c>
      <x:c r="F848" s="25" t="str">
        <x:v>monitoring.rpt_job_run_summary</x:v>
      </x:c>
      <x:c r="G848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[Failures],
			    CALCULATE([Failures], KEEPFILTERS(TREATAS({LatestId}, rpt_job_run_summary[job_run_id]))))</x:v>
      </x:c>
      <x:c r="H848" s="25" t="str">
        <x:v>KPI_LATEST_CALCULATIONS.md#mission-latest-or-selected-failures</x:v>
      </x:c>
      <x:c r="I848" s="25" t="str">
        <x:v>Saved definition; runtime/acceptance pending</x:v>
      </x:c>
    </x:row>
    <x:row r="849" ht="137" customHeight="1">
      <x:c r="A849" s="25" t="str">
        <x:v>Latest or selected P95 duration min</x:v>
      </x:c>
      <x:c r="B849" s="25" t="str">
        <x:v>_MissionControl_Measures</x:v>
      </x:c>
      <x:c r="C849" s="25" t="str">
        <x:v>Filter/context helper</x:v>
      </x:c>
      <x:c r="D849" s="25" t="str">
        <x:v>Helper/context; not registered as an additional KPI</x:v>
      </x:c>
      <x:c r="E849" s="25" t="str">
        <x:v>Watch Tower</x:v>
      </x:c>
      <x:c r="F849" s="25" t="str">
        <x:v>monitoring.rpt_job_run_summary</x:v>
      </x:c>
      <x:c r="G849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[P95 duration min],
			    CALCULATE([P95 duration min], KEEPFILTERS(TREATAS({LatestId}, rpt_job_run_summary[job_run_id]))))</x:v>
      </x:c>
      <x:c r="H849" s="25" t="str">
        <x:v>KPI_LATEST_CALCULATIONS.md#mission-latest-or-selected-p95-duration-min</x:v>
      </x:c>
      <x:c r="I849" s="25" t="str">
        <x:v>Saved definition; runtime/acceptance pending</x:v>
      </x:c>
    </x:row>
    <x:row r="850" ht="137" customHeight="1">
      <x:c r="A850" s="25" t="str">
        <x:v>Latest or selected Rows written</x:v>
      </x:c>
      <x:c r="B850" s="25" t="str">
        <x:v>_MissionControl_Measures</x:v>
      </x:c>
      <x:c r="C850" s="25" t="str">
        <x:v>Filter/context helper</x:v>
      </x:c>
      <x:c r="D850" s="25" t="str">
        <x:v>Helper/context; not registered as an additional KPI</x:v>
      </x:c>
      <x:c r="E850" s="25" t="str">
        <x:v>Watch Tower</x:v>
      </x:c>
      <x:c r="F850" s="25" t="str">
        <x:v>monitoring.rpt_job_run_summary</x:v>
      </x:c>
      <x:c r="G850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[Rows written],
			    CALCULATE([Rows written], KEEPFILTERS(TREATAS({LatestId}, rpt_job_run_summary[job_run_id]))))</x:v>
      </x:c>
      <x:c r="H850" s="25" t="str">
        <x:v>KPI_LATEST_CALCULATIONS.md#mission-latest-or-selected-rows-written</x:v>
      </x:c>
      <x:c r="I850" s="25" t="str">
        <x:v>Saved definition; runtime/acceptance pending</x:v>
      </x:c>
    </x:row>
    <x:row r="851" ht="137" customHeight="1">
      <x:c r="A851" s="25" t="str">
        <x:v>Latest or selected Runs</x:v>
      </x:c>
      <x:c r="B851" s="25" t="str">
        <x:v>_MissionControl_Measures</x:v>
      </x:c>
      <x:c r="C851" s="25" t="str">
        <x:v>Filter/context helper</x:v>
      </x:c>
      <x:c r="D851" s="25" t="str">
        <x:v>Helper/context; not registered as an additional KPI</x:v>
      </x:c>
      <x:c r="E851" s="25" t="str">
        <x:v>Watch Tower</x:v>
      </x:c>
      <x:c r="F851" s="25" t="str">
        <x:v>monitoring.rpt_job_run_summary</x:v>
      </x:c>
      <x:c r="G851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[Runs],
			    CALCULATE([Runs], KEEPFILTERS(TREATAS({LatestId}, rpt_job_run_summary[job_run_id]))))</x:v>
      </x:c>
      <x:c r="H851" s="25" t="str">
        <x:v>KPI_LATEST_CALCULATIONS.md#mission-latest-or-selected-runs</x:v>
      </x:c>
      <x:c r="I851" s="25" t="str">
        <x:v>Saved definition; runtime/acceptance pending</x:v>
      </x:c>
    </x:row>
    <x:row r="852" ht="137" customHeight="1">
      <x:c r="A852" s="25" t="str">
        <x:v>Latest or selected Success rate</x:v>
      </x:c>
      <x:c r="B852" s="25" t="str">
        <x:v>_MissionControl_Measures</x:v>
      </x:c>
      <x:c r="C852" s="25" t="str">
        <x:v>Filter/context helper</x:v>
      </x:c>
      <x:c r="D852" s="25" t="str">
        <x:v>Helper/context; not registered as an additional KPI</x:v>
      </x:c>
      <x:c r="E852" s="25" t="str">
        <x:v>Watch Tower</x:v>
      </x:c>
      <x:c r="F852" s="25" t="str">
        <x:v>monitoring.rpt_job_run_summary</x:v>
      </x:c>
      <x:c r="G852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RETURN IF(ISFILTERED('Load Calendar'[Date]), [Success rate],
			    CALCULATE([Success rate], KEEPFILTERS(TREATAS({LatestId}, rpt_job_run_summary[job_run_id]))))</x:v>
      </x:c>
      <x:c r="H852" s="25" t="str">
        <x:v>KPI_LATEST_CALCULATIONS.md#mission-latest-or-selected-success-rate</x:v>
      </x:c>
      <x:c r="I852" s="25" t="str">
        <x:v>Saved definition; runtime/acceptance pending</x:v>
      </x:c>
    </x:row>
    <x:row r="853" ht="33" customHeight="1">
      <x:c r="A853" s="25" t="str">
        <x:v>Live Pipeline Failures</x:v>
      </x:c>
      <x:c r="B853" s="25" t="str">
        <x:v>_MissionControl_Measures</x:v>
      </x:c>
      <x:c r="C853" s="25" t="str">
        <x:v>Operational metric</x:v>
      </x:c>
      <x:c r="D853" s="25" t="str">
        <x:v>MC-KPI-132</x:v>
      </x:c>
      <x:c r="E853" s="25" t="str">
        <x:v>No direct saved visual binding</x:v>
      </x:c>
      <x:c r="F853" s="25" t="str">
        <x:v>monitoring.cfg_pipeline_run</x:v>
      </x:c>
      <x:c r="G853" s="25" t="str">
        <x:v>CALCULATE ( [Failed Pipeline Runs], 'cfg_pipeline_run'[pipeline_name] = "90_run_live_pipeline" )</x:v>
      </x:c>
      <x:c r="H853" s="25" t="str">
        <x:v>KPI_LATEST_CALCULATIONS.md#mission-live-pipeline-failures</x:v>
      </x:c>
      <x:c r="I853" s="25" t="str">
        <x:v>Saved definition; runtime/acceptance pending</x:v>
      </x:c>
    </x:row>
    <x:row r="854" ht="33" customHeight="1">
      <x:c r="A854" s="25" t="str">
        <x:v>Live Pipeline Runs</x:v>
      </x:c>
      <x:c r="B854" s="25" t="str">
        <x:v>_MissionControl_Measures</x:v>
      </x:c>
      <x:c r="C854" s="25" t="str">
        <x:v>Operational metric</x:v>
      </x:c>
      <x:c r="D854" s="25" t="str">
        <x:v>MC-KPI-133</x:v>
      </x:c>
      <x:c r="E854" s="25" t="str">
        <x:v>No direct saved visual binding</x:v>
      </x:c>
      <x:c r="F854" s="25" t="str">
        <x:v>monitoring.cfg_pipeline_run</x:v>
      </x:c>
      <x:c r="G854" s="25" t="str">
        <x:v>CALCULATE ( [Pipeline Runs], 'cfg_pipeline_run'[pipeline_name] = "90_run_live_pipeline" )</x:v>
      </x:c>
      <x:c r="H854" s="25" t="str">
        <x:v>KPI_LATEST_CALCULATIONS.md#mission-live-pipeline-runs</x:v>
      </x:c>
      <x:c r="I854" s="25" t="str">
        <x:v>Saved definition; runtime/acceptance pending</x:v>
      </x:c>
    </x:row>
    <x:row r="855" ht="59" customHeight="1">
      <x:c r="A855" s="25" t="str">
        <x:v>Load Rows Read Delta</x:v>
      </x:c>
      <x:c r="B855" s="25" t="str">
        <x:v>_MissionControl_Measures</x:v>
      </x:c>
      <x:c r="C855" s="25" t="str">
        <x:v>Operational metric</x:v>
      </x:c>
      <x:c r="D855" s="25" t="str">
        <x:v>MC-KPI-134</x:v>
      </x:c>
      <x:c r="E855" s="25" t="str">
        <x:v>Load Metrics &amp; Control</x:v>
      </x:c>
      <x:c r="F855" s="25" t="str">
        <x:v>monitoring.cfg_table_load_metric</x:v>
      </x:c>
      <x:c r="G855" s="25" t="str">
        <x:v>VAR CurrentCount=SELECTEDVALUE(cfg_table_load_metric[rows_read])
			VAR PreviousCount=[Load Rows Read Previous]
			RETURN IF(NOT ISBLANK(CurrentCount) &amp;&amp; NOT ISBLANK(PreviousCount),CurrentCount-PreviousCount)</x:v>
      </x:c>
      <x:c r="H855" s="25" t="str">
        <x:v>KPI_LATEST_CALCULATIONS.md#mission-load-rows-read-delta</x:v>
      </x:c>
      <x:c r="I855" s="25" t="str">
        <x:v>Saved definition; runtime/acceptance pending</x:v>
      </x:c>
    </x:row>
    <x:row r="856" ht="24" customHeight="1">
      <x:c r="A856" s="25" t="str">
        <x:v>Load Rows Read Delta %</x:v>
      </x:c>
      <x:c r="B856" s="25" t="str">
        <x:v>_MissionControl_Measures</x:v>
      </x:c>
      <x:c r="C856" s="25" t="str">
        <x:v>Operational metric</x:v>
      </x:c>
      <x:c r="D856" s="25" t="str">
        <x:v>MC-KPI-135</x:v>
      </x:c>
      <x:c r="E856" s="25" t="str">
        <x:v>Load Metrics &amp; Control</x:v>
      </x:c>
      <x:c r="F856" s="25" t="str">
        <x:v>monitoring.cfg_table_load_metric</x:v>
      </x:c>
      <x:c r="G856" s="25" t="str">
        <x:v>DIVIDE([Load Rows Read Delta],[Load Rows Read Previous])</x:v>
      </x:c>
      <x:c r="H856" s="25" t="str">
        <x:v>KPI_LATEST_CALCULATIONS.md#mission-load-rows-read-delta-percent</x:v>
      </x:c>
      <x:c r="I856" s="25" t="str">
        <x:v>Saved definition; runtime/acceptance pending</x:v>
      </x:c>
    </x:row>
    <x:row r="857" ht="189" customHeight="1">
      <x:c r="A857" s="25" t="str">
        <x:v>Load Rows Read Previous</x:v>
      </x:c>
      <x:c r="B857" s="25" t="str">
        <x:v>_MissionControl_Measures</x:v>
      </x:c>
      <x:c r="C857" s="25" t="str">
        <x:v>Operational metric</x:v>
      </x:c>
      <x:c r="D857" s="25" t="str">
        <x:v>MC-KPI-136</x:v>
      </x:c>
      <x:c r="E857" s="25" t="str">
        <x:v>No direct saved visual binding</x:v>
      </x:c>
      <x:c r="F857" s="25" t="str">
        <x:v>monitoring.cfg_table_load_metric</x:v>
      </x:c>
      <x:c r="G857" s="25" t="str">
        <x:v>VAR ThisTime=SELECTEDVALUE(cfg_table_load_metric[recorded_at])
			VAR ThisRun=SELECTEDVALUE(cfg_table_load_metric[run_id])
			VAR ThisLayer=SELECTEDVALUE(cfg_table_load_metric[layer])
			VAR ThisKind=SELECTEDVALUE(cfg_table_load_metric[source_kind])
			VAR ThisSource=SELECTEDVALUE(cfg_table_load_metric[source_object])
			VAR ThisTarget=SELECTEDVALUE(cfg_table_load_metric[target_object])
			VAR History=FILTER(ALL(cfg_table_load_metric),
			    cfg_table_load_metric[layer]=ThisLayer &amp;&amp; cfg_table_load_metric[source_kind]=ThisKind
			    &amp;&amp; cfg_table_load_metric[source_object]=ThisSource &amp;&amp; cfg_table_load_metric[target_object]=ThisTarget)
			VAR Prior=TOPN(1,FILTER(History,(cfg_table_load_metric[recorded_at]&lt;Th
[EXCERPT; complete logic in KPI_LATEST_CALCULATIONS.md]</x:v>
      </x:c>
      <x:c r="H857" s="25" t="str">
        <x:v>KPI_LATEST_CALCULATIONS.md#mission-load-rows-read-previous</x:v>
      </x:c>
      <x:c r="I857" s="25" t="str">
        <x:v>Saved definition; runtime/acceptance pending</x:v>
      </x:c>
    </x:row>
    <x:row r="858" ht="189" customHeight="1">
      <x:c r="A858" s="25" t="str">
        <x:v>Load Rows Read Sparkline</x:v>
      </x:c>
      <x:c r="B858" s="25" t="str">
        <x:v>_MissionControl_Measures</x:v>
      </x:c>
      <x:c r="C858" s="25" t="str">
        <x:v>Display/context helper</x:v>
      </x:c>
      <x:c r="D858" s="25" t="str">
        <x:v>Helper/context; not registered as an additional KPI</x:v>
      </x:c>
      <x:c r="E858" s="25" t="str">
        <x:v>Load Metrics &amp; Control</x:v>
      </x:c>
      <x:c r="F858" s="25" t="str">
        <x:v>monitoring.cfg_table_load_metric</x:v>
      </x:c>
      <x:c r="G858" s="25" t="str">
        <x:v>VAR ThisTime=SELECTEDVALUE(cfg_table_load_metric[recorded_at])
			VAR ThisRun=SELECTEDVALUE(cfg_table_load_metric[run_id])
			VAR ThisLayer=SELECTEDVALUE(cfg_table_load_metric[layer])
			VAR ThisKind=SELECTEDVALUE(cfg_table_load_metric[source_kind])
			VAR ThisSource=SELECTEDVALUE(cfg_table_load_metric[source_object])
			VAR ThisTarget=SELECTEDVALUE(cfg_table_load_metric[target_object])
			VAR History=FILTER(ALL(cfg_table_load_metric),
			    cfg_table_load_metric[layer]=ThisLayer &amp;&amp; cfg_table_load_metric[source_kind]=ThisKind
			    &amp;&amp; cfg_table_load_metric[source_object]=ThisSource &amp;&amp; cfg_table_load_metric[target_object]=ThisTarget)
			VAR Points=SUMMARIZE(FILTER(History,NOT ISBLANK(cfg_table_load_metric[
[EXCERPT; complete logic in KPI_LATEST_CALCULATIONS.md]</x:v>
      </x:c>
      <x:c r="H858" s="25" t="str">
        <x:v>KPI_LATEST_CALCULATIONS.md#mission-load-rows-read-sparkline</x:v>
      </x:c>
      <x:c r="I858" s="25" t="str">
        <x:v>Saved definition; runtime/acceptance pending</x:v>
      </x:c>
    </x:row>
    <x:row r="859" ht="59" customHeight="1">
      <x:c r="A859" s="25" t="str">
        <x:v>Load Rows Written Delta</x:v>
      </x:c>
      <x:c r="B859" s="25" t="str">
        <x:v>_MissionControl_Measures</x:v>
      </x:c>
      <x:c r="C859" s="25" t="str">
        <x:v>Operational metric</x:v>
      </x:c>
      <x:c r="D859" s="25" t="str">
        <x:v>MC-KPI-137</x:v>
      </x:c>
      <x:c r="E859" s="25" t="str">
        <x:v>Load Metrics &amp; Control</x:v>
      </x:c>
      <x:c r="F859" s="25" t="str">
        <x:v>monitoring.cfg_table_load_metric</x:v>
      </x:c>
      <x:c r="G859" s="25" t="str">
        <x:v>VAR CurrentCount=SELECTEDVALUE(cfg_table_load_metric[rows_written])
			VAR PreviousCount=[Load Rows Written Previous]
			RETURN IF(NOT ISBLANK(CurrentCount) &amp;&amp; NOT ISBLANK(PreviousCount),CurrentCount-PreviousCount)</x:v>
      </x:c>
      <x:c r="H859" s="25" t="str">
        <x:v>KPI_LATEST_CALCULATIONS.md#mission-load-rows-written-delta</x:v>
      </x:c>
      <x:c r="I859" s="25" t="str">
        <x:v>Saved definition; runtime/acceptance pending</x:v>
      </x:c>
    </x:row>
    <x:row r="860" ht="24" customHeight="1">
      <x:c r="A860" s="25" t="str">
        <x:v>Load Rows Written Delta %</x:v>
      </x:c>
      <x:c r="B860" s="25" t="str">
        <x:v>_MissionControl_Measures</x:v>
      </x:c>
      <x:c r="C860" s="25" t="str">
        <x:v>Operational metric</x:v>
      </x:c>
      <x:c r="D860" s="25" t="str">
        <x:v>MC-KPI-138</x:v>
      </x:c>
      <x:c r="E860" s="25" t="str">
        <x:v>Load Metrics &amp; Control</x:v>
      </x:c>
      <x:c r="F860" s="25" t="str">
        <x:v>monitoring.cfg_table_load_metric</x:v>
      </x:c>
      <x:c r="G860" s="25" t="str">
        <x:v>DIVIDE([Load Rows Written Delta],[Load Rows Written Previous])</x:v>
      </x:c>
      <x:c r="H860" s="25" t="str">
        <x:v>KPI_LATEST_CALCULATIONS.md#mission-load-rows-written-delta-percent</x:v>
      </x:c>
      <x:c r="I860" s="25" t="str">
        <x:v>Saved definition; runtime/acceptance pending</x:v>
      </x:c>
    </x:row>
    <x:row r="861" ht="189" customHeight="1">
      <x:c r="A861" s="25" t="str">
        <x:v>Load Rows Written Previous</x:v>
      </x:c>
      <x:c r="B861" s="25" t="str">
        <x:v>_MissionControl_Measures</x:v>
      </x:c>
      <x:c r="C861" s="25" t="str">
        <x:v>Operational metric</x:v>
      </x:c>
      <x:c r="D861" s="25" t="str">
        <x:v>MC-KPI-139</x:v>
      </x:c>
      <x:c r="E861" s="25" t="str">
        <x:v>No direct saved visual binding</x:v>
      </x:c>
      <x:c r="F861" s="25" t="str">
        <x:v>monitoring.cfg_table_load_metric</x:v>
      </x:c>
      <x:c r="G861" s="25" t="str">
        <x:v>VAR ThisTime=SELECTEDVALUE(cfg_table_load_metric[recorded_at])
			VAR ThisRun=SELECTEDVALUE(cfg_table_load_metric[run_id])
			VAR ThisLayer=SELECTEDVALUE(cfg_table_load_metric[layer])
			VAR ThisKind=SELECTEDVALUE(cfg_table_load_metric[source_kind])
			VAR ThisSource=SELECTEDVALUE(cfg_table_load_metric[source_object])
			VAR ThisTarget=SELECTEDVALUE(cfg_table_load_metric[target_object])
			VAR History=FILTER(ALL(cfg_table_load_metric),
			    cfg_table_load_metric[layer]=ThisLayer &amp;&amp; cfg_table_load_metric[source_kind]=ThisKind
			    &amp;&amp; cfg_table_load_metric[source_object]=ThisSource &amp;&amp; cfg_table_load_metric[target_object]=ThisTarget)
			VAR Prior=TOPN(1,FILTER(History,(cfg_table_load_metric[recorded_at]&lt;Th
[EXCERPT; complete logic in KPI_LATEST_CALCULATIONS.md]</x:v>
      </x:c>
      <x:c r="H861" s="25" t="str">
        <x:v>KPI_LATEST_CALCULATIONS.md#mission-load-rows-written-previous</x:v>
      </x:c>
      <x:c r="I861" s="25" t="str">
        <x:v>Saved definition; runtime/acceptance pending</x:v>
      </x:c>
    </x:row>
    <x:row r="862" ht="189" customHeight="1">
      <x:c r="A862" s="25" t="str">
        <x:v>Load Rows Written Sparkline</x:v>
      </x:c>
      <x:c r="B862" s="25" t="str">
        <x:v>_MissionControl_Measures</x:v>
      </x:c>
      <x:c r="C862" s="25" t="str">
        <x:v>Display/context helper</x:v>
      </x:c>
      <x:c r="D862" s="25" t="str">
        <x:v>Helper/context; not registered as an additional KPI</x:v>
      </x:c>
      <x:c r="E862" s="25" t="str">
        <x:v>Load Metrics &amp; Control</x:v>
      </x:c>
      <x:c r="F862" s="25" t="str">
        <x:v>monitoring.cfg_table_load_metric</x:v>
      </x:c>
      <x:c r="G862" s="25" t="str">
        <x:v>VAR ThisTime=SELECTEDVALUE(cfg_table_load_metric[recorded_at])
			VAR ThisRun=SELECTEDVALUE(cfg_table_load_metric[run_id])
			VAR ThisLayer=SELECTEDVALUE(cfg_table_load_metric[layer])
			VAR ThisKind=SELECTEDVALUE(cfg_table_load_metric[source_kind])
			VAR ThisSource=SELECTEDVALUE(cfg_table_load_metric[source_object])
			VAR ThisTarget=SELECTEDVALUE(cfg_table_load_metric[target_object])
			VAR History=FILTER(ALL(cfg_table_load_metric),
			    cfg_table_load_metric[layer]=ThisLayer &amp;&amp; cfg_table_load_metric[source_kind]=ThisKind
			    &amp;&amp; cfg_table_load_metric[source_object]=ThisSource &amp;&amp; cfg_table_load_metric[target_object]=ThisTarget)
			VAR Points=SUMMARIZE(FILTER(History,NOT ISBLANK(cfg_table_load_metric[
[EXCERPT; complete logic in KPI_LATEST_CALCULATIONS.md]</x:v>
      </x:c>
      <x:c r="H862" s="25" t="str">
        <x:v>KPI_LATEST_CALCULATIONS.md#mission-load-rows-written-sparkline</x:v>
      </x:c>
      <x:c r="I862" s="25" t="str">
        <x:v>Saved definition; runtime/acceptance pending</x:v>
      </x:c>
    </x:row>
    <x:row r="863" ht="33" customHeight="1">
      <x:c r="A863" s="25" t="str">
        <x:v>Longest Job Step Duration (min)</x:v>
      </x:c>
      <x:c r="B863" s="25" t="str">
        <x:v>_MissionControl_Measures</x:v>
      </x:c>
      <x:c r="C863" s="25" t="str">
        <x:v>Operational metric</x:v>
      </x:c>
      <x:c r="D863" s="25" t="str">
        <x:v>MC-KPI-140</x:v>
      </x:c>
      <x:c r="E863" s="25" t="str">
        <x:v>No direct saved visual binding</x:v>
      </x:c>
      <x:c r="F863" s="25" t="str">
        <x:v>monitoring.rpt_job_step_timing</x:v>
      </x:c>
      <x:c r="G863" s="25" t="str">
        <x:v>DIVIDE ( MAX ( 'rpt_job_step_timing'[step_duration_seconds] ), 60.0 )</x:v>
      </x:c>
      <x:c r="H863" s="25" t="str">
        <x:v>KPI_LATEST_CALCULATIONS.md#mission-longest-job-step-duration-min</x:v>
      </x:c>
      <x:c r="I863" s="25" t="str">
        <x:v>Saved definition; runtime/acceptance pending</x:v>
      </x:c>
    </x:row>
    <x:row r="864" ht="72" customHeight="1">
      <x:c r="A864" s="25" t="str">
        <x:v>Operational Exception Count</x:v>
      </x:c>
      <x:c r="B864" s="25" t="str">
        <x:v>_MissionControl_Measures</x:v>
      </x:c>
      <x:c r="C864" s="25" t="str">
        <x:v>Operational metric</x:v>
      </x:c>
      <x:c r="D864" s="25" t="str">
        <x:v>MC-KPI-141</x:v>
      </x:c>
      <x:c r="E864" s="25" t="str">
        <x:v>No direct saved visual binding</x:v>
      </x:c>
      <x:c r="F864" s="25" t="str">
        <x:v>monitoring.cfg_archive_file_load; monitoring.cfg_archive_table_export_load; monitoring.cfg_archive_zip_load; monitoring.cfg_data_quality_result; monitoring.cfg_month_end_gold_run; monitoring.cfg_pipeline_run</x:v>
      </x:c>
      <x:c r="G864" s="25" t="str">
        <x:v>[Control Failures] + [DQ Failed Checks]</x:v>
      </x:c>
      <x:c r="H864" s="25" t="str">
        <x:v>KPI_LATEST_CALCULATIONS.md#mission-operational-exception-count</x:v>
      </x:c>
      <x:c r="I864" s="25" t="str">
        <x:v>Saved definition; runtime/acceptance pending</x:v>
      </x:c>
    </x:row>
    <x:row r="865" ht="59" customHeight="1">
      <x:c r="A865" s="25" t="str">
        <x:v>P95 Pipeline Duration (min)</x:v>
      </x:c>
      <x:c r="B865" s="25" t="str">
        <x:v>_MissionControl_Measures</x:v>
      </x:c>
      <x:c r="C865" s="25" t="str">
        <x:v>Operational metric</x:v>
      </x:c>
      <x:c r="D865" s="25" t="str">
        <x:v>MC-KPI-143</x:v>
      </x:c>
      <x:c r="E865" s="25" t="str">
        <x:v>No direct saved visual binding</x:v>
      </x:c>
      <x:c r="F865" s="25" t="str">
        <x:v>monitoring.cfg_pipeline_run</x:v>
      </x:c>
      <x:c r="G865" s="25" t="str">
        <x:v>PERCENTILEX.INC ( FILTER ( 'cfg_pipeline_run', NOT ISBLANK ( 'cfg_pipeline_run'[started_at] ) &amp;&amp; NOT ISBLANK ( 'cfg_pipeline_run'[ended_at] ) ), DIVIDE ( DATEDIFF ( 'cfg_pipeline_run'[started_at], 'cfg_pipeline_run'[ended_at], SECOND ), 60.0 ), 0.95 )</x:v>
      </x:c>
      <x:c r="H865" s="25" t="str">
        <x:v>KPI_LATEST_CALCULATIONS.md#mission-p95-pipeline-duration-min</x:v>
      </x:c>
      <x:c r="I865" s="25" t="str">
        <x:v>Saved definition; runtime/acceptance pending</x:v>
      </x:c>
    </x:row>
    <x:row r="866" ht="46" customHeight="1">
      <x:c r="A866" s="25" t="str">
        <x:v>P95 duration min</x:v>
      </x:c>
      <x:c r="B866" s="25" t="str">
        <x:v>_Load Experience</x:v>
      </x:c>
      <x:c r="C866" s="25" t="str">
        <x:v>Operational metric</x:v>
      </x:c>
      <x:c r="D866" s="25" t="str">
        <x:v>MC-KPI-142</x:v>
      </x:c>
      <x:c r="E866" s="25" t="str">
        <x:v>No direct saved visual binding</x:v>
      </x:c>
      <x:c r="F866" s="25" t="str">
        <x:v>monitoring.rpt_job_run_summary</x:v>
      </x:c>
      <x:c r="G866" s="25" t="str">
        <x:v>PERCENTILEX.INC(FILTER(rpt_job_run_summary, NOT ISBLANK(rpt_job_run_summary[ended_at]) &amp;&amp; rpt_job_run_summary[job_duration_seconds]&gt;=0), DIVIDE(rpt_job_run_summary[job_duration_seconds],60),0.95)</x:v>
      </x:c>
      <x:c r="H866" s="25" t="str">
        <x:v>KPI_LATEST_CALCULATIONS.md#mission-p95-duration-min</x:v>
      </x:c>
      <x:c r="I866" s="25" t="str">
        <x:v>Saved definition; runtime/acceptance pending</x:v>
      </x:c>
    </x:row>
    <x:row r="867" ht="24" customHeight="1">
      <x:c r="A867" s="25" t="str">
        <x:v>Pipeline Rows Read</x:v>
      </x:c>
      <x:c r="B867" s="25" t="str">
        <x:v>_MissionControl_Measures</x:v>
      </x:c>
      <x:c r="C867" s="25" t="str">
        <x:v>Operational metric</x:v>
      </x:c>
      <x:c r="D867" s="25" t="str">
        <x:v>MC-KPI-145</x:v>
      </x:c>
      <x:c r="E867" s="25" t="str">
        <x:v>No direct saved visual binding</x:v>
      </x:c>
      <x:c r="F867" s="25" t="str">
        <x:v>monitoring.cfg_pipeline_run</x:v>
      </x:c>
      <x:c r="G867" s="25" t="str">
        <x:v>SUM ( 'cfg_pipeline_run'[rows_read] )</x:v>
      </x:c>
      <x:c r="H867" s="25" t="str">
        <x:v>KPI_LATEST_CALCULATIONS.md#mission-pipeline-rows-read</x:v>
      </x:c>
      <x:c r="I867" s="25" t="str">
        <x:v>Saved definition; runtime/acceptance pending</x:v>
      </x:c>
    </x:row>
    <x:row r="868" ht="24" customHeight="1">
      <x:c r="A868" s="25" t="str">
        <x:v>Pipeline Rows Written</x:v>
      </x:c>
      <x:c r="B868" s="25" t="str">
        <x:v>_MissionControl_Measures</x:v>
      </x:c>
      <x:c r="C868" s="25" t="str">
        <x:v>Operational metric</x:v>
      </x:c>
      <x:c r="D868" s="25" t="str">
        <x:v>MC-KPI-146</x:v>
      </x:c>
      <x:c r="E868" s="25" t="str">
        <x:v>No direct saved visual binding</x:v>
      </x:c>
      <x:c r="F868" s="25" t="str">
        <x:v>monitoring.cfg_pipeline_run</x:v>
      </x:c>
      <x:c r="G868" s="25" t="str">
        <x:v>SUM ( 'cfg_pipeline_run'[rows_written] )</x:v>
      </x:c>
      <x:c r="H868" s="25" t="str">
        <x:v>KPI_LATEST_CALCULATIONS.md#mission-pipeline-rows-written</x:v>
      </x:c>
      <x:c r="I868" s="25" t="str">
        <x:v>Saved definition; runtime/acceptance pending</x:v>
      </x:c>
    </x:row>
    <x:row r="869" ht="24" customHeight="1">
      <x:c r="A869" s="25" t="str">
        <x:v>Pipeline Rows per Minute</x:v>
      </x:c>
      <x:c r="B869" s="25" t="str">
        <x:v>_MissionControl_Measures</x:v>
      </x:c>
      <x:c r="C869" s="25" t="str">
        <x:v>Operational metric</x:v>
      </x:c>
      <x:c r="D869" s="25" t="str">
        <x:v>MC-KPI-144</x:v>
      </x:c>
      <x:c r="E869" s="25" t="str">
        <x:v>No direct saved visual binding</x:v>
      </x:c>
      <x:c r="F869" s="25" t="str">
        <x:v>monitoring.cfg_pipeline_run</x:v>
      </x:c>
      <x:c r="G869" s="25" t="str">
        <x:v>DIVIDE ( [Pipeline Rows Written], [Total Pipeline Duration (min)] )</x:v>
      </x:c>
      <x:c r="H869" s="25" t="str">
        <x:v>KPI_LATEST_CALCULATIONS.md#mission-pipeline-rows-per-minute</x:v>
      </x:c>
      <x:c r="I869" s="25" t="str">
        <x:v>Saved definition; runtime/acceptance pending</x:v>
      </x:c>
    </x:row>
    <x:row r="870" ht="24" customHeight="1">
      <x:c r="A870" s="25" t="str">
        <x:v>Pipeline Runs</x:v>
      </x:c>
      <x:c r="B870" s="25" t="str">
        <x:v>_MissionControl_Measures</x:v>
      </x:c>
      <x:c r="C870" s="25" t="str">
        <x:v>Operational metric</x:v>
      </x:c>
      <x:c r="D870" s="25" t="str">
        <x:v>MC-KPI-147</x:v>
      </x:c>
      <x:c r="E870" s="25" t="str">
        <x:v>No direct saved visual binding</x:v>
      </x:c>
      <x:c r="F870" s="25" t="str">
        <x:v>monitoring.cfg_pipeline_run</x:v>
      </x:c>
      <x:c r="G870" s="25" t="str">
        <x:v>DISTINCTCOUNT ( 'cfg_pipeline_run'[run_id] )</x:v>
      </x:c>
      <x:c r="H870" s="25" t="str">
        <x:v>KPI_LATEST_CALCULATIONS.md#mission-pipeline-runs</x:v>
      </x:c>
      <x:c r="I870" s="25" t="str">
        <x:v>Saved definition; runtime/acceptance pending</x:v>
      </x:c>
    </x:row>
    <x:row r="871" ht="33" customHeight="1">
      <x:c r="A871" s="25" t="str">
        <x:v>Pipeline Runs With Error</x:v>
      </x:c>
      <x:c r="B871" s="25" t="str">
        <x:v>_MissionControl_Measures</x:v>
      </x:c>
      <x:c r="C871" s="25" t="str">
        <x:v>Operational metric</x:v>
      </x:c>
      <x:c r="D871" s="25" t="str">
        <x:v>MC-KPI-148</x:v>
      </x:c>
      <x:c r="E871" s="25" t="str">
        <x:v>No direct saved visual binding</x:v>
      </x:c>
      <x:c r="F871" s="25" t="str">
        <x:v>monitoring.cfg_pipeline_run</x:v>
      </x:c>
      <x:c r="G871" s="25" t="str">
        <x:v>COUNTROWS ( FILTER ( 'cfg_pipeline_run', NOT ISBLANK ( 'cfg_pipeline_run'[error_message] ) ) )</x:v>
      </x:c>
      <x:c r="H871" s="25" t="str">
        <x:v>KPI_LATEST_CALCULATIONS.md#mission-pipeline-runs-with-error</x:v>
      </x:c>
      <x:c r="I871" s="25" t="str">
        <x:v>Saved definition; runtime/acceptance pending</x:v>
      </x:c>
    </x:row>
    <x:row r="872" ht="24" customHeight="1">
      <x:c r="A872" s="25" t="str">
        <x:v>Pipeline Success Rate</x:v>
      </x:c>
      <x:c r="B872" s="25" t="str">
        <x:v>_MissionControl_Measures</x:v>
      </x:c>
      <x:c r="C872" s="25" t="str">
        <x:v>Operational metric</x:v>
      </x:c>
      <x:c r="D872" s="25" t="str">
        <x:v>MC-KPI-149</x:v>
      </x:c>
      <x:c r="E872" s="25" t="str">
        <x:v>No direct saved visual binding</x:v>
      </x:c>
      <x:c r="F872" s="25" t="str">
        <x:v>monitoring.cfg_pipeline_run</x:v>
      </x:c>
      <x:c r="G872" s="25" t="str">
        <x:v>DIVIDE ( [Successful Pipeline Runs], [Completed Pipeline Runs] )</x:v>
      </x:c>
      <x:c r="H872" s="25" t="str">
        <x:v>KPI_LATEST_CALCULATIONS.md#mission-pipeline-success-rate</x:v>
      </x:c>
      <x:c r="I872" s="25" t="str">
        <x:v>Saved definition; runtime/acceptance pending</x:v>
      </x:c>
    </x:row>
    <x:row r="873" ht="24" customHeight="1">
      <x:c r="A873" s="25" t="str">
        <x:v>Pipeline Tables Failed</x:v>
      </x:c>
      <x:c r="B873" s="25" t="str">
        <x:v>_MissionControl_Measures</x:v>
      </x:c>
      <x:c r="C873" s="25" t="str">
        <x:v>Operational metric</x:v>
      </x:c>
      <x:c r="D873" s="25" t="str">
        <x:v>MC-KPI-150</x:v>
      </x:c>
      <x:c r="E873" s="25" t="str">
        <x:v>No direct saved visual binding</x:v>
      </x:c>
      <x:c r="F873" s="25" t="str">
        <x:v>monitoring.cfg_pipeline_run</x:v>
      </x:c>
      <x:c r="G873" s="25" t="str">
        <x:v>SUM ( 'cfg_pipeline_run'[tables_failed] )</x:v>
      </x:c>
      <x:c r="H873" s="25" t="str">
        <x:v>KPI_LATEST_CALCULATIONS.md#mission-pipeline-tables-failed</x:v>
      </x:c>
      <x:c r="I873" s="25" t="str">
        <x:v>Saved definition; runtime/acceptance pending</x:v>
      </x:c>
    </x:row>
    <x:row r="874" ht="24" customHeight="1">
      <x:c r="A874" s="25" t="str">
        <x:v>Pipeline Tables Succeeded</x:v>
      </x:c>
      <x:c r="B874" s="25" t="str">
        <x:v>_MissionControl_Measures</x:v>
      </x:c>
      <x:c r="C874" s="25" t="str">
        <x:v>Operational metric</x:v>
      </x:c>
      <x:c r="D874" s="25" t="str">
        <x:v>MC-KPI-151</x:v>
      </x:c>
      <x:c r="E874" s="25" t="str">
        <x:v>No direct saved visual binding</x:v>
      </x:c>
      <x:c r="F874" s="25" t="str">
        <x:v>monitoring.cfg_pipeline_run</x:v>
      </x:c>
      <x:c r="G874" s="25" t="str">
        <x:v>SUM ( 'cfg_pipeline_run'[tables_succeeded] )</x:v>
      </x:c>
      <x:c r="H874" s="25" t="str">
        <x:v>KPI_LATEST_CALCULATIONS.md#mission-pipeline-tables-succeeded</x:v>
      </x:c>
      <x:c r="I874" s="25" t="str">
        <x:v>Saved definition; runtime/acceptance pending</x:v>
      </x:c>
    </x:row>
    <x:row r="875" ht="46" customHeight="1">
      <x:c r="A875" s="25" t="str">
        <x:v>RI Checked Rows</x:v>
      </x:c>
      <x:c r="B875" s="25" t="str">
        <x:v>_MissionControl_Measures</x:v>
      </x:c>
      <x:c r="C875" s="25" t="str">
        <x:v>Operational metric</x:v>
      </x:c>
      <x:c r="D875" s="25" t="str">
        <x:v>MC-KPI-153</x:v>
      </x:c>
      <x:c r="E875" s="25" t="str">
        <x:v>No direct saved visual binding</x:v>
      </x:c>
      <x:c r="F875" s="25" t="str">
        <x:v>monitoring.cfg_data_quality_result</x:v>
      </x:c>
      <x:c r="G875" s="25" t="str">
        <x:v>CALCULATE ( [DQ Checked Rows], FILTER ( 'cfg_data_quality_result', UPPER ( COALESCE ( 'cfg_data_quality_result'[rule_type], "" ) ) = "REFERENTIAL_INTEGRITY" ) )</x:v>
      </x:c>
      <x:c r="H875" s="25" t="str">
        <x:v>KPI_LATEST_CALCULATIONS.md#mission-ri-checked-rows</x:v>
      </x:c>
      <x:c r="I875" s="25" t="str">
        <x:v>Saved definition; runtime/acceptance pending</x:v>
      </x:c>
    </x:row>
    <x:row r="876" ht="46" customHeight="1">
      <x:c r="A876" s="25" t="str">
        <x:v>RI Failed Rows</x:v>
      </x:c>
      <x:c r="B876" s="25" t="str">
        <x:v>_MissionControl_Measures</x:v>
      </x:c>
      <x:c r="C876" s="25" t="str">
        <x:v>Operational metric</x:v>
      </x:c>
      <x:c r="D876" s="25" t="str">
        <x:v>MC-KPI-154</x:v>
      </x:c>
      <x:c r="E876" s="25" t="str">
        <x:v>No direct saved visual binding</x:v>
      </x:c>
      <x:c r="F876" s="25" t="str">
        <x:v>monitoring.cfg_data_quality_result</x:v>
      </x:c>
      <x:c r="G876" s="25" t="str">
        <x:v>CALCULATE ( [DQ Failed Rows], FILTER ( 'cfg_data_quality_result', UPPER ( COALESCE ( 'cfg_data_quality_result'[rule_type], "" ) ) = "REFERENTIAL_INTEGRITY" ) )</x:v>
      </x:c>
      <x:c r="H876" s="25" t="str">
        <x:v>KPI_LATEST_CALCULATIONS.md#mission-ri-failed-rows</x:v>
      </x:c>
      <x:c r="I876" s="25" t="str">
        <x:v>Saved definition; runtime/acceptance pending</x:v>
      </x:c>
    </x:row>
    <x:row r="877" ht="24" customHeight="1">
      <x:c r="A877" s="25" t="str">
        <x:v>RI Failure Rate</x:v>
      </x:c>
      <x:c r="B877" s="25" t="str">
        <x:v>_MissionControl_Measures</x:v>
      </x:c>
      <x:c r="C877" s="25" t="str">
        <x:v>Operational metric</x:v>
      </x:c>
      <x:c r="D877" s="25" t="str">
        <x:v>MC-KPI-155</x:v>
      </x:c>
      <x:c r="E877" s="25" t="str">
        <x:v>No direct saved visual binding</x:v>
      </x:c>
      <x:c r="F877" s="25" t="str">
        <x:v>monitoring.cfg_data_quality_result</x:v>
      </x:c>
      <x:c r="G877" s="25" t="str">
        <x:v>DIVIDE ( [RI Failed Rows], [RI Checked Rows] )</x:v>
      </x:c>
      <x:c r="H877" s="25" t="str">
        <x:v>KPI_LATEST_CALCULATIONS.md#mission-ri-failure-rate</x:v>
      </x:c>
      <x:c r="I877" s="25" t="str">
        <x:v>Saved definition; runtime/acceptance pending</x:v>
      </x:c>
    </x:row>
    <x:row r="878" ht="59" customHeight="1">
      <x:c r="A878" s="25" t="str">
        <x:v>RI Rules Failing</x:v>
      </x:c>
      <x:c r="B878" s="25" t="str">
        <x:v>_MissionControl_Measures</x:v>
      </x:c>
      <x:c r="C878" s="25" t="str">
        <x:v>Operational metric</x:v>
      </x:c>
      <x:c r="D878" s="25" t="str">
        <x:v>MC-KPI-156</x:v>
      </x:c>
      <x:c r="E878" s="25" t="str">
        <x:v>No direct saved visual binding</x:v>
      </x:c>
      <x:c r="F878" s="25" t="str">
        <x:v>monitoring.cfg_data_quality_result</x:v>
      </x:c>
      <x:c r="G878" s="25" t="str">
        <x:v>CALCULATE ( DISTINCTCOUNT ( 'cfg_data_quality_result'[rule_id] ), FILTER ( 'cfg_data_quality_result', UPPER ( COALESCE ( 'cfg_data_quality_result'[rule_type], "" ) ) = "REFERENTIAL_INTEGRITY" &amp;&amp; UPPER ( COALESCE ( 'cfg_data_quality_result'[status], "" ) ) IN { "FAILED", "FAIL", "ERROR" } ) )</x:v>
      </x:c>
      <x:c r="H878" s="25" t="str">
        <x:v>KPI_LATEST_CALCULATIONS.md#mission-ri-rules-failing</x:v>
      </x:c>
      <x:c r="I878" s="25" t="str">
        <x:v>Saved definition; runtime/acceptance pending</x:v>
      </x:c>
    </x:row>
    <x:row r="879" ht="59" customHeight="1">
      <x:c r="A879" s="25" t="str">
        <x:v>Reload Requests</x:v>
      </x:c>
      <x:c r="B879" s="25" t="str">
        <x:v>_MissionControl_Measures</x:v>
      </x:c>
      <x:c r="C879" s="25" t="str">
        <x:v>Operational metric</x:v>
      </x:c>
      <x:c r="D879" s="25" t="str">
        <x:v>MC-KPI-152</x:v>
      </x:c>
      <x:c r="E879" s="25" t="str">
        <x:v>No direct saved visual binding</x:v>
      </x:c>
      <x:c r="F879" s="25" t="str">
        <x:v>monitoring.cfg_archive_file_load; monitoring.cfg_archive_table_export_load; monitoring.cfg_archive_zip_load; monitoring.cfg_month_end_gold_run</x:v>
      </x:c>
      <x:c r="G879" s="25" t="str">
        <x:v>[Archive ZIP Batches Awaiting Reload] + [Archive Files Awaiting Reload] + [Archive Table Exports Awaiting Reload] + [Gold Snapshots Awaiting Replay]</x:v>
      </x:c>
      <x:c r="H879" s="25" t="str">
        <x:v>KPI_LATEST_CALCULATIONS.md#mission-reload-requests</x:v>
      </x:c>
      <x:c r="I879" s="25" t="str">
        <x:v>Saved definition; runtime/acceptance pending</x:v>
      </x:c>
    </x:row>
    <x:row r="880" ht="24" customHeight="1">
      <x:c r="A880" s="25" t="str">
        <x:v>Rows written</x:v>
      </x:c>
      <x:c r="B880" s="25" t="str">
        <x:v>_Load Experience</x:v>
      </x:c>
      <x:c r="C880" s="25" t="str">
        <x:v>Operational metric</x:v>
      </x:c>
      <x:c r="D880" s="25" t="str">
        <x:v>MC-KPI-157</x:v>
      </x:c>
      <x:c r="E880" s="25" t="str">
        <x:v>No direct saved visual binding</x:v>
      </x:c>
      <x:c r="F880" s="25" t="str">
        <x:v>monitoring.rpt_job_run_summary</x:v>
      </x:c>
      <x:c r="G880" s="25" t="str">
        <x:v>SUM(rpt_job_run_summary[rows_written])</x:v>
      </x:c>
      <x:c r="H880" s="25" t="str">
        <x:v>KPI_LATEST_CALCULATIONS.md#mission-rows-written</x:v>
      </x:c>
      <x:c r="I880" s="25" t="str">
        <x:v>Saved definition; runtime/acceptance pending</x:v>
      </x:c>
    </x:row>
    <x:row r="881" ht="46" customHeight="1">
      <x:c r="A881" s="25" t="str">
        <x:v>Running Pipeline Runs</x:v>
      </x:c>
      <x:c r="B881" s="25" t="str">
        <x:v>_MissionControl_Measures</x:v>
      </x:c>
      <x:c r="C881" s="25" t="str">
        <x:v>Operational metric</x:v>
      </x:c>
      <x:c r="D881" s="25" t="str">
        <x:v>MC-KPI-158</x:v>
      </x:c>
      <x:c r="E881" s="25" t="str">
        <x:v>No direct saved visual binding</x:v>
      </x:c>
      <x:c r="F881" s="25" t="str">
        <x:v>monitoring.cfg_pipeline_run</x:v>
      </x:c>
      <x:c r="G881" s="25" t="str">
        <x:v>CALCULATE ( [Pipeline Runs], FILTER ( 'cfg_pipeline_run', UPPER ( COALESCE ( 'cfg_pipeline_run'[status], "" ) ) IN { "RUNNING", "IN_PROGRESS", "STARTED" } ) )</x:v>
      </x:c>
      <x:c r="H881" s="25" t="str">
        <x:v>KPI_LATEST_CALCULATIONS.md#mission-running-pipeline-runs</x:v>
      </x:c>
      <x:c r="I881" s="25" t="str">
        <x:v>Saved definition; runtime/acceptance pending</x:v>
      </x:c>
    </x:row>
    <x:row r="882" ht="24" customHeight="1">
      <x:c r="A882" s="25" t="str">
        <x:v>Runs</x:v>
      </x:c>
      <x:c r="B882" s="25" t="str">
        <x:v>_Load Experience</x:v>
      </x:c>
      <x:c r="C882" s="25" t="str">
        <x:v>Operational metric</x:v>
      </x:c>
      <x:c r="D882" s="25" t="str">
        <x:v>MC-KPI-159</x:v>
      </x:c>
      <x:c r="E882" s="25" t="str">
        <x:v>No direct saved visual binding</x:v>
      </x:c>
      <x:c r="F882" s="25" t="str">
        <x:v>monitoring.rpt_job_run_summary</x:v>
      </x:c>
      <x:c r="G882" s="25" t="str">
        <x:v>DISTINCTCOUNT(rpt_job_run_summary[job_run_id])</x:v>
      </x:c>
      <x:c r="H882" s="25" t="str">
        <x:v>KPI_LATEST_CALCULATIONS.md#mission-runs</x:v>
      </x:c>
      <x:c r="I882" s="25" t="str">
        <x:v>Saved definition; runtime/acceptance pending</x:v>
      </x:c>
    </x:row>
    <x:row r="883" ht="124" customHeight="1">
      <x:c r="A883" s="25" t="str">
        <x:v>Selected Step Error Detail</x:v>
      </x:c>
      <x:c r="B883" s="25" t="str">
        <x:v>_MissionControl_Measures</x:v>
      </x:c>
      <x:c r="C883" s="25" t="str">
        <x:v>Display/context helper</x:v>
      </x:c>
      <x:c r="D883" s="25" t="str">
        <x:v>Helper/context; not registered as an additional KPI</x:v>
      </x:c>
      <x:c r="E883" s="25" t="str">
        <x:v>No direct saved visual binding</x:v>
      </x:c>
      <x:c r="F883" s="25" t="str">
        <x:v>monitoring.rpt_job_step_timing</x:v>
      </x:c>
      <x:c r="G883" s="25" t="str">
        <x:v>CONCATENATEX (
				FILTER (
					VALUES ( 'rpt_job_step_timing'[error_message] ),
					NOT ISBLANK ( 'rpt_job_step_timing'[error_message] )
						&amp;&amp; 'rpt_job_step_timing'[error_message] &lt;&gt; ""
				),
				'rpt_job_step_timing'[error_message],
				UNICHAR ( 10 ) &amp; UNICHAR ( 10 )
			)</x:v>
      </x:c>
      <x:c r="H883" s="25" t="str">
        <x:v>KPI_LATEST_CALCULATIONS.md#mission-selected-step-error-detail</x:v>
      </x:c>
      <x:c r="I883" s="25" t="str">
        <x:v>Saved definition; runtime/acceptance pending</x:v>
      </x:c>
    </x:row>
    <x:row r="884" ht="98" customHeight="1">
      <x:c r="A884" s="25" t="str">
        <x:v>Selected or Latest Failed Steps</x:v>
      </x:c>
      <x:c r="B884" s="25" t="str">
        <x:v>_MissionControl_Measures</x:v>
      </x:c>
      <x:c r="C884" s="25" t="str">
        <x:v>Filter/context helper</x:v>
      </x:c>
      <x:c r="D884" s="25" t="str">
        <x:v>Helper/context; not registered as an additional KPI</x:v>
      </x:c>
      <x:c r="E884" s="25" t="str">
        <x:v>Job Run Tooltip; Job Step Detail (Drillthrough)</x:v>
      </x:c>
      <x:c r="F884" s="25" t="str">
        <x:v>monitoring.rpt_job_run_summary; monitoring.rpt_job_step_timing</x:v>
      </x:c>
      <x:c r="G884" s="25" t="str">
        <x:v>VAR selected_job_run_id = [Selected or Latest Job Run ID]
			RETURN
				CALCULATE (
					[Failed Job Steps],
					KEEPFILTERS ( 'rpt_job_step_timing'[job_run_id] = selected_job_run_id )
				)</x:v>
      </x:c>
      <x:c r="H884" s="25" t="str">
        <x:v>KPI_LATEST_CALCULATIONS.md#mission-selected-or-latest-failed-steps</x:v>
      </x:c>
      <x:c r="I884" s="25" t="str">
        <x:v>Saved definition; runtime/acceptance pending</x:v>
      </x:c>
    </x:row>
    <x:row r="885" ht="98" customHeight="1">
      <x:c r="A885" s="25" t="str">
        <x:v>Selected or Latest Job Duration (min)</x:v>
      </x:c>
      <x:c r="B885" s="25" t="str">
        <x:v>_MissionControl_Measures</x:v>
      </x:c>
      <x:c r="C885" s="25" t="str">
        <x:v>Filter/context helper</x:v>
      </x:c>
      <x:c r="D885" s="25" t="str">
        <x:v>Helper/context; not registered as an additional KPI</x:v>
      </x:c>
      <x:c r="E885" s="25" t="str">
        <x:v>Job Run Tooltip; Job Step Detail (Drillthrough)</x:v>
      </x:c>
      <x:c r="F885" s="25" t="str">
        <x:v>monitoring.rpt_job_run_summary</x:v>
      </x:c>
      <x:c r="G885" s="25" t="str">
        <x:v>VAR selected_job_run_id = [Selected or Latest Job Run ID]
			RETURN
				CALCULATE (
					DIVIDE ( MAX ( 'rpt_job_run_summary'[job_duration_seconds] ), 60.0 ),
					'rpt_job_run_summary'[job_run_id] = selected_job_run_id
				)</x:v>
      </x:c>
      <x:c r="H885" s="25" t="str">
        <x:v>KPI_LATEST_CALCULATIONS.md#mission-selected-or-latest-job-duration-min</x:v>
      </x:c>
      <x:c r="I885" s="25" t="str">
        <x:v>Saved definition; runtime/acceptance pending</x:v>
      </x:c>
    </x:row>
    <x:row r="886" ht="85" customHeight="1">
      <x:c r="A886" s="25" t="str">
        <x:v>Selected or Latest Job Error</x:v>
      </x:c>
      <x:c r="B886" s="25" t="str">
        <x:v>_MissionControl_Measures</x:v>
      </x:c>
      <x:c r="C886" s="25" t="str">
        <x:v>Display/context helper</x:v>
      </x:c>
      <x:c r="D886" s="25" t="str">
        <x:v>Helper/context; not registered as an additional KPI</x:v>
      </x:c>
      <x:c r="E886" s="25" t="str">
        <x:v>No direct saved visual binding</x:v>
      </x:c>
      <x:c r="F886" s="25" t="str">
        <x:v>monitoring.rpt_job_run_summary</x:v>
      </x:c>
      <x:c r="G886" s="25" t="str">
        <x:v>VAR selected_job_run_id = [Selected or Latest Job Run ID]
			RETURN
				CALCULATE (
					SELECTEDVALUE ( 'rpt_job_run_summary'[error_message] ),
					'rpt_job_run_summary'[job_run_id] = selected_job_run_id
				)</x:v>
      </x:c>
      <x:c r="H886" s="25" t="str">
        <x:v>KPI_LATEST_CALCULATIONS.md#mission-selected-or-latest-job-error</x:v>
      </x:c>
      <x:c r="I886" s="25" t="str">
        <x:v>Saved definition; runtime/acceptance pending</x:v>
      </x:c>
    </x:row>
    <x:row r="887" ht="33" customHeight="1">
      <x:c r="A887" s="25" t="str">
        <x:v>Selected or Latest Job Run ID</x:v>
      </x:c>
      <x:c r="B887" s="25" t="str">
        <x:v>_MissionControl_Measures</x:v>
      </x:c>
      <x:c r="C887" s="25" t="str">
        <x:v>Display/context helper</x:v>
      </x:c>
      <x:c r="D887" s="25" t="str">
        <x:v>Helper/context; not registered as an additional KPI</x:v>
      </x:c>
      <x:c r="E887" s="25" t="str">
        <x:v>Job Run Tooltip; Job Step Detail (Drillthrough)</x:v>
      </x:c>
      <x:c r="F887" s="25" t="str">
        <x:v>monitoring.rpt_job_run_summary</x:v>
      </x:c>
      <x:c r="G887" s="25" t="str">
        <x:v>COALESCE ( SELECTEDVALUE ( 'rpt_job_run_summary'[job_run_id] ), [Latest Job Run ID] )</x:v>
      </x:c>
      <x:c r="H887" s="25" t="str">
        <x:v>KPI_LATEST_CALCULATIONS.md#mission-selected-or-latest-job-run-id</x:v>
      </x:c>
      <x:c r="I887" s="25" t="str">
        <x:v>Saved definition; runtime/acceptance pending</x:v>
      </x:c>
    </x:row>
    <x:row r="888" ht="85" customHeight="1">
      <x:c r="A888" s="25" t="str">
        <x:v>Selected or Latest Job Status</x:v>
      </x:c>
      <x:c r="B888" s="25" t="str">
        <x:v>_MissionControl_Measures</x:v>
      </x:c>
      <x:c r="C888" s="25" t="str">
        <x:v>Display/context helper</x:v>
      </x:c>
      <x:c r="D888" s="25" t="str">
        <x:v>Helper/context; not registered as an additional KPI</x:v>
      </x:c>
      <x:c r="E888" s="25" t="str">
        <x:v>Job Run Tooltip; Job Step Detail (Drillthrough)</x:v>
      </x:c>
      <x:c r="F888" s="25" t="str">
        <x:v>monitoring.rpt_job_run_summary</x:v>
      </x:c>
      <x:c r="G888" s="25" t="str">
        <x:v>VAR selected_job_run_id = [Selected or Latest Job Run ID]
			RETURN
				CALCULATE (
					SELECTEDVALUE ( 'rpt_job_run_summary'[status] ),
					'rpt_job_run_summary'[job_run_id] = selected_job_run_id
				)</x:v>
      </x:c>
      <x:c r="H888" s="25" t="str">
        <x:v>KPI_LATEST_CALCULATIONS.md#mission-selected-or-latest-job-status</x:v>
      </x:c>
      <x:c r="I888" s="25" t="str">
        <x:v>Saved definition; runtime/acceptance pending</x:v>
      </x:c>
    </x:row>
    <x:row r="889" ht="98" customHeight="1">
      <x:c r="A889" s="25" t="str">
        <x:v>Selected or Latest Job Steps</x:v>
      </x:c>
      <x:c r="B889" s="25" t="str">
        <x:v>_MissionControl_Measures</x:v>
      </x:c>
      <x:c r="C889" s="25" t="str">
        <x:v>Filter/context helper</x:v>
      </x:c>
      <x:c r="D889" s="25" t="str">
        <x:v>Helper/context; not registered as an additional KPI</x:v>
      </x:c>
      <x:c r="E889" s="25" t="str">
        <x:v>Job Step Detail (Drillthrough)</x:v>
      </x:c>
      <x:c r="F889" s="25" t="str">
        <x:v>monitoring.rpt_job_run_summary; monitoring.rpt_job_step_timing</x:v>
      </x:c>
      <x:c r="G889" s="25" t="str">
        <x:v>VAR selected_job_run_id = [Selected or Latest Job Run ID]
			RETURN
				CALCULATE (
					[Job Steps],
					KEEPFILTERS ( 'rpt_job_step_timing'[job_run_id] = selected_job_run_id )
				)</x:v>
      </x:c>
      <x:c r="H889" s="25" t="str">
        <x:v>KPI_LATEST_CALCULATIONS.md#mission-selected-or-latest-job-steps</x:v>
      </x:c>
      <x:c r="I889" s="25" t="str">
        <x:v>Saved definition; runtime/acceptance pending</x:v>
      </x:c>
    </x:row>
    <x:row r="890" ht="72" customHeight="1">
      <x:c r="A890" s="25" t="str">
        <x:v>Show Latest Load Quality</x:v>
      </x:c>
      <x:c r="B890" s="25" t="str">
        <x:v>_MissionControl_Measures</x:v>
      </x:c>
      <x:c r="C890" s="25" t="str">
        <x:v>Operational metric</x:v>
      </x:c>
      <x:c r="D890" s="25" t="str">
        <x:v>MC-KPI-160</x:v>
      </x:c>
      <x:c r="E890" s="25" t="str">
        <x:v>Quality &amp; Schema</x:v>
      </x:c>
      <x:c r="F890" s="25" t="str">
        <x:v>monitoring.cfg_data_quality_result; monitoring.rpt_job_run_summary</x:v>
      </x:c>
      <x:c r="G890" s="25" t="str">
        <x:v>VAR _id = [Latest Load Run ID]
			RETURN IF(NOT ISBLANK(_id) &amp;&amp; CALCULATE(COUNTROWS(cfg_data_quality_result),
			    KEEPFILTERS(TREATAS({_id}, cfg_data_quality_result[job_run_id]))) &gt; 0, 1, 0)</x:v>
      </x:c>
      <x:c r="H890" s="25" t="str">
        <x:v>KPI_LATEST_CALCULATIONS.md#mission-show-latest-load-quality</x:v>
      </x:c>
      <x:c r="I890" s="25" t="str">
        <x:v>Saved definition; runtime/acceptance pending</x:v>
      </x:c>
    </x:row>
    <x:row r="891" ht="124" customHeight="1">
      <x:c r="A891" s="25" t="str">
        <x:v>Show Step for Selected or Latest Job Run</x:v>
      </x:c>
      <x:c r="B891" s="25" t="str">
        <x:v>_MissionControl_Measures</x:v>
      </x:c>
      <x:c r="C891" s="25" t="str">
        <x:v>Filter/context helper</x:v>
      </x:c>
      <x:c r="D891" s="25" t="str">
        <x:v>Helper/context; not registered as an additional KPI</x:v>
      </x:c>
      <x:c r="E891" s="25" t="str">
        <x:v>No direct saved visual binding</x:v>
      </x:c>
      <x:c r="F891" s="25" t="str">
        <x:v>monitoring.rpt_job_run_summary; monitoring.rpt_job_step_timing</x:v>
      </x:c>
      <x:c r="G891" s="25" t="str">
        <x:v>VAR selected_job_run_id = [Selected or Latest Job Run ID]
			VAR matching_steps =
				CALCULATE (
					COUNTROWS ( 'rpt_job_step_timing' ),
					KEEPFILTERS ( 'rpt_job_step_timing'[job_run_id] = selected_job_run_id )
				)
			RETURN
				IF ( NOT ISBLANK ( selected_job_run_id ) &amp;&amp; matching_steps &gt; 0, 1, 0 )</x:v>
      </x:c>
      <x:c r="H891" s="25" t="str">
        <x:v>KPI_LATEST_CALCULATIONS.md#mission-show-step-for-selected-or-latest-job-run</x:v>
      </x:c>
      <x:c r="I891" s="25" t="str">
        <x:v>Saved definition; runtime/acceptance pending</x:v>
      </x:c>
    </x:row>
    <x:row r="892" ht="24" customHeight="1">
      <x:c r="A892" s="25" t="str">
        <x:v>Single calendar day</x:v>
      </x:c>
      <x:c r="B892" s="25" t="str">
        <x:v>_Run Benchmarks</x:v>
      </x:c>
      <x:c r="C892" s="25" t="str">
        <x:v>Operational metric</x:v>
      </x:c>
      <x:c r="D892" s="25" t="str">
        <x:v>MC-KPI-161</x:v>
      </x:c>
      <x:c r="E892" s="25" t="str">
        <x:v>Job &amp; Step Timelines; Watch Tower</x:v>
      </x:c>
      <x:c r="F892" s="25" t="str">
        <x:v>monitoring.rpt_job_run_summary</x:v>
      </x:c>
      <x:c r="G892" s="25" t="str">
        <x:v>IF(HASONEVALUE('Load Calendar'[Date]),1,0)</x:v>
      </x:c>
      <x:c r="H892" s="25" t="str">
        <x:v>KPI_LATEST_CALCULATIONS.md#mission-single-calendar-day</x:v>
      </x:c>
      <x:c r="I892" s="25" t="str">
        <x:v>Saved definition; runtime/acceptance pending</x:v>
      </x:c>
    </x:row>
    <x:row r="893" ht="24" customHeight="1">
      <x:c r="A893" s="25" t="str">
        <x:v>Step actual min</x:v>
      </x:c>
      <x:c r="B893" s="25" t="str">
        <x:v>_Run Benchmarks</x:v>
      </x:c>
      <x:c r="C893" s="25" t="str">
        <x:v>Operational metric</x:v>
      </x:c>
      <x:c r="D893" s="25" t="str">
        <x:v>MC-KPI-162</x:v>
      </x:c>
      <x:c r="E893" s="25" t="str">
        <x:v>Job &amp; Step Timelines</x:v>
      </x:c>
      <x:c r="F893" s="25" t="str">
        <x:v>monitoring.rpt_job_step_timing</x:v>
      </x:c>
      <x:c r="G893" s="25" t="str">
        <x:v>DIVIDE(SELECTEDVALUE('rpt_job_step_timing'[step_duration_seconds]),60)</x:v>
      </x:c>
      <x:c r="H893" s="25" t="str">
        <x:v>KPI_LATEST_CALCULATIONS.md#mission-step-actual-min</x:v>
      </x:c>
      <x:c r="I893" s="25" t="str">
        <x:v>Saved definition; runtime/acceptance pending</x:v>
      </x:c>
    </x:row>
    <x:row r="894" ht="189" customHeight="1">
      <x:c r="A894" s="25" t="str">
        <x:v>Step baseline n</x:v>
      </x:c>
      <x:c r="B894" s="25" t="str">
        <x:v>_Run Benchmarks</x:v>
      </x:c>
      <x:c r="C894" s="25" t="str">
        <x:v>Operational metric</x:v>
      </x:c>
      <x:c r="D894" s="25" t="str">
        <x:v>MC-KPI-163</x:v>
      </x:c>
      <x:c r="E894" s="25" t="str">
        <x:v>Job &amp; Step Timelines</x:v>
      </x:c>
      <x:c r="F894" s="25" t="str">
        <x:v>monitoring.rpt_job_run_summary; monitoring.rpt_job_step_timing</x:v>
      </x:c>
      <x:c r="G894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
[EXCERPT; complete logic in KPI_LATEST_CALCULATIONS.md]</x:v>
      </x:c>
      <x:c r="H894" s="25" t="str">
        <x:v>KPI_LATEST_CALCULATIONS.md#mission-step-baseline-n</x:v>
      </x:c>
      <x:c r="I894" s="25" t="str">
        <x:v>Saved definition; runtime/acceptance pending</x:v>
      </x:c>
    </x:row>
    <x:row r="895" ht="72" customHeight="1">
      <x:c r="A895" s="25" t="str">
        <x:v>Step comparison</x:v>
      </x:c>
      <x:c r="B895" s="25" t="str">
        <x:v>_Run Benchmarks</x:v>
      </x:c>
      <x:c r="C895" s="25" t="str">
        <x:v>Display/context helper</x:v>
      </x:c>
      <x:c r="D895" s="25" t="str">
        <x:v>Helper/context; not registered as an additional KPI</x:v>
      </x:c>
      <x:c r="E895" s="25" t="str">
        <x:v>Job &amp; Step Timelines</x:v>
      </x:c>
      <x:c r="F895" s="25" t="str">
        <x:v>monitoring.rpt_job_run_summary; monitoring.rpt_job_step_timing</x:v>
      </x:c>
      <x:c r="G895" s="25" t="str">
        <x:v>VAR n=[Step baseline n]
			VAR actual=[Step actual min]
			RETURN SWITCH(TRUE(),ISBLANK(n),"Select one step",n&lt;5,"Insufficient history",ISBLANK(actual),"No duration recorded",actual&lt;[Step prior p25 min],"Below prior P25",actual&gt;[Step prior p75 min],"Above prior P75","Within prior IQR")</x:v>
      </x:c>
      <x:c r="H895" s="25" t="str">
        <x:v>KPI_LATEST_CALCULATIONS.md#mission-step-comparison</x:v>
      </x:c>
      <x:c r="I895" s="25" t="str">
        <x:v>Saved definition; runtime/acceptance pending</x:v>
      </x:c>
    </x:row>
    <x:row r="896" ht="189" customHeight="1">
      <x:c r="A896" s="25" t="str">
        <x:v>Step prior mean min</x:v>
      </x:c>
      <x:c r="B896" s="25" t="str">
        <x:v>_Run Benchmarks</x:v>
      </x:c>
      <x:c r="C896" s="25" t="str">
        <x:v>Operational metric</x:v>
      </x:c>
      <x:c r="D896" s="25" t="str">
        <x:v>MC-KPI-164</x:v>
      </x:c>
      <x:c r="E896" s="25" t="str">
        <x:v>Job &amp; Step Timelines</x:v>
      </x:c>
      <x:c r="F896" s="25" t="str">
        <x:v>monitoring.rpt_job_run_summary; monitoring.rpt_job_step_timing</x:v>
      </x:c>
      <x:c r="G896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
[EXCERPT; complete logic in KPI_LATEST_CALCULATIONS.md]</x:v>
      </x:c>
      <x:c r="H896" s="25" t="str">
        <x:v>KPI_LATEST_CALCULATIONS.md#mission-step-prior-mean-min</x:v>
      </x:c>
      <x:c r="I896" s="25" t="str">
        <x:v>Saved definition; runtime/acceptance pending</x:v>
      </x:c>
    </x:row>
    <x:row r="897" ht="189" customHeight="1">
      <x:c r="A897" s="25" t="str">
        <x:v>Step prior median min</x:v>
      </x:c>
      <x:c r="B897" s="25" t="str">
        <x:v>_Run Benchmarks</x:v>
      </x:c>
      <x:c r="C897" s="25" t="str">
        <x:v>Operational metric</x:v>
      </x:c>
      <x:c r="D897" s="25" t="str">
        <x:v>MC-KPI-165</x:v>
      </x:c>
      <x:c r="E897" s="25" t="str">
        <x:v>Job &amp; Step Timelines</x:v>
      </x:c>
      <x:c r="F897" s="25" t="str">
        <x:v>monitoring.rpt_job_run_summary; monitoring.rpt_job_step_timing</x:v>
      </x:c>
      <x:c r="G897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
[EXCERPT; complete logic in KPI_LATEST_CALCULATIONS.md]</x:v>
      </x:c>
      <x:c r="H897" s="25" t="str">
        <x:v>KPI_LATEST_CALCULATIONS.md#mission-step-prior-median-min</x:v>
      </x:c>
      <x:c r="I897" s="25" t="str">
        <x:v>Saved definition; runtime/acceptance pending</x:v>
      </x:c>
    </x:row>
    <x:row r="898" ht="189" customHeight="1">
      <x:c r="A898" s="25" t="str">
        <x:v>Step prior p25 min</x:v>
      </x:c>
      <x:c r="B898" s="25" t="str">
        <x:v>_Run Benchmarks</x:v>
      </x:c>
      <x:c r="C898" s="25" t="str">
        <x:v>Operational metric</x:v>
      </x:c>
      <x:c r="D898" s="25" t="str">
        <x:v>MC-KPI-166</x:v>
      </x:c>
      <x:c r="E898" s="25" t="str">
        <x:v>Job &amp; Step Timelines</x:v>
      </x:c>
      <x:c r="F898" s="25" t="str">
        <x:v>monitoring.rpt_job_run_summary; monitoring.rpt_job_step_timing</x:v>
      </x:c>
      <x:c r="G898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
[EXCERPT; complete logic in KPI_LATEST_CALCULATIONS.md]</x:v>
      </x:c>
      <x:c r="H898" s="25" t="str">
        <x:v>KPI_LATEST_CALCULATIONS.md#mission-step-prior-p25-min</x:v>
      </x:c>
      <x:c r="I898" s="25" t="str">
        <x:v>Saved definition; runtime/acceptance pending</x:v>
      </x:c>
    </x:row>
    <x:row r="899" ht="189" customHeight="1">
      <x:c r="A899" s="25" t="str">
        <x:v>Step prior p75 min</x:v>
      </x:c>
      <x:c r="B899" s="25" t="str">
        <x:v>_Run Benchmarks</x:v>
      </x:c>
      <x:c r="C899" s="25" t="str">
        <x:v>Operational metric</x:v>
      </x:c>
      <x:c r="D899" s="25" t="str">
        <x:v>MC-KPI-167</x:v>
      </x:c>
      <x:c r="E899" s="25" t="str">
        <x:v>Job &amp; Step Timelines</x:v>
      </x:c>
      <x:c r="F899" s="25" t="str">
        <x:v>monitoring.rpt_job_run_summary; monitoring.rpt_job_step_timing</x:v>
      </x:c>
      <x:c r="G899" s="25" t="str">
        <x:v>VAR anchor=SELECTEDVALUE('rpt_job_step_timing'[started_at])
			VAR pipeline=SELECTEDVALUE('rpt_job_step_timing'[Pipeline])
			VAR currentJob=SELECTEDVALUE('rpt_job_step_timing'[job_run_id])
			VAR notebook=SELECTEDVALUE('rpt_job_step_timing'[notebook_name])
			VAR _sequence=SELECTEDVALUE('rpt_job_step_timing'[step_sequence])
			VAR history=FILTER(CALCULATETABLE('rpt_job_step_timing',REMOVEFILTERS('Load Calendar'),REMOVEFILTERS('rpt_job_run_summary'),REMOVEFILTERS('rpt_job_step_timing')),
			    'rpt_job_step_timing'[Pipeline]=pipeline &amp;&amp; 'rpt_job_step_timing'[job_run_id]&lt;&gt;currentJob
			    &amp;&amp; 'rpt_job_step_timing'[started_at]&gt;=anchor-30 &amp;&amp; 'rpt_job_step_timing'[ended_at]&lt;anchor
			    &amp;&amp; NOT ISBLANK('rpt_job_st
[EXCERPT; complete logic in KPI_LATEST_CALCULATIONS.md]</x:v>
      </x:c>
      <x:c r="H899" s="25" t="str">
        <x:v>KPI_LATEST_CALCULATIONS.md#mission-step-prior-p75-min</x:v>
      </x:c>
      <x:c r="I899" s="25" t="str">
        <x:v>Saved definition; runtime/acceptance pending</x:v>
      </x:c>
    </x:row>
    <x:row r="900" ht="24" customHeight="1">
      <x:c r="A900" s="25" t="str">
        <x:v>Success rate</x:v>
      </x:c>
      <x:c r="B900" s="25" t="str">
        <x:v>_Load Experience</x:v>
      </x:c>
      <x:c r="C900" s="25" t="str">
        <x:v>Operational metric</x:v>
      </x:c>
      <x:c r="D900" s="25" t="str">
        <x:v>MC-KPI-168</x:v>
      </x:c>
      <x:c r="E900" s="25" t="str">
        <x:v>No direct saved visual binding</x:v>
      </x:c>
      <x:c r="F900" s="25" t="str">
        <x:v>monitoring.rpt_job_run_summary</x:v>
      </x:c>
      <x:c r="G900" s="25" t="str">
        <x:v>DIVIDE([Successful],[Successful]+[Failures])</x:v>
      </x:c>
      <x:c r="H900" s="25" t="str">
        <x:v>KPI_LATEST_CALCULATIONS.md#mission-success-rate</x:v>
      </x:c>
      <x:c r="I900" s="25" t="str">
        <x:v>Saved definition; runtime/acceptance pending</x:v>
      </x:c>
    </x:row>
    <x:row r="901" ht="24" customHeight="1">
      <x:c r="A901" s="25" t="str">
        <x:v>Successful</x:v>
      </x:c>
      <x:c r="B901" s="25" t="str">
        <x:v>_Load Experience</x:v>
      </x:c>
      <x:c r="C901" s="25" t="str">
        <x:v>Operational metric</x:v>
      </x:c>
      <x:c r="D901" s="25" t="str">
        <x:v>MC-KPI-169</x:v>
      </x:c>
      <x:c r="E901" s="25" t="str">
        <x:v>No direct saved visual binding</x:v>
      </x:c>
      <x:c r="F901" s="25" t="str">
        <x:v>monitoring.rpt_job_run_summary</x:v>
      </x:c>
      <x:c r="G901" s="25" t="str">
        <x:v>CALCULATE([Runs], KEEPFILTERS(rpt_job_run_summary[Outcome]="Successful"))</x:v>
      </x:c>
      <x:c r="H901" s="25" t="str">
        <x:v>KPI_LATEST_CALCULATIONS.md#mission-successful</x:v>
      </x:c>
      <x:c r="I901" s="25" t="str">
        <x:v>Saved definition; runtime/acceptance pending</x:v>
      </x:c>
    </x:row>
    <x:row r="902" ht="33" customHeight="1">
      <x:c r="A902" s="25" t="str">
        <x:v>Successful Archive Files</x:v>
      </x:c>
      <x:c r="B902" s="25" t="str">
        <x:v>_MissionControl_Measures</x:v>
      </x:c>
      <x:c r="C902" s="25" t="str">
        <x:v>Operational metric</x:v>
      </x:c>
      <x:c r="D902" s="25" t="str">
        <x:v>MC-KPI-170</x:v>
      </x:c>
      <x:c r="E902" s="25" t="str">
        <x:v>No direct saved visual binding</x:v>
      </x:c>
      <x:c r="F902" s="25" t="str">
        <x:v>monitoring.cfg_archive_file_load</x:v>
      </x:c>
      <x:c r="G902" s="25" t="str">
        <x:v>COUNTROWS ( FILTER ( 'cfg_archive_file_load', UPPER ( COALESCE ( 'cfg_archive_file_load'[status], "" ) ) IN { "SUCCESS", "SUCCEEDED" } ) )</x:v>
      </x:c>
      <x:c r="H902" s="25" t="str">
        <x:v>KPI_LATEST_CALCULATIONS.md#mission-successful-archive-files</x:v>
      </x:c>
      <x:c r="I902" s="25" t="str">
        <x:v>Saved definition; runtime/acceptance pending</x:v>
      </x:c>
    </x:row>
    <x:row r="903" ht="33" customHeight="1">
      <x:c r="A903" s="25" t="str">
        <x:v>Successful Archive ZIP Batches</x:v>
      </x:c>
      <x:c r="B903" s="25" t="str">
        <x:v>_MissionControl_Measures</x:v>
      </x:c>
      <x:c r="C903" s="25" t="str">
        <x:v>Operational metric</x:v>
      </x:c>
      <x:c r="D903" s="25" t="str">
        <x:v>MC-KPI-171</x:v>
      </x:c>
      <x:c r="E903" s="25" t="str">
        <x:v>No direct saved visual binding</x:v>
      </x:c>
      <x:c r="F903" s="25" t="str">
        <x:v>monitoring.cfg_archive_zip_load</x:v>
      </x:c>
      <x:c r="G903" s="25" t="str">
        <x:v>COUNTROWS ( FILTER ( 'cfg_archive_zip_load', UPPER ( COALESCE ( 'cfg_archive_zip_load'[status], "" ) ) IN { "SUCCESS", "SUCCEEDED" } ) )</x:v>
      </x:c>
      <x:c r="H903" s="25" t="str">
        <x:v>KPI_LATEST_CALCULATIONS.md#mission-successful-archive-zip-batches</x:v>
      </x:c>
      <x:c r="I903" s="25" t="str">
        <x:v>Saved definition; runtime/acceptance pending</x:v>
      </x:c>
    </x:row>
    <x:row r="904" ht="33" customHeight="1">
      <x:c r="A904" s="25" t="str">
        <x:v>Successful Gold Snapshots</x:v>
      </x:c>
      <x:c r="B904" s="25" t="str">
        <x:v>_MissionControl_Measures</x:v>
      </x:c>
      <x:c r="C904" s="25" t="str">
        <x:v>Operational metric</x:v>
      </x:c>
      <x:c r="D904" s="25" t="str">
        <x:v>MC-KPI-172</x:v>
      </x:c>
      <x:c r="E904" s="25" t="str">
        <x:v>No direct saved visual binding</x:v>
      </x:c>
      <x:c r="F904" s="25" t="str">
        <x:v>monitoring.cfg_month_end_gold_run</x:v>
      </x:c>
      <x:c r="G904" s="25" t="str">
        <x:v>COUNTROWS ( FILTER ( 'cfg_month_end_gold_run', UPPER ( COALESCE ( 'cfg_month_end_gold_run'[status], "" ) ) IN { "SUCCESS", "SUCCEEDED" } ) )</x:v>
      </x:c>
      <x:c r="H904" s="25" t="str">
        <x:v>KPI_LATEST_CALCULATIONS.md#mission-successful-gold-snapshots</x:v>
      </x:c>
      <x:c r="I904" s="25" t="str">
        <x:v>Saved definition; runtime/acceptance pending</x:v>
      </x:c>
    </x:row>
    <x:row r="905" ht="33" customHeight="1">
      <x:c r="A905" s="25" t="str">
        <x:v>Successful Job Runs</x:v>
      </x:c>
      <x:c r="B905" s="25" t="str">
        <x:v>_MissionControl_Measures</x:v>
      </x:c>
      <x:c r="C905" s="25" t="str">
        <x:v>Operational metric</x:v>
      </x:c>
      <x:c r="D905" s="25" t="str">
        <x:v>MC-KPI-173</x:v>
      </x:c>
      <x:c r="E905" s="25" t="str">
        <x:v>No direct saved visual binding</x:v>
      </x:c>
      <x:c r="F905" s="25" t="str">
        <x:v>monitoring.rpt_job_run_summary</x:v>
      </x:c>
      <x:c r="G905" s="25" t="str">
        <x:v>CALCULATE ( [Job Runs], FILTER ( 'rpt_job_run_summary', UPPER ( COALESCE ( 'rpt_job_run_summary'[status], "" ) ) IN { "SUCCESS", "SUCCEEDED" } ) )</x:v>
      </x:c>
      <x:c r="H905" s="25" t="str">
        <x:v>KPI_LATEST_CALCULATIONS.md#mission-successful-job-runs</x:v>
      </x:c>
      <x:c r="I905" s="25" t="str">
        <x:v>Saved definition; runtime/acceptance pending</x:v>
      </x:c>
    </x:row>
    <x:row r="906" ht="33" customHeight="1">
      <x:c r="A906" s="25" t="str">
        <x:v>Successful Job Steps</x:v>
      </x:c>
      <x:c r="B906" s="25" t="str">
        <x:v>_MissionControl_Measures</x:v>
      </x:c>
      <x:c r="C906" s="25" t="str">
        <x:v>Operational metric</x:v>
      </x:c>
      <x:c r="D906" s="25" t="str">
        <x:v>MC-KPI-174</x:v>
      </x:c>
      <x:c r="E906" s="25" t="str">
        <x:v>No direct saved visual binding</x:v>
      </x:c>
      <x:c r="F906" s="25" t="str">
        <x:v>monitoring.rpt_job_step_timing</x:v>
      </x:c>
      <x:c r="G906" s="25" t="str">
        <x:v>CALCULATE ( [Job Steps], FILTER ( 'rpt_job_step_timing', UPPER ( COALESCE ( 'rpt_job_step_timing'[status], "" ) ) IN { "SUCCESS", "SUCCEEDED" } ) )</x:v>
      </x:c>
      <x:c r="H906" s="25" t="str">
        <x:v>KPI_LATEST_CALCULATIONS.md#mission-successful-job-steps</x:v>
      </x:c>
      <x:c r="I906" s="25" t="str">
        <x:v>Saved definition; runtime/acceptance pending</x:v>
      </x:c>
    </x:row>
    <x:row r="907" ht="33" customHeight="1">
      <x:c r="A907" s="25" t="str">
        <x:v>Successful Pipeline Runs</x:v>
      </x:c>
      <x:c r="B907" s="25" t="str">
        <x:v>_MissionControl_Measures</x:v>
      </x:c>
      <x:c r="C907" s="25" t="str">
        <x:v>Operational metric</x:v>
      </x:c>
      <x:c r="D907" s="25" t="str">
        <x:v>MC-KPI-175</x:v>
      </x:c>
      <x:c r="E907" s="25" t="str">
        <x:v>No direct saved visual binding</x:v>
      </x:c>
      <x:c r="F907" s="25" t="str">
        <x:v>monitoring.cfg_pipeline_run</x:v>
      </x:c>
      <x:c r="G907" s="25" t="str">
        <x:v>CALCULATE ( [Pipeline Runs], FILTER ( 'cfg_pipeline_run', UPPER ( COALESCE ( 'cfg_pipeline_run'[status], "" ) ) IN { "SUCCESS", "SUCCEEDED" } ) )</x:v>
      </x:c>
      <x:c r="H907" s="25" t="str">
        <x:v>KPI_LATEST_CALCULATIONS.md#mission-successful-pipeline-runs</x:v>
      </x:c>
      <x:c r="I907" s="25" t="str">
        <x:v>Saved definition; runtime/acceptance pending</x:v>
      </x:c>
    </x:row>
    <x:row r="908" ht="163" customHeight="1">
      <x:c r="A908" s="25" t="str">
        <x:v>Timeline Job Visible</x:v>
      </x:c>
      <x:c r="B908" s="25" t="str">
        <x:v>_MissionControl_Measures</x:v>
      </x:c>
      <x:c r="C908" s="25" t="str">
        <x:v>Filter/context helper</x:v>
      </x:c>
      <x:c r="D908" s="25" t="str">
        <x:v>Helper/context; not registered as an additional KPI</x:v>
      </x:c>
      <x:c r="E908" s="25" t="str">
        <x:v>Job &amp; Step Timelines; Job Step Detail (Drillthrough)</x:v>
      </x:c>
      <x:c r="F908" s="25" t="str">
        <x:v>monitoring.rpt_job_run_summary</x:v>
      </x:c>
      <x:c r="G908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COUNTROWS(rpt_job_run_summary),
			    CALCULATE(COUNTROWS(rpt_job_run_summary), KEEPFILTERS(TREATAS({LatestId}, rpt_job_run_summary[job_run_id]))))
			RETURN IF(n &gt; 0, 1, 0)</x:v>
      </x:c>
      <x:c r="H908" s="25" t="str">
        <x:v>KPI_LATEST_CALCULATIONS.md#mission-timeline-job-visible</x:v>
      </x:c>
      <x:c r="I908" s="25" t="str">
        <x:v>Saved definition; runtime/acceptance pending</x:v>
      </x:c>
    </x:row>
    <x:row r="909" ht="163" customHeight="1">
      <x:c r="A909" s="25" t="str">
        <x:v>Timeline Step Visible</x:v>
      </x:c>
      <x:c r="B909" s="25" t="str">
        <x:v>_MissionControl_Measures</x:v>
      </x:c>
      <x:c r="C909" s="25" t="str">
        <x:v>Filter/context helper</x:v>
      </x:c>
      <x:c r="D909" s="25" t="str">
        <x:v>Helper/context; not registered as an additional KPI</x:v>
      </x:c>
      <x:c r="E909" s="25" t="str">
        <x:v>Job &amp; Step Timelines; Job Step Detail (Drillthrough)</x:v>
      </x:c>
      <x:c r="F909" s="25" t="str">
        <x:v>monitoring.rpt_job_run_summary</x:v>
      </x:c>
      <x:c r="G909" s="25" t="str">
        <x:v>VAR LatestJob = CALCULATETABLE(TOPN(1,
			    FILTER(rpt_job_run_summary, NOT ISBLANK(rpt_job_run_summary[started_at])),
			    rpt_job_run_summary[started_at], DESC, rpt_job_run_summary[job_run_id], DESC),
			    ALLSELECTED(rpt_job_run_summary))
			VAR LatestId = MAXX(LatestJob, rpt_job_run_summary[job_run_id])
			VAR n = IF(ISFILTERED('Load Calendar'[Date]), COUNTROWS(rpt_job_step_timing),
			    CALCULATE(COUNTROWS(rpt_job_step_timing), KEEPFILTERS(TREATAS({LatestId}, rpt_job_run_summary[job_run_id]))))
			RETURN IF(n &gt; 0, 1, 0)</x:v>
      </x:c>
      <x:c r="H909" s="25" t="str">
        <x:v>KPI_LATEST_CALCULATIONS.md#mission-timeline-step-visible</x:v>
      </x:c>
      <x:c r="I909" s="25" t="str">
        <x:v>Saved definition; runtime/acceptance pending</x:v>
      </x:c>
    </x:row>
    <x:row r="910" ht="33" customHeight="1">
      <x:c r="A910" s="25" t="str">
        <x:v>Total Job Step Duration (min)</x:v>
      </x:c>
      <x:c r="B910" s="25" t="str">
        <x:v>_MissionControl_Measures</x:v>
      </x:c>
      <x:c r="C910" s="25" t="str">
        <x:v>Operational metric</x:v>
      </x:c>
      <x:c r="D910" s="25" t="str">
        <x:v>MC-KPI-176</x:v>
      </x:c>
      <x:c r="E910" s="25" t="str">
        <x:v>No direct saved visual binding</x:v>
      </x:c>
      <x:c r="F910" s="25" t="str">
        <x:v>monitoring.rpt_job_step_timing</x:v>
      </x:c>
      <x:c r="G910" s="25" t="str">
        <x:v>DIVIDE ( SUM ( 'rpt_job_step_timing'[step_duration_seconds] ), 60.0 )</x:v>
      </x:c>
      <x:c r="H910" s="25" t="str">
        <x:v>KPI_LATEST_CALCULATIONS.md#mission-total-job-step-duration-min</x:v>
      </x:c>
      <x:c r="I910" s="25" t="str">
        <x:v>Saved definition; runtime/acceptance pending</x:v>
      </x:c>
    </x:row>
    <x:row r="911" ht="46" customHeight="1">
      <x:c r="A911" s="25" t="str">
        <x:v>Total Pipeline Duration (min)</x:v>
      </x:c>
      <x:c r="B911" s="25" t="str">
        <x:v>_MissionControl_Measures</x:v>
      </x:c>
      <x:c r="C911" s="25" t="str">
        <x:v>Operational metric</x:v>
      </x:c>
      <x:c r="D911" s="25" t="str">
        <x:v>MC-KPI-177</x:v>
      </x:c>
      <x:c r="E911" s="25" t="str">
        <x:v>No direct saved visual binding</x:v>
      </x:c>
      <x:c r="F911" s="25" t="str">
        <x:v>monitoring.cfg_pipeline_run</x:v>
      </x:c>
      <x:c r="G911" s="25" t="str">
        <x:v>SUMX ( FILTER ( 'cfg_pipeline_run', NOT ISBLANK ( 'cfg_pipeline_run'[started_at] ) &amp;&amp; NOT ISBLANK ( 'cfg_pipeline_run'[ended_at] ) ), DIVIDE ( DATEDIFF ( 'cfg_pipeline_run'[started_at], 'cfg_pipeline_run'[ended_at], SECOND ), 60.0 ) )</x:v>
      </x:c>
      <x:c r="H911" s="25" t="str">
        <x:v>KPI_LATEST_CALCULATIONS.md#mission-total-pipeline-duration-min</x:v>
      </x:c>
      <x:c r="I911" s="25" t="str">
        <x:v>Saved definition; runtime/acceptance pending</x:v>
      </x:c>
    </x:row>
    <x:row r="912" ht="33" customHeight="1">
      <x:c r="A912" s="25" t="str">
        <x:v>Watch Tower Contracts Count</x:v>
      </x:c>
      <x:c r="B912" s="25" t="str">
        <x:v>_MissionControl_Measures</x:v>
      </x:c>
      <x:c r="C912" s="25" t="str">
        <x:v>Operational metric</x:v>
      </x:c>
      <x:c r="D912" s="25" t="str">
        <x:v>MC-KPI-178</x:v>
      </x:c>
      <x:c r="E912" s="25" t="str">
        <x:v>Watch Tower</x:v>
      </x:c>
      <x:c r="F912" s="25" t="str">
        <x:v>monitoring.cfg_bronze_schema_live; monitoring.cfg_job_run; monitoring.rpt_job_run_summary</x:v>
      </x:c>
      <x:c r="G912" s="25" t="str">
        <x:v>CALCULATE([Discovery cfg_bronze_schema_live Scope count], REMOVEFILTERS())</x:v>
      </x:c>
      <x:c r="H912" s="25" t="str">
        <x:v>KPI_LATEST_CALCULATIONS.md#mission-watch-tower-contracts-count</x:v>
      </x:c>
      <x:c r="I912" s="25" t="str">
        <x:v>Saved definition; runtime/acceptance pending</x:v>
      </x:c>
    </x:row>
    <x:row r="913" ht="59" customHeight="1">
      <x:c r="A913" s="25" t="str">
        <x:v>Watch Tower Contracts Date</x:v>
      </x:c>
      <x:c r="B913" s="25" t="str">
        <x:v>_MissionControl_Measures</x:v>
      </x:c>
      <x:c r="C913" s="25" t="str">
        <x:v>Display/context helper</x:v>
      </x:c>
      <x:c r="D913" s="25" t="str">
        <x:v>Helper/context; not registered as an additional KPI</x:v>
      </x:c>
      <x:c r="E913" s="25" t="str">
        <x:v>Watch Tower</x:v>
      </x:c>
      <x:c r="F913" s="25" t="str">
        <x:v>monitoring.cfg_bronze_schema_live</x:v>
      </x:c>
      <x:c r="G913" s="25" t="str">
        <x:v>VAR t = CALCULATE([Discovery cfg_bronze_schema_live Latest time], REMOVEFILTERS())
			RETURN IF(ISBLANK(t), "No retained discovery", "Schema captured: " &amp; FORMAT(t, "dd MMM yyyy HH:mm"))</x:v>
      </x:c>
      <x:c r="H913" s="25" t="str">
        <x:v>KPI_LATEST_CALCULATIONS.md#mission-watch-tower-contracts-date</x:v>
      </x:c>
      <x:c r="I913" s="25" t="str">
        <x:v>Saved definition; runtime/acceptance pending</x:v>
      </x:c>
    </x:row>
    <x:row r="914" ht="46" customHeight="1">
      <x:c r="A914" s="25" t="str">
        <x:v>Watch Tower Contracts Detail</x:v>
      </x:c>
      <x:c r="B914" s="25" t="str">
        <x:v>_MissionControl_Measures</x:v>
      </x:c>
      <x:c r="C914" s="25" t="str">
        <x:v>Display/context helper</x:v>
      </x:c>
      <x:c r="D914" s="25" t="str">
        <x:v>Helper/context; not registered as an additional KPI</x:v>
      </x:c>
      <x:c r="E914" s="25" t="str">
        <x:v>Watch Tower</x:v>
      </x:c>
      <x:c r="F914" s="25" t="str">
        <x:v>monitoring.cfg_bronze_schema_live; monitoring.cfg_job_run; monitoring.cfg_schema_contract_column; monitoring.rpt_job_run_summary</x:v>
      </x:c>
      <x:c r="G914" s="25" t="str">
        <x:v>FORMAT(CALCULATE([Discovery cfg_bronze_schema_live Distinct objects], REMOVEFILTERS()), "#,0") &amp; " captured tables · " &amp; FORMAT(CALCULATE([Discovery cfg_schema_contract_column Rows], REMOVEFILTERS()), "#,0") &amp; " contract columns"</x:v>
      </x:c>
      <x:c r="H914" s="25" t="str">
        <x:v>KPI_LATEST_CALCULATIONS.md#mission-watch-tower-contracts-detail</x:v>
      </x:c>
      <x:c r="I914" s="25" t="str">
        <x:v>Saved definition; runtime/acceptance pending</x:v>
      </x:c>
    </x:row>
    <x:row r="915" ht="85" customHeight="1">
      <x:c r="A915" s="25" t="str">
        <x:v>Watch Tower Contracts Flag</x:v>
      </x:c>
      <x:c r="B915" s="25" t="str">
        <x:v>_MissionControl_Measures</x:v>
      </x:c>
      <x:c r="C915" s="25" t="str">
        <x:v>Filter/context helper</x:v>
      </x:c>
      <x:c r="D915" s="25" t="str">
        <x:v>Helper/context; not registered as an additional KPI</x:v>
      </x:c>
      <x:c r="E915" s="25" t="str">
        <x:v>Watch Tower</x:v>
      </x:c>
      <x:c r="F915" s="25" t="str">
        <x:v>monitoring.cfg_job_run; monitoring.cfg_schema_drift_event</x:v>
      </x:c>
      <x:c r="G915" s="25" t="str">
        <x:v>VAR n=[Watch Tower Contracts Flag Records]
			VAR t=[Watch Tower Contracts Flag Captured]
			VAR anchor=[Watch Tower Flag Latest Load Day]
			RETURN SWITCH(TRUE(),n=0,0,ISBLANK(t)||ISBLANK(anchor),1,
			    INT(t)=INT(anchor),3,
			    INT(t)&gt;=INT(anchor)-7 &amp;&amp; INT(t)&lt;INT(anchor),2,1)</x:v>
      </x:c>
      <x:c r="H915" s="25" t="str">
        <x:v>KPI_LATEST_CALCULATIONS.md#mission-watch-tower-contracts-flag</x:v>
      </x:c>
      <x:c r="I915" s="25" t="str">
        <x:v>Saved definition; runtime/acceptance pending</x:v>
      </x:c>
    </x:row>
    <x:row r="916" ht="59" customHeight="1">
      <x:c r="A916" s="25" t="str">
        <x:v>Watch Tower Contracts Flag Captured</x:v>
      </x:c>
      <x:c r="B916" s="25" t="str">
        <x:v>_MissionControl_Measures</x:v>
      </x:c>
      <x:c r="C916" s="25" t="str">
        <x:v>Display/context helper</x:v>
      </x:c>
      <x:c r="D916" s="25" t="str">
        <x:v>Helper/context; not registered as an additional KPI</x:v>
      </x:c>
      <x:c r="E916" s="25" t="str">
        <x:v>No direct saved visual binding</x:v>
      </x:c>
      <x:c r="F916" s="25" t="str">
        <x:v>monitoring.cfg_schema_drift_event</x:v>
      </x:c>
      <x:c r="G916" s="25" t="str">
        <x:v>MAXX(SELECTCOLUMNS(FILTER(CALCULATETABLE('cfg_schema_drift_event',REMOVEFILTERS()),(TRUE())),"Captured",COALESCE(cfg_schema_drift_event[last_detected_at],cfg_schema_drift_event[detected_at],cfg_schema_drift_event[first_detected_at])),[Captured])</x:v>
      </x:c>
      <x:c r="H916" s="25" t="str">
        <x:v>KPI_LATEST_CALCULATIONS.md#mission-watch-tower-contracts-flag-captured</x:v>
      </x:c>
      <x:c r="I916" s="25" t="str">
        <x:v>Saved definition; runtime/acceptance pending</x:v>
      </x:c>
    </x:row>
    <x:row r="917" ht="98" customHeight="1">
      <x:c r="A917" s="25" t="str">
        <x:v>Watch Tower Contracts Flag Label</x:v>
      </x:c>
      <x:c r="B917" s="25" t="str">
        <x:v>_MissionControl_Measures</x:v>
      </x:c>
      <x:c r="C917" s="25" t="str">
        <x:v>Display/context helper</x:v>
      </x:c>
      <x:c r="D917" s="25" t="str">
        <x:v>Helper/context; not registered as an additional KPI</x:v>
      </x:c>
      <x:c r="E917" s="25" t="str">
        <x:v>Watch Tower</x:v>
      </x:c>
      <x:c r="F917" s="25" t="str">
        <x:v>monitoring.cfg_job_run; monitoring.cfg_schema_drift_event</x:v>
      </x:c>
      <x:c r="G917" s="25" t="str">
        <x:v>VAR code=[Watch Tower Contracts Flag]
			VAR captured=[Watch Tower Contracts Flag Captured]
			VAR anchor=[Watch Tower Flag Latest Load Day]
			RETURN SWITCH(TRUE(),code=0,"No record",code=3,"Latest day",code=2,"Prior 7 days",
			    ISBLANK(captured),"Undated",ISBLANK(anchor),"No load date",INT(captured)&gt;anchor,"Unlinked date","History")</x:v>
      </x:c>
      <x:c r="H917" s="25" t="str">
        <x:v>KPI_LATEST_CALCULATIONS.md#mission-watch-tower-contracts-flag-label</x:v>
      </x:c>
      <x:c r="I917" s="25" t="str">
        <x:v>Saved definition; runtime/acceptance pending</x:v>
      </x:c>
    </x:row>
    <x:row r="918" ht="33" customHeight="1">
      <x:c r="A918" s="25" t="str">
        <x:v>Watch Tower Contracts Flag Records</x:v>
      </x:c>
      <x:c r="B918" s="25" t="str">
        <x:v>_MissionControl_Measures</x:v>
      </x:c>
      <x:c r="C918" s="25" t="str">
        <x:v>Filter/context helper</x:v>
      </x:c>
      <x:c r="D918" s="25" t="str">
        <x:v>Helper/context; not registered as an additional KPI</x:v>
      </x:c>
      <x:c r="E918" s="25" t="str">
        <x:v>No direct saved visual binding</x:v>
      </x:c>
      <x:c r="F918" s="25" t="str">
        <x:v>monitoring.cfg_schema_drift_event</x:v>
      </x:c>
      <x:c r="G918" s="25" t="str">
        <x:v>COALESCE(COUNTROWS(FILTER(CALCULATETABLE('cfg_schema_drift_event',REMOVEFILTERS()),(TRUE()))),0)</x:v>
      </x:c>
      <x:c r="H918" s="25" t="str">
        <x:v>KPI_LATEST_CALCULATIONS.md#mission-watch-tower-contracts-flag-records</x:v>
      </x:c>
      <x:c r="I918" s="25" t="str">
        <x:v>Saved definition; runtime/acceptance pending</x:v>
      </x:c>
    </x:row>
    <x:row r="919" ht="176" customHeight="1">
      <x:c r="A919" s="25" t="str">
        <x:v>Watch Tower Contracts Flag Tooltip</x:v>
      </x:c>
      <x:c r="B919" s="25" t="str">
        <x:v>_MissionControl_Measures</x:v>
      </x:c>
      <x:c r="C919" s="25" t="str">
        <x:v>Display/context helper</x:v>
      </x:c>
      <x:c r="D919" s="25" t="str">
        <x:v>Helper/context; not registered as an additional KPI</x:v>
      </x:c>
      <x:c r="E919" s="25" t="str">
        <x:v>Watch Tower</x:v>
      </x:c>
      <x:c r="F919" s="25" t="str">
        <x:v>monitoring.cfg_job_run; monitoring.cfg_schema_drift_event</x:v>
      </x:c>
      <x:c r="G919" s="25" t="str">
        <x:v>VAR t=[Watch Tower Contracts Flag Captured]
			VAR anchor=[Watch Tower Flag Latest Load Day]
			RETURN "Contracts &amp; Schema: " &amp; [Watch Tower Contracts Flag Label] &amp; ". " &amp;
			    IF([Watch Tower Contracts Flag Records]=0,"No retained problems recorded. ",IF(ISBLANK(t),"Capture date is not recorded. ","Last captured: " &amp; FORMAT(t,"dd MMM yyyy HH:mm") &amp; ". ")) &amp;
			    IF(ISBLANK(anchor),"Latest load date is unavailable. ","Latest cached load day: " &amp; FORMAT(anchor,"dd MMM yyyy") &amp; ". ") &amp;
			    "Red means the same load day; amber is the previous seven days; grey is older or undated. Date matching does not prove an exact job link. Schema/contract problem evidence uses recorded schema drift. Schema and contract captures alone are not problems."</x:v>
      </x:c>
      <x:c r="H919" s="25" t="str">
        <x:v>KPI_LATEST_CALCULATIONS.md#mission-watch-tower-contracts-flag-tooltip</x:v>
      </x:c>
      <x:c r="I919" s="25" t="str">
        <x:v>Saved definition; runtime/acceptance pending</x:v>
      </x:c>
    </x:row>
    <x:row r="920" ht="59" customHeight="1">
      <x:c r="A920" s="25" t="str">
        <x:v>Watch Tower Contracts Reference</x:v>
      </x:c>
      <x:c r="B920" s="25" t="str">
        <x:v>_MissionControl_Measures</x:v>
      </x:c>
      <x:c r="C920" s="25" t="str">
        <x:v>Display/context helper</x:v>
      </x:c>
      <x:c r="D920" s="25" t="str">
        <x:v>Helper/context; not registered as an additional KPI</x:v>
      </x:c>
      <x:c r="E920" s="25" t="str">
        <x:v>Watch Tower</x:v>
      </x:c>
      <x:c r="F920" s="25" t="str">
        <x:v>monitoring.cfg_schema_contract_column</x:v>
      </x:c>
      <x:c r="G920" s="25" t="str">
        <x:v>VAR t = CALCULATE([Discovery cfg_schema_contract_column Latest time], REMOVEFILTERS())
			RETURN IF(ISBLANK(t), "No dated contract capture", "Contract: " &amp; FORMAT(t, "dd MMM yyyy HH:mm"))</x:v>
      </x:c>
      <x:c r="H920" s="25" t="str">
        <x:v>KPI_LATEST_CALCULATIONS.md#mission-watch-tower-contracts-reference</x:v>
      </x:c>
      <x:c r="I920" s="25" t="str">
        <x:v>Saved definition; runtime/acceptance pending</x:v>
      </x:c>
    </x:row>
    <x:row r="921" ht="33" customHeight="1">
      <x:c r="A921" s="25" t="str">
        <x:v>Watch Tower Domains Count</x:v>
      </x:c>
      <x:c r="B921" s="25" t="str">
        <x:v>_MissionControl_Measures</x:v>
      </x:c>
      <x:c r="C921" s="25" t="str">
        <x:v>Operational metric</x:v>
      </x:c>
      <x:c r="D921" s="25" t="str">
        <x:v>MC-KPI-179</x:v>
      </x:c>
      <x:c r="E921" s="25" t="str">
        <x:v>Watch Tower</x:v>
      </x:c>
      <x:c r="F921" s="25" t="str">
        <x:v>monitoring.cfg_data_domain; monitoring.cfg_job_run; monitoring.rpt_job_run_summary</x:v>
      </x:c>
      <x:c r="G921" s="25" t="str">
        <x:v>CALCULATE([Discovery cfg_data_domain Scope count], REMOVEFILTERS())</x:v>
      </x:c>
      <x:c r="H921" s="25" t="str">
        <x:v>KPI_LATEST_CALCULATIONS.md#mission-watch-tower-domains-count</x:v>
      </x:c>
      <x:c r="I921" s="25" t="str">
        <x:v>Saved definition; runtime/acceptance pending</x:v>
      </x:c>
    </x:row>
    <x:row r="922" ht="46" customHeight="1">
      <x:c r="A922" s="25" t="str">
        <x:v>Watch Tower Domains Date</x:v>
      </x:c>
      <x:c r="B922" s="25" t="str">
        <x:v>_MissionControl_Measures</x:v>
      </x:c>
      <x:c r="C922" s="25" t="str">
        <x:v>Display/context helper</x:v>
      </x:c>
      <x:c r="D922" s="25" t="str">
        <x:v>Helper/context; not registered as an additional KPI</x:v>
      </x:c>
      <x:c r="E922" s="25" t="str">
        <x:v>Watch Tower</x:v>
      </x:c>
      <x:c r="F922" s="25" t="str">
        <x:v>monitoring.cfg_data_domain</x:v>
      </x:c>
      <x:c r="G922" s="25" t="str">
        <x:v>VAR t = CALCULATE([Discovery cfg_data_domain Latest time], REMOVEFILTERS())
			RETURN IF(ISBLANK(t), "No retained discovery", "Profiled: " &amp; FORMAT(t, "dd MMM yyyy HH:mm"))</x:v>
      </x:c>
      <x:c r="H922" s="25" t="str">
        <x:v>KPI_LATEST_CALCULATIONS.md#mission-watch-tower-domains-date</x:v>
      </x:c>
      <x:c r="I922" s="25" t="str">
        <x:v>Saved definition; runtime/acceptance pending</x:v>
      </x:c>
    </x:row>
    <x:row r="923" ht="46" customHeight="1">
      <x:c r="A923" s="25" t="str">
        <x:v>Watch Tower Domains Detail</x:v>
      </x:c>
      <x:c r="B923" s="25" t="str">
        <x:v>_MissionControl_Measures</x:v>
      </x:c>
      <x:c r="C923" s="25" t="str">
        <x:v>Display/context helper</x:v>
      </x:c>
      <x:c r="D923" s="25" t="str">
        <x:v>Helper/context; not registered as an additional KPI</x:v>
      </x:c>
      <x:c r="E923" s="25" t="str">
        <x:v>Watch Tower</x:v>
      </x:c>
      <x:c r="F923" s="25" t="str">
        <x:v>monitoring.cfg_data_domain; monitoring.cfg_job_run; monitoring.rpt_job_run_summary</x:v>
      </x:c>
      <x:c r="G923" s="25" t="str">
        <x:v>FORMAT(CALCULATE([Discovery cfg_data_domain Distinct objects], REMOVEFILTERS()), "#,0") &amp; " tables · " &amp; FORMAT(CALCULATE([Discovery cfg_data_domain Rows], REMOVEFILTERS()), "#,0") &amp; " snapshot records"</x:v>
      </x:c>
      <x:c r="H923" s="25" t="str">
        <x:v>KPI_LATEST_CALCULATIONS.md#mission-watch-tower-domains-detail</x:v>
      </x:c>
      <x:c r="I923" s="25" t="str">
        <x:v>Saved definition; runtime/acceptance pending</x:v>
      </x:c>
    </x:row>
    <x:row r="924" ht="85" customHeight="1">
      <x:c r="A924" s="25" t="str">
        <x:v>Watch Tower Domains Flag</x:v>
      </x:c>
      <x:c r="B924" s="25" t="str">
        <x:v>_MissionControl_Measures</x:v>
      </x:c>
      <x:c r="C924" s="25" t="str">
        <x:v>Filter/context helper</x:v>
      </x:c>
      <x:c r="D924" s="25" t="str">
        <x:v>Helper/context; not registered as an additional KPI</x:v>
      </x:c>
      <x:c r="E924" s="25" t="str">
        <x:v>Watch Tower</x:v>
      </x:c>
      <x:c r="F924" s="25" t="str">
        <x:v>monitoring.cfg_job_run</x:v>
      </x:c>
      <x:c r="G924" s="25" t="str">
        <x:v>VAR n=[Watch Tower Domains Flag Records]
			VAR t=[Watch Tower Domains Flag Captured]
			VAR anchor=[Watch Tower Flag Latest Load Day]
			RETURN SWITCH(TRUE(),n=0,0,ISBLANK(t)||ISBLANK(anchor),1,
			    INT(t)=INT(anchor),3,
			    INT(t)&gt;=INT(anchor)-7 &amp;&amp; INT(t)&lt;INT(anchor),2,1)</x:v>
      </x:c>
      <x:c r="H924" s="25" t="str">
        <x:v>KPI_LATEST_CALCULATIONS.md#mission-watch-tower-domains-flag</x:v>
      </x:c>
      <x:c r="I924" s="25" t="str">
        <x:v>Saved definition; runtime/acceptance pending</x:v>
      </x:c>
    </x:row>
    <x:row r="925" ht="33" customHeight="1">
      <x:c r="A925" s="25" t="str">
        <x:v>Watch Tower Domains Flag Captured</x:v>
      </x:c>
      <x:c r="B925" s="25" t="str">
        <x:v>_MissionControl_Measures</x:v>
      </x:c>
      <x:c r="C925" s="25" t="str">
        <x:v>Display/context helper</x:v>
      </x:c>
      <x:c r="D925" s="25" t="str">
        <x:v>Helper/context; not registered as an additional KPI</x:v>
      </x:c>
      <x:c r="E925" s="25" t="str">
        <x:v>No direct saved visual binding</x:v>
      </x:c>
      <x:c r="F925" s="25" t="str"/>
      <x:c r="G925" s="25" t="str">
        <x:v>BLANK()</x:v>
      </x:c>
      <x:c r="H925" s="25" t="str">
        <x:v>KPI_LATEST_CALCULATIONS.md#mission-watch-tower-domains-flag-captured</x:v>
      </x:c>
      <x:c r="I925" s="25" t="str">
        <x:v>Saved definition; runtime/acceptance pending</x:v>
      </x:c>
    </x:row>
    <x:row r="926" ht="98" customHeight="1">
      <x:c r="A926" s="25" t="str">
        <x:v>Watch Tower Domains Flag Label</x:v>
      </x:c>
      <x:c r="B926" s="25" t="str">
        <x:v>_MissionControl_Measures</x:v>
      </x:c>
      <x:c r="C926" s="25" t="str">
        <x:v>Display/context helper</x:v>
      </x:c>
      <x:c r="D926" s="25" t="str">
        <x:v>Helper/context; not registered as an additional KPI</x:v>
      </x:c>
      <x:c r="E926" s="25" t="str">
        <x:v>Watch Tower</x:v>
      </x:c>
      <x:c r="F926" s="25" t="str">
        <x:v>monitoring.cfg_job_run</x:v>
      </x:c>
      <x:c r="G926" s="25" t="str">
        <x:v>VAR code=[Watch Tower Domains Flag]
			VAR captured=[Watch Tower Domains Flag Captured]
			VAR anchor=[Watch Tower Flag Latest Load Day]
			RETURN SWITCH(TRUE(),code=0,"No record",code=3,"Latest day",code=2,"Prior 7 days",
			    ISBLANK(captured),"Undated",ISBLANK(anchor),"No load date",INT(captured)&gt;anchor,"Unlinked date","History")</x:v>
      </x:c>
      <x:c r="H926" s="25" t="str">
        <x:v>KPI_LATEST_CALCULATIONS.md#mission-watch-tower-domains-flag-label</x:v>
      </x:c>
      <x:c r="I926" s="25" t="str">
        <x:v>Saved definition; runtime/acceptance pending</x:v>
      </x:c>
    </x:row>
    <x:row r="927" ht="33" customHeight="1">
      <x:c r="A927" s="25" t="str">
        <x:v>Watch Tower Domains Flag Records</x:v>
      </x:c>
      <x:c r="B927" s="25" t="str">
        <x:v>_MissionControl_Measures</x:v>
      </x:c>
      <x:c r="C927" s="25" t="str">
        <x:v>Filter/context helper</x:v>
      </x:c>
      <x:c r="D927" s="25" t="str">
        <x:v>Helper/context; not registered as an additional KPI</x:v>
      </x:c>
      <x:c r="E927" s="25" t="str">
        <x:v>No direct saved visual binding</x:v>
      </x:c>
      <x:c r="F927" s="25" t="str"/>
      <x:c r="G927" s="25" t="str">
        <x:v>COALESCE(0,0)</x:v>
      </x:c>
      <x:c r="H927" s="25" t="str">
        <x:v>KPI_LATEST_CALCULATIONS.md#mission-watch-tower-domains-flag-records</x:v>
      </x:c>
      <x:c r="I927" s="25" t="str">
        <x:v>Saved definition; runtime/acceptance pending</x:v>
      </x:c>
    </x:row>
    <x:row r="928" ht="176" customHeight="1">
      <x:c r="A928" s="25" t="str">
        <x:v>Watch Tower Domains Flag Tooltip</x:v>
      </x:c>
      <x:c r="B928" s="25" t="str">
        <x:v>_MissionControl_Measures</x:v>
      </x:c>
      <x:c r="C928" s="25" t="str">
        <x:v>Display/context helper</x:v>
      </x:c>
      <x:c r="D928" s="25" t="str">
        <x:v>Helper/context; not registered as an additional KPI</x:v>
      </x:c>
      <x:c r="E928" s="25" t="str">
        <x:v>Watch Tower</x:v>
      </x:c>
      <x:c r="F928" s="25" t="str">
        <x:v>monitoring.cfg_job_run</x:v>
      </x:c>
      <x:c r="G928" s="25" t="str">
        <x:v>VAR t=[Watch Tower Domains Flag Captured]
			VAR anchor=[Watch Tower Flag Latest Load Day]
			RETURN "Domains &amp; Reference: " &amp; [Watch Tower Domains Flag Label] &amp; ". " &amp;
			    IF([Watch Tower Domains Flag Records]=0,"No retained problems recorded. ",IF(ISBLANK(t),"Capture date is not recorded. ","Last captured: " &amp; FORMAT(t,"dd MMM yyyy HH:mm") &amp; ". ")) &amp;
			    IF(ISBLANK(anchor),"Latest load date is unavailable. ","Latest cached load day: " &amp; FORMAT(anchor,"dd MMM yyyy") &amp; ". ") &amp;
			    "Red means the same load day; amber is the previous seven days; grey is older or undated. Date matching does not prove an exact job link. Domain profiles contain no explicit problem register. Profile captures alone do not create a problem flag."</x:v>
      </x:c>
      <x:c r="H928" s="25" t="str">
        <x:v>KPI_LATEST_CALCULATIONS.md#mission-watch-tower-domains-flag-tooltip</x:v>
      </x:c>
      <x:c r="I928" s="25" t="str">
        <x:v>Saved definition; runtime/acceptance pending</x:v>
      </x:c>
    </x:row>
    <x:row r="929" ht="33" customHeight="1">
      <x:c r="A929" s="25" t="str">
        <x:v>Watch Tower Domains Reference</x:v>
      </x:c>
      <x:c r="B929" s="25" t="str">
        <x:v>_MissionControl_Measures</x:v>
      </x:c>
      <x:c r="C929" s="25" t="str">
        <x:v>Display/context helper</x:v>
      </x:c>
      <x:c r="D929" s="25" t="str">
        <x:v>Helper/context; not registered as an additional KPI</x:v>
      </x:c>
      <x:c r="E929" s="25" t="str">
        <x:v>Watch Tower</x:v>
      </x:c>
      <x:c r="F929" s="25" t="str"/>
      <x:c r="G929" s="25" t="str">
        <x:v>FORMAT(CALCULATE(COUNTROWS(cfg_location_coordinate), REMOVEFILTERS()), "#,0") &amp; " coordinate references · current"</x:v>
      </x:c>
      <x:c r="H929" s="25" t="str">
        <x:v>KPI_LATEST_CALCULATIONS.md#mission-watch-tower-domains-reference</x:v>
      </x:c>
      <x:c r="I929" s="25" t="str">
        <x:v>Saved definition; runtime/acceptance pending</x:v>
      </x:c>
    </x:row>
    <x:row r="930" ht="150" customHeight="1">
      <x:c r="A930" s="25" t="str">
        <x:v>Watch Tower Drift Active</x:v>
      </x:c>
      <x:c r="B930" s="25" t="str">
        <x:v>_MissionControl_Measures</x:v>
      </x:c>
      <x:c r="C930" s="25" t="str">
        <x:v>Operational metric</x:v>
      </x:c>
      <x:c r="D930" s="25" t="str">
        <x:v>MC-KPI-180</x:v>
      </x:c>
      <x:c r="E930" s="25" t="str">
        <x:v>No direct saved visual binding</x:v>
      </x:c>
      <x:c r="F930" s="25" t="str">
        <x:v>monitoring.cfg_schema_drift_event</x:v>
      </x:c>
      <x:c r="G930" s="25" t="str">
        <x:v>VAR BatchKey = CALCULATE([Discovery cfg_schema_drift_event Latest key], REMOVEFILTERS())
			VAR BatchTime = CALCULATE([Discovery cfg_schema_drift_event Latest time], REMOVEFILTERS())
			VAR BatchRows = FILTER(CALCULATETABLE('cfg_schema_drift_event', REMOVEFILTERS()),
			    IF(ISBLANK(BatchKey), 'cfg_schema_drift_event'[detected_at] = BatchTime,
			       'cfg_schema_drift_event'[run_id] = BatchKey))
			RETURN COALESCE(COUNTROWS(FILTER(BatchRows, UPPER(cfg_schema_drift_event[status]) IN {"ACTIVE", "OPEN", "NEW", "DETECTED", "PENDING"})), 0)</x:v>
      </x:c>
      <x:c r="H930" s="25" t="str">
        <x:v>KPI_LATEST_CALCULATIONS.md#mission-watch-tower-drift-active</x:v>
      </x:c>
      <x:c r="I930" s="25" t="str">
        <x:v>Saved definition; runtime/acceptance pending</x:v>
      </x:c>
    </x:row>
    <x:row r="931" ht="33" customHeight="1">
      <x:c r="A931" s="25" t="str">
        <x:v>Watch Tower Drift Count</x:v>
      </x:c>
      <x:c r="B931" s="25" t="str">
        <x:v>_MissionControl_Measures</x:v>
      </x:c>
      <x:c r="C931" s="25" t="str">
        <x:v>Operational metric</x:v>
      </x:c>
      <x:c r="D931" s="25" t="str">
        <x:v>MC-KPI-181</x:v>
      </x:c>
      <x:c r="E931" s="25" t="str">
        <x:v>Watch Tower</x:v>
      </x:c>
      <x:c r="F931" s="25" t="str">
        <x:v>monitoring.cfg_job_run; monitoring.cfg_schema_drift_event; monitoring.rpt_job_run_summary</x:v>
      </x:c>
      <x:c r="G931" s="25" t="str">
        <x:v>CALCULATE([Discovery cfg_schema_drift_event Scope count], REMOVEFILTERS())</x:v>
      </x:c>
      <x:c r="H931" s="25" t="str">
        <x:v>KPI_LATEST_CALCULATIONS.md#mission-watch-tower-drift-count</x:v>
      </x:c>
      <x:c r="I931" s="25" t="str">
        <x:v>Saved definition; runtime/acceptance pending</x:v>
      </x:c>
    </x:row>
    <x:row r="932" ht="59" customHeight="1">
      <x:c r="A932" s="25" t="str">
        <x:v>Watch Tower Drift Date</x:v>
      </x:c>
      <x:c r="B932" s="25" t="str">
        <x:v>_MissionControl_Measures</x:v>
      </x:c>
      <x:c r="C932" s="25" t="str">
        <x:v>Display/context helper</x:v>
      </x:c>
      <x:c r="D932" s="25" t="str">
        <x:v>Helper/context; not registered as an additional KPI</x:v>
      </x:c>
      <x:c r="E932" s="25" t="str">
        <x:v>Watch Tower</x:v>
      </x:c>
      <x:c r="F932" s="25" t="str">
        <x:v>monitoring.cfg_schema_drift_event</x:v>
      </x:c>
      <x:c r="G932" s="25" t="str">
        <x:v>VAR t = CALCULATE([Discovery cfg_schema_drift_event Latest time], REMOVEFILTERS())
			RETURN IF(ISBLANK(t), "No retained discovery", "Detected: " &amp; FORMAT(t, "dd MMM yyyy HH:mm"))</x:v>
      </x:c>
      <x:c r="H932" s="25" t="str">
        <x:v>KPI_LATEST_CALCULATIONS.md#mission-watch-tower-drift-date</x:v>
      </x:c>
      <x:c r="I932" s="25" t="str">
        <x:v>Saved definition; runtime/acceptance pending</x:v>
      </x:c>
    </x:row>
    <x:row r="933" ht="46" customHeight="1">
      <x:c r="A933" s="25" t="str">
        <x:v>Watch Tower Drift Detail</x:v>
      </x:c>
      <x:c r="B933" s="25" t="str">
        <x:v>_MissionControl_Measures</x:v>
      </x:c>
      <x:c r="C933" s="25" t="str">
        <x:v>Display/context helper</x:v>
      </x:c>
      <x:c r="D933" s="25" t="str">
        <x:v>Helper/context; not registered as an additional KPI</x:v>
      </x:c>
      <x:c r="E933" s="25" t="str">
        <x:v>Watch Tower</x:v>
      </x:c>
      <x:c r="F933" s="25" t="str">
        <x:v>monitoring.cfg_job_run; monitoring.cfg_schema_drift_event; monitoring.rpt_job_run_summary</x:v>
      </x:c>
      <x:c r="G933" s="25" t="str">
        <x:v>FORMAT(CALCULATE([Discovery cfg_schema_drift_event Distinct objects], REMOVEFILTERS()), "#,0") &amp; " target tables · " &amp; FORMAT([Watch Tower Drift Active], "#,0") &amp; " active keys"</x:v>
      </x:c>
      <x:c r="H933" s="25" t="str">
        <x:v>KPI_LATEST_CALCULATIONS.md#mission-watch-tower-drift-detail</x:v>
      </x:c>
      <x:c r="I933" s="25" t="str">
        <x:v>Saved definition; runtime/acceptance pending</x:v>
      </x:c>
    </x:row>
    <x:row r="934" ht="85" customHeight="1">
      <x:c r="A934" s="25" t="str">
        <x:v>Watch Tower Drift Flag</x:v>
      </x:c>
      <x:c r="B934" s="25" t="str">
        <x:v>_MissionControl_Measures</x:v>
      </x:c>
      <x:c r="C934" s="25" t="str">
        <x:v>Filter/context helper</x:v>
      </x:c>
      <x:c r="D934" s="25" t="str">
        <x:v>Helper/context; not registered as an additional KPI</x:v>
      </x:c>
      <x:c r="E934" s="25" t="str">
        <x:v>Watch Tower</x:v>
      </x:c>
      <x:c r="F934" s="25" t="str">
        <x:v>monitoring.cfg_job_run; monitoring.cfg_schema_drift_event</x:v>
      </x:c>
      <x:c r="G934" s="25" t="str">
        <x:v>VAR n=[Watch Tower Drift Flag Records]
			VAR t=[Watch Tower Drift Flag Captured]
			VAR anchor=[Watch Tower Flag Latest Load Day]
			RETURN SWITCH(TRUE(),n=0,0,ISBLANK(t)||ISBLANK(anchor),1,
			    INT(t)=INT(anchor),3,
			    INT(t)&gt;=INT(anchor)-7 &amp;&amp; INT(t)&lt;INT(anchor),2,1)</x:v>
      </x:c>
      <x:c r="H934" s="25" t="str">
        <x:v>KPI_LATEST_CALCULATIONS.md#mission-watch-tower-drift-flag</x:v>
      </x:c>
      <x:c r="I934" s="25" t="str">
        <x:v>Saved definition; runtime/acceptance pending</x:v>
      </x:c>
    </x:row>
    <x:row r="935" ht="59" customHeight="1">
      <x:c r="A935" s="25" t="str">
        <x:v>Watch Tower Drift Flag Captured</x:v>
      </x:c>
      <x:c r="B935" s="25" t="str">
        <x:v>_MissionControl_Measures</x:v>
      </x:c>
      <x:c r="C935" s="25" t="str">
        <x:v>Display/context helper</x:v>
      </x:c>
      <x:c r="D935" s="25" t="str">
        <x:v>Helper/context; not registered as an additional KPI</x:v>
      </x:c>
      <x:c r="E935" s="25" t="str">
        <x:v>No direct saved visual binding</x:v>
      </x:c>
      <x:c r="F935" s="25" t="str">
        <x:v>monitoring.cfg_schema_drift_event</x:v>
      </x:c>
      <x:c r="G935" s="25" t="str">
        <x:v>MAXX(SELECTCOLUMNS(FILTER(CALCULATETABLE('cfg_schema_drift_event',REMOVEFILTERS()),(TRUE())),"Captured",COALESCE(cfg_schema_drift_event[last_detected_at],cfg_schema_drift_event[detected_at],cfg_schema_drift_event[first_detected_at])),[Captured])</x:v>
      </x:c>
      <x:c r="H935" s="25" t="str">
        <x:v>KPI_LATEST_CALCULATIONS.md#mission-watch-tower-drift-flag-captured</x:v>
      </x:c>
      <x:c r="I935" s="25" t="str">
        <x:v>Saved definition; runtime/acceptance pending</x:v>
      </x:c>
    </x:row>
    <x:row r="936" ht="98" customHeight="1">
      <x:c r="A936" s="25" t="str">
        <x:v>Watch Tower Drift Flag Label</x:v>
      </x:c>
      <x:c r="B936" s="25" t="str">
        <x:v>_MissionControl_Measures</x:v>
      </x:c>
      <x:c r="C936" s="25" t="str">
        <x:v>Display/context helper</x:v>
      </x:c>
      <x:c r="D936" s="25" t="str">
        <x:v>Helper/context; not registered as an additional KPI</x:v>
      </x:c>
      <x:c r="E936" s="25" t="str">
        <x:v>Watch Tower</x:v>
      </x:c>
      <x:c r="F936" s="25" t="str">
        <x:v>monitoring.cfg_job_run; monitoring.cfg_schema_drift_event</x:v>
      </x:c>
      <x:c r="G936" s="25" t="str">
        <x:v>VAR code=[Watch Tower Drift Flag]
			VAR captured=[Watch Tower Drift Flag Captured]
			VAR anchor=[Watch Tower Flag Latest Load Day]
			RETURN SWITCH(TRUE(),code=0,"No record",code=3,"Latest day",code=2,"Prior 7 days",
			    ISBLANK(captured),"Undated",ISBLANK(anchor),"No load date",INT(captured)&gt;anchor,"Unlinked date","History")</x:v>
      </x:c>
      <x:c r="H936" s="25" t="str">
        <x:v>KPI_LATEST_CALCULATIONS.md#mission-watch-tower-drift-flag-label</x:v>
      </x:c>
      <x:c r="I936" s="25" t="str">
        <x:v>Saved definition; runtime/acceptance pending</x:v>
      </x:c>
    </x:row>
    <x:row r="937" ht="33" customHeight="1">
      <x:c r="A937" s="25" t="str">
        <x:v>Watch Tower Drift Flag Records</x:v>
      </x:c>
      <x:c r="B937" s="25" t="str">
        <x:v>_MissionControl_Measures</x:v>
      </x:c>
      <x:c r="C937" s="25" t="str">
        <x:v>Filter/context helper</x:v>
      </x:c>
      <x:c r="D937" s="25" t="str">
        <x:v>Helper/context; not registered as an additional KPI</x:v>
      </x:c>
      <x:c r="E937" s="25" t="str">
        <x:v>No direct saved visual binding</x:v>
      </x:c>
      <x:c r="F937" s="25" t="str">
        <x:v>monitoring.cfg_schema_drift_event</x:v>
      </x:c>
      <x:c r="G937" s="25" t="str">
        <x:v>COALESCE(COUNTROWS(FILTER(CALCULATETABLE('cfg_schema_drift_event',REMOVEFILTERS()),(TRUE()))),0)</x:v>
      </x:c>
      <x:c r="H937" s="25" t="str">
        <x:v>KPI_LATEST_CALCULATIONS.md#mission-watch-tower-drift-flag-records</x:v>
      </x:c>
      <x:c r="I937" s="25" t="str">
        <x:v>Saved definition; runtime/acceptance pending</x:v>
      </x:c>
    </x:row>
    <x:row r="938" ht="163" customHeight="1">
      <x:c r="A938" s="25" t="str">
        <x:v>Watch Tower Drift Flag Tooltip</x:v>
      </x:c>
      <x:c r="B938" s="25" t="str">
        <x:v>_MissionControl_Measures</x:v>
      </x:c>
      <x:c r="C938" s="25" t="str">
        <x:v>Display/context helper</x:v>
      </x:c>
      <x:c r="D938" s="25" t="str">
        <x:v>Helper/context; not registered as an additional KPI</x:v>
      </x:c>
      <x:c r="E938" s="25" t="str">
        <x:v>Watch Tower</x:v>
      </x:c>
      <x:c r="F938" s="25" t="str">
        <x:v>monitoring.cfg_job_run; monitoring.cfg_schema_drift_event</x:v>
      </x:c>
      <x:c r="G938" s="25" t="str">
        <x:v>VAR t=[Watch Tower Drift Flag Captured]
			VAR anchor=[Watch Tower Flag Latest Load Day]
			RETURN "Schema &amp; Drift: " &amp; [Watch Tower Drift Flag Label] &amp; ". " &amp;
			    IF([Watch Tower Drift Flag Records]=0,"No retained problems recorded. ",IF(ISBLANK(t),"Capture date is not recorded. ","Last captured: " &amp; FORMAT(t,"dd MMM yyyy HH:mm") &amp; ". ")) &amp;
			    IF(ISBLANK(anchor),"Latest load date is unavailable. ","Latest cached load day: " &amp; FORMAT(anchor,"dd MMM yyyy") &amp; ". ") &amp;
			    "Red means the same load day; amber is the previous seven days; grey is older or undated. Date matching does not prove an exact job link. Recorded schema drift detections are problem evidence; resolution dates do not create a new detection."</x:v>
      </x:c>
      <x:c r="H938" s="25" t="str">
        <x:v>KPI_LATEST_CALCULATIONS.md#mission-watch-tower-drift-flag-tooltip</x:v>
      </x:c>
      <x:c r="I938" s="25" t="str">
        <x:v>Saved definition; runtime/acceptance pending</x:v>
      </x:c>
    </x:row>
    <x:row r="939" ht="46" customHeight="1">
      <x:c r="A939" s="25" t="str">
        <x:v>Watch Tower Drift Reference</x:v>
      </x:c>
      <x:c r="B939" s="25" t="str">
        <x:v>_MissionControl_Measures</x:v>
      </x:c>
      <x:c r="C939" s="25" t="str">
        <x:v>Display/context helper</x:v>
      </x:c>
      <x:c r="D939" s="25" t="str">
        <x:v>Helper/context; not registered as an additional KPI</x:v>
      </x:c>
      <x:c r="E939" s="25" t="str">
        <x:v>Watch Tower</x:v>
      </x:c>
      <x:c r="F939" s="25" t="str">
        <x:v>monitoring.cfg_job_run; monitoring.cfg_schema_definition_candidate; monitoring.cfg_schema_drift_definition; monitoring.rpt_job_run_summary</x:v>
      </x:c>
      <x:c r="G939" s="25" t="str">
        <x:v>FORMAT(CALCULATE([Discovery cfg_schema_drift_definition Rows], REMOVEFILTERS()), "#,0") &amp; " definitions · " &amp; FORMAT(CALCULATE([Discovery cfg_schema_definition_candidate Rows], REMOVEFILTERS()), "#,0") &amp; " current candidates"</x:v>
      </x:c>
      <x:c r="H939" s="25" t="str">
        <x:v>KPI_LATEST_CALCULATIONS.md#mission-watch-tower-drift-reference</x:v>
      </x:c>
      <x:c r="I939" s="25" t="str">
        <x:v>Saved definition; runtime/acceptance pending</x:v>
      </x:c>
    </x:row>
    <x:row r="940" ht="33" customHeight="1">
      <x:c r="A940" s="25" t="str">
        <x:v>Watch Tower Flag Latest Load Day</x:v>
      </x:c>
      <x:c r="B940" s="25" t="str">
        <x:v>_MissionControl_Measures</x:v>
      </x:c>
      <x:c r="C940" s="25" t="str">
        <x:v>Display/context helper</x:v>
      </x:c>
      <x:c r="D940" s="25" t="str">
        <x:v>Helper/context; not registered as an additional KPI</x:v>
      </x:c>
      <x:c r="E940" s="25" t="str">
        <x:v>No direct saved visual binding</x:v>
      </x:c>
      <x:c r="F940" s="25" t="str">
        <x:v>monitoring.cfg_job_run</x:v>
      </x:c>
      <x:c r="G940" s="25" t="str">
        <x:v>VAR t=CALCULATE(MAX('Discovery Job Runs'[started_at]),REMOVEFILTERS())
			RETURN IF(NOT ISBLANK(t),INT(t))</x:v>
      </x:c>
      <x:c r="H940" s="25" t="str">
        <x:v>KPI_LATEST_CALCULATIONS.md#mission-watch-tower-flag-latest-load-day</x:v>
      </x:c>
      <x:c r="I940" s="25" t="str">
        <x:v>Saved definition; runtime/acceptance pending</x:v>
      </x:c>
    </x:row>
    <x:row r="941" ht="72" customHeight="1">
      <x:c r="A941" s="25" t="str">
        <x:v>Watch Tower Flag Legend</x:v>
      </x:c>
      <x:c r="B941" s="25" t="str">
        <x:v>_MissionControl_Measures</x:v>
      </x:c>
      <x:c r="C941" s="25" t="str">
        <x:v>Display/context helper</x:v>
      </x:c>
      <x:c r="D941" s="25" t="str">
        <x:v>Helper/context; not registered as an additional KPI</x:v>
      </x:c>
      <x:c r="E941" s="25" t="str">
        <x:v>Watch Tower</x:v>
      </x:c>
      <x:c r="F941" s="25" t="str">
        <x:v>monitoring.cfg_job_run</x:v>
      </x:c>
      <x:c r="G941" s="25" t="str">
        <x:v>VAR anchor=[Watch Tower Flag Latest Load Day]
			RETURN "Problems recency · latest cached load day " &amp; IF(ISBLANK(anchor),"unavailable",FORMAT(anchor,"dd MMM yyyy")) &amp;
			    "   |   RED latest day   ·   AMBER prior 7 days   ·   GREY older / undated   ·   WHITE no recorded problems"</x:v>
      </x:c>
      <x:c r="H941" s="25" t="str">
        <x:v>KPI_LATEST_CALCULATIONS.md#mission-watch-tower-flag-legend</x:v>
      </x:c>
      <x:c r="I941" s="25" t="str">
        <x:v>Saved definition; runtime/acceptance pending</x:v>
      </x:c>
    </x:row>
    <x:row r="942" ht="33" customHeight="1">
      <x:c r="A942" s="25" t="str">
        <x:v>Watch Tower Quality Count</x:v>
      </x:c>
      <x:c r="B942" s="25" t="str">
        <x:v>_MissionControl_Measures</x:v>
      </x:c>
      <x:c r="C942" s="25" t="str">
        <x:v>Operational metric</x:v>
      </x:c>
      <x:c r="D942" s="25" t="str">
        <x:v>MC-KPI-182</x:v>
      </x:c>
      <x:c r="E942" s="25" t="str">
        <x:v>Watch Tower</x:v>
      </x:c>
      <x:c r="F942" s="25" t="str">
        <x:v>monitoring.cfg_job_run; monitoring.rpt_job_data_quality; monitoring.rpt_job_run_summary</x:v>
      </x:c>
      <x:c r="G942" s="25" t="str">
        <x:v>CALCULATE([Discovery rpt_job_data_quality Scope count], REMOVEFILTERS())</x:v>
      </x:c>
      <x:c r="H942" s="25" t="str">
        <x:v>KPI_LATEST_CALCULATIONS.md#mission-watch-tower-quality-count</x:v>
      </x:c>
      <x:c r="I942" s="25" t="str">
        <x:v>Saved definition; runtime/acceptance pending</x:v>
      </x:c>
    </x:row>
    <x:row r="943" ht="59" customHeight="1">
      <x:c r="A943" s="25" t="str">
        <x:v>Watch Tower Quality Date</x:v>
      </x:c>
      <x:c r="B943" s="25" t="str">
        <x:v>_MissionControl_Measures</x:v>
      </x:c>
      <x:c r="C943" s="25" t="str">
        <x:v>Display/context helper</x:v>
      </x:c>
      <x:c r="D943" s="25" t="str">
        <x:v>Helper/context; not registered as an additional KPI</x:v>
      </x:c>
      <x:c r="E943" s="25" t="str">
        <x:v>Watch Tower</x:v>
      </x:c>
      <x:c r="F943" s="25" t="str">
        <x:v>monitoring.rpt_job_data_quality</x:v>
      </x:c>
      <x:c r="G943" s="25" t="str">
        <x:v>VAR t = CALCULATE([Discovery rpt_job_data_quality Latest time], REMOVEFILTERS())
			RETURN IF(ISBLANK(t), "No retained discovery", "Quality checked: " &amp; FORMAT(t, "dd MMM yyyy HH:mm"))</x:v>
      </x:c>
      <x:c r="H943" s="25" t="str">
        <x:v>KPI_LATEST_CALCULATIONS.md#mission-watch-tower-quality-date</x:v>
      </x:c>
      <x:c r="I943" s="25" t="str">
        <x:v>Saved definition; runtime/acceptance pending</x:v>
      </x:c>
    </x:row>
    <x:row r="944" ht="46" customHeight="1">
      <x:c r="A944" s="25" t="str">
        <x:v>Watch Tower Quality Detail</x:v>
      </x:c>
      <x:c r="B944" s="25" t="str">
        <x:v>_MissionControl_Measures</x:v>
      </x:c>
      <x:c r="C944" s="25" t="str">
        <x:v>Display/context helper</x:v>
      </x:c>
      <x:c r="D944" s="25" t="str">
        <x:v>Helper/context; not registered as an additional KPI</x:v>
      </x:c>
      <x:c r="E944" s="25" t="str">
        <x:v>Watch Tower</x:v>
      </x:c>
      <x:c r="F944" s="25" t="str">
        <x:v>monitoring.cfg_job_run; monitoring.rpt_job_data_quality; monitoring.rpt_job_run_summary</x:v>
      </x:c>
      <x:c r="G944" s="25" t="str">
        <x:v>FORMAT(CALCULATE([Discovery rpt_job_data_quality Rows], REMOVEFILTERS()), "#,0") &amp; " checks · " &amp; FORMAT([Watch Tower Quality Failed Checks], "#,0") &amp; " failed"</x:v>
      </x:c>
      <x:c r="H944" s="25" t="str">
        <x:v>KPI_LATEST_CALCULATIONS.md#mission-watch-tower-quality-detail</x:v>
      </x:c>
      <x:c r="I944" s="25" t="str">
        <x:v>Saved definition; runtime/acceptance pending</x:v>
      </x:c>
    </x:row>
    <x:row r="945" ht="163" customHeight="1">
      <x:c r="A945" s="25" t="str">
        <x:v>Watch Tower Quality Failed Checks</x:v>
      </x:c>
      <x:c r="B945" s="25" t="str">
        <x:v>_MissionControl_Measures</x:v>
      </x:c>
      <x:c r="C945" s="25" t="str">
        <x:v>Operational metric</x:v>
      </x:c>
      <x:c r="D945" s="25" t="str">
        <x:v>MC-KPI-183</x:v>
      </x:c>
      <x:c r="E945" s="25" t="str">
        <x:v>No direct saved visual binding</x:v>
      </x:c>
      <x:c r="F945" s="25" t="str">
        <x:v>monitoring.rpt_job_data_quality</x:v>
      </x:c>
      <x:c r="G945" s="25" t="str">
        <x:v>VAR BatchKey = CALCULATE([Discovery rpt_job_data_quality Latest key], REMOVEFILTERS())
			VAR BatchTime = CALCULATE([Discovery rpt_job_data_quality Latest time], REMOVEFILTERS())
			VAR BatchRows = FILTER(CALCULATETABLE('rpt_job_data_quality', REMOVEFILTERS()),
			    IF(ISBLANK(BatchKey), 'rpt_job_data_quality'[checked_at] = BatchTime,
			       'rpt_job_data_quality'[run_id] = BatchKey))
			RETURN COALESCE(COUNTROWS(FILTER(BatchRows, rpt_job_data_quality[failed_row_count] &gt; 0 || UPPER(rpt_job_data_quality[status]) IN {"FAIL", "FAILED", "ERROR"})), 0)</x:v>
      </x:c>
      <x:c r="H945" s="25" t="str">
        <x:v>KPI_LATEST_CALCULATIONS.md#mission-watch-tower-quality-failed-checks</x:v>
      </x:c>
      <x:c r="I945" s="25" t="str">
        <x:v>Saved definition; runtime/acceptance pending</x:v>
      </x:c>
    </x:row>
    <x:row r="946" ht="85" customHeight="1">
      <x:c r="A946" s="25" t="str">
        <x:v>Watch Tower Quality Flag</x:v>
      </x:c>
      <x:c r="B946" s="25" t="str">
        <x:v>_MissionControl_Measures</x:v>
      </x:c>
      <x:c r="C946" s="25" t="str">
        <x:v>Filter/context helper</x:v>
      </x:c>
      <x:c r="D946" s="25" t="str">
        <x:v>Helper/context; not registered as an additional KPI</x:v>
      </x:c>
      <x:c r="E946" s="25" t="str">
        <x:v>Watch Tower</x:v>
      </x:c>
      <x:c r="F946" s="25" t="str">
        <x:v>monitoring.cfg_job_run; monitoring.cfg_referential_exception; monitoring.cfg_rejected_row; monitoring.rpt_job_data_quality</x:v>
      </x:c>
      <x:c r="G946" s="25" t="str">
        <x:v>VAR n=[Watch Tower Quality Flag Records]
			VAR t=[Watch Tower Quality Flag Captured]
			VAR anchor=[Watch Tower Flag Latest Load Day]
			RETURN SWITCH(TRUE(),n=0,0,ISBLANK(t)||ISBLANK(anchor),1,
			    INT(t)=INT(anchor),3,
			    INT(t)&gt;=INT(anchor)-7 &amp;&amp; INT(t)&lt;INT(anchor),2,1)</x:v>
      </x:c>
      <x:c r="H946" s="25" t="str">
        <x:v>KPI_LATEST_CALCULATIONS.md#mission-watch-tower-quality-flag</x:v>
      </x:c>
      <x:c r="I946" s="25" t="str">
        <x:v>Saved definition; runtime/acceptance pending</x:v>
      </x:c>
    </x:row>
    <x:row r="947" ht="137" customHeight="1">
      <x:c r="A947" s="25" t="str">
        <x:v>Watch Tower Quality Flag Captured</x:v>
      </x:c>
      <x:c r="B947" s="25" t="str">
        <x:v>_MissionControl_Measures</x:v>
      </x:c>
      <x:c r="C947" s="25" t="str">
        <x:v>Display/context helper</x:v>
      </x:c>
      <x:c r="D947" s="25" t="str">
        <x:v>Helper/context; not registered as an additional KPI</x:v>
      </x:c>
      <x:c r="E947" s="25" t="str">
        <x:v>No direct saved visual binding</x:v>
      </x:c>
      <x:c r="F947" s="25" t="str">
        <x:v>monitoring.cfg_referential_exception; monitoring.cfg_rejected_row; monitoring.rpt_job_data_quality</x:v>
      </x:c>
      <x:c r="G947" s="25" t="str">
        <x:v>MAXX(UNION(SELECTCOLUMNS(FILTER(CALCULATETABLE('rpt_job_data_quality',REMOVEFILTERS()),(COALESCE(rpt_job_data_quality[failed_row_count],0)&gt;0
			    || COALESCE(rpt_job_data_quality[rejected_key_count],0)&gt;0
			    || COALESCE(rpt_job_data_quality[referential_exception_count],0)&gt;0
			    || UPPER(COALESCE(rpt_job_data_quality[status],"")) IN {"FAIL","FAILED","FAILURE","ERROR"})),"Captured",rpt_job_data_quality[checked_at]),SELECTCOLUMNS(FILTER(CALCULATETABLE('cfg_rejected_row',REMOVEFILTERS()),(TRUE())),"Captured",cfg_rejected_row[rejected_at]),SELECTCOLUMNS(FILTER(CALCULATETABLE('cfg_referential_exception',REMOVEFILTERS()),(TRUE())),"Captured",cfg_referential_exception[detected_at])),[Captured])</x:v>
      </x:c>
      <x:c r="H947" s="25" t="str">
        <x:v>KPI_LATEST_CALCULATIONS.md#mission-watch-tower-quality-flag-captured</x:v>
      </x:c>
      <x:c r="I947" s="25" t="str">
        <x:v>Saved definition; runtime/acceptance pending</x:v>
      </x:c>
    </x:row>
    <x:row r="948" ht="98" customHeight="1">
      <x:c r="A948" s="25" t="str">
        <x:v>Watch Tower Quality Flag Label</x:v>
      </x:c>
      <x:c r="B948" s="25" t="str">
        <x:v>_MissionControl_Measures</x:v>
      </x:c>
      <x:c r="C948" s="25" t="str">
        <x:v>Display/context helper</x:v>
      </x:c>
      <x:c r="D948" s="25" t="str">
        <x:v>Helper/context; not registered as an additional KPI</x:v>
      </x:c>
      <x:c r="E948" s="25" t="str">
        <x:v>Watch Tower</x:v>
      </x:c>
      <x:c r="F948" s="25" t="str">
        <x:v>monitoring.cfg_job_run; monitoring.cfg_referential_exception; monitoring.cfg_rejected_row; monitoring.rpt_job_data_quality</x:v>
      </x:c>
      <x:c r="G948" s="25" t="str">
        <x:v>VAR code=[Watch Tower Quality Flag]
			VAR captured=[Watch Tower Quality Flag Captured]
			VAR anchor=[Watch Tower Flag Latest Load Day]
			RETURN SWITCH(TRUE(),code=0,"No record",code=3,"Latest day",code=2,"Prior 7 days",
			    ISBLANK(captured),"Undated",ISBLANK(anchor),"No load date",INT(captured)&gt;anchor,"Unlinked date","History")</x:v>
      </x:c>
      <x:c r="H948" s="25" t="str">
        <x:v>KPI_LATEST_CALCULATIONS.md#mission-watch-tower-quality-flag-label</x:v>
      </x:c>
      <x:c r="I948" s="25" t="str">
        <x:v>Saved definition; runtime/acceptance pending</x:v>
      </x:c>
    </x:row>
    <x:row r="949" ht="111" customHeight="1">
      <x:c r="A949" s="25" t="str">
        <x:v>Watch Tower Quality Flag Records</x:v>
      </x:c>
      <x:c r="B949" s="25" t="str">
        <x:v>_MissionControl_Measures</x:v>
      </x:c>
      <x:c r="C949" s="25" t="str">
        <x:v>Filter/context helper</x:v>
      </x:c>
      <x:c r="D949" s="25" t="str">
        <x:v>Helper/context; not registered as an additional KPI</x:v>
      </x:c>
      <x:c r="E949" s="25" t="str">
        <x:v>No direct saved visual binding</x:v>
      </x:c>
      <x:c r="F949" s="25" t="str">
        <x:v>monitoring.cfg_referential_exception; monitoring.cfg_rejected_row; monitoring.rpt_job_data_quality</x:v>
      </x:c>
      <x:c r="G949" s="25" t="str">
        <x:v>COALESCE(COUNTROWS(FILTER(CALCULATETABLE('rpt_job_data_quality',REMOVEFILTERS()),(COALESCE(rpt_job_data_quality[failed_row_count],0)&gt;0
			    || COALESCE(rpt_job_data_quality[rejected_key_count],0)&gt;0
			    || COALESCE(rpt_job_data_quality[referential_exception_count],0)&gt;0
			    || UPPER(COALESCE(rpt_job_data_quality[status],"")) IN {"FAIL","FAILED","FAILURE","ERROR"}))) + COUNTROWS(FILTER(CALCULATETABLE('cfg_rejected_row',REMOVEFILTERS()),(TRUE()))) + COUNTROWS(FILTER(CALCULATETABLE('cfg_referential_exception',REMOVEFILTERS()),(TRUE()))),0)</x:v>
      </x:c>
      <x:c r="H949" s="25" t="str">
        <x:v>KPI_LATEST_CALCULATIONS.md#mission-watch-tower-quality-flag-records</x:v>
      </x:c>
      <x:c r="I949" s="25" t="str">
        <x:v>Saved definition; runtime/acceptance pending</x:v>
      </x:c>
    </x:row>
    <x:row r="950" ht="176" customHeight="1">
      <x:c r="A950" s="25" t="str">
        <x:v>Watch Tower Quality Flag Tooltip</x:v>
      </x:c>
      <x:c r="B950" s="25" t="str">
        <x:v>_MissionControl_Measures</x:v>
      </x:c>
      <x:c r="C950" s="25" t="str">
        <x:v>Display/context helper</x:v>
      </x:c>
      <x:c r="D950" s="25" t="str">
        <x:v>Helper/context; not registered as an additional KPI</x:v>
      </x:c>
      <x:c r="E950" s="25" t="str">
        <x:v>Watch Tower</x:v>
      </x:c>
      <x:c r="F950" s="25" t="str">
        <x:v>monitoring.cfg_job_run; monitoring.cfg_referential_exception; monitoring.cfg_rejected_row; monitoring.rpt_job_data_quality</x:v>
      </x:c>
      <x:c r="G950" s="25" t="str">
        <x:v>VAR t=[Watch Tower Quality Flag Captured]
			VAR anchor=[Watch Tower Flag Latest Load Day]
			RETURN "Quality &amp; Exceptions: " &amp; [Watch Tower Quality Flag Label] &amp; ". " &amp;
			    IF([Watch Tower Quality Flag Records]=0,"No retained problems recorded. ",IF(ISBLANK(t),"Capture date is not recorded. ","Last captured: " &amp; FORMAT(t,"dd MMM yyyy HH:mm") &amp; ". ")) &amp;
			    IF(ISBLANK(anchor),"Latest load date is unavailable. ","Latest cached load day: " &amp; FORMAT(anchor,"dd MMM yyyy") &amp; ". ") &amp;
			    "Red means the same load day; amber is the previous seven days; grey is older or undated. Date matching does not prove an exact job link. Failed/error quality findings, rejected rows and referential exceptions are problem evidence. Passing checks alone are not problems."</x:v>
      </x:c>
      <x:c r="H950" s="25" t="str">
        <x:v>KPI_LATEST_CALCULATIONS.md#mission-watch-tower-quality-flag-tooltip</x:v>
      </x:c>
      <x:c r="I950" s="25" t="str">
        <x:v>Saved definition; runtime/acceptance pending</x:v>
      </x:c>
    </x:row>
    <x:row r="951" ht="85" customHeight="1">
      <x:c r="A951" s="25" t="str">
        <x:v>Watch Tower Quality Reference</x:v>
      </x:c>
      <x:c r="B951" s="25" t="str">
        <x:v>_MissionControl_Measures</x:v>
      </x:c>
      <x:c r="C951" s="25" t="str">
        <x:v>Display/context helper</x:v>
      </x:c>
      <x:c r="D951" s="25" t="str">
        <x:v>Helper/context; not registered as an additional KPI</x:v>
      </x:c>
      <x:c r="E951" s="25" t="str">
        <x:v>Watch Tower</x:v>
      </x:c>
      <x:c r="F951" s="25" t="str">
        <x:v>monitoring.cfg_job_run; monitoring.cfg_referential_exception; monitoring.cfg_rejected_row; monitoring.rpt_job_run_summary</x:v>
      </x:c>
      <x:c r="G951" s="25" t="str">
        <x:v>FORMAT(CALCULATE([Discovery cfg_rejected_row Rows], REMOVEFILTERS()), "#,0") &amp; " rejected (" &amp; FORMAT(CALCULATE([Discovery cfg_rejected_row Latest time], REMOVEFILTERS()), "dd MMM") &amp; ") · " &amp; FORMAT(CALCULATE([Discovery cfg_referential_exception Rows], REMOVEFILTERS()), "#,0") &amp; " FK exceptions (" &amp; FORMAT(CALCULATE([Discovery cfg_referential_exception Latest time], REMOVEFILTERS()), "dd MMM") &amp; ")"</x:v>
      </x:c>
      <x:c r="H951" s="25" t="str">
        <x:v>KPI_LATEST_CALCULATIONS.md#mission-watch-tower-quality-reference</x:v>
      </x:c>
      <x:c r="I951" s="25" t="str">
        <x:v>Saved definition; runtime/acceptance pending</x:v>
      </x:c>
    </x:row>
    <x:row r="952" ht="33" customHeight="1">
      <x:c r="A952" s="25" t="str">
        <x:v>Weighted DQ Failure Percentage</x:v>
      </x:c>
      <x:c r="B952" s="25" t="str">
        <x:v>_MissionControl_Measures</x:v>
      </x:c>
      <x:c r="C952" s="25" t="str">
        <x:v>Operational metric</x:v>
      </x:c>
      <x:c r="D952" s="25" t="str">
        <x:v>MC-KPI-184</x:v>
      </x:c>
      <x:c r="E952" s="25" t="str">
        <x:v>No direct saved visual binding</x:v>
      </x:c>
      <x:c r="F952" s="25" t="str">
        <x:v>monitoring.cfg_data_quality_result</x:v>
      </x:c>
      <x:c r="G952" s="25" t="str">
        <x:v>DIVIDE ( [DQ Failed Rows], [DQ Checked Rows] )</x:v>
      </x:c>
      <x:c r="H952" s="25" t="str">
        <x:v>KPI_LATEST_CALCULATIONS.md#mission-weighted-dq-failure-percentage</x:v>
      </x:c>
      <x:c r="I952" s="25" t="str">
        <x:v>Saved definition; runtime/acceptance pending</x:v>
      </x:c>
    </x:row>
    <x:row r="953" ht="59" customHeight="1">
      <x:c r="A953"/>
      <x:c r="B953"/>
      <x:c r="C953"/>
      <x:c r="D953"/>
      <x:c r="E953"/>
      <x:c r="F953"/>
      <x:c r="G953"/>
      <x:c r="H953"/>
      <x:c r="I953"/>
    </x:row>
    <x:row r="954" ht="59" customHeight="1">
      <x:c r="A954"/>
      <x:c r="B954"/>
      <x:c r="C954"/>
      <x:c r="D954"/>
      <x:c r="E954"/>
      <x:c r="F954"/>
      <x:c r="G954"/>
      <x:c r="H954"/>
      <x:c r="I954"/>
    </x:row>
    <x:row r="955" ht="25" customHeight="1">
      <x:c r="A955" s="22" t="str">
        <x:v>Existing 144-entry Gold catalogue — identifiers retained; calculations refreshed</x:v>
      </x:c>
      <x:c r="B955" s="22"/>
      <x:c r="C955" s="22"/>
      <x:c r="D955" s="22"/>
      <x:c r="E955" s="22"/>
      <x:c r="F955" s="22"/>
      <x:c r="G955" s="22"/>
      <x:c r="H955" s="22"/>
      <x:c r="I955" s="22"/>
    </x:row>
    <x:row r="956" ht="35" customHeight="1">
      <x:c r="A956" s="35" t="str">
        <x:v>Gold KPI ID</x:v>
      </x:c>
      <x:c r="B956" s="35" t="str">
        <x:v>Business area</x:v>
      </x:c>
      <x:c r="C956" s="35" t="str">
        <x:v>DAX measure</x:v>
      </x:c>
      <x:c r="D956" s="35" t="str">
        <x:v>Legacy mapping</x:v>
      </x:c>
      <x:c r="E956" s="35" t="str">
        <x:v>Requirement IDs</x:v>
      </x:c>
      <x:c r="F956" s="35" t="str">
        <x:v>Physical sources</x:v>
      </x:c>
      <x:c r="G956" s="35" t="str">
        <x:v>Status</x:v>
      </x:c>
      <x:c r="H956" s="35" t="str">
        <x:v>Meaning</x:v>
      </x:c>
      <x:c r="I956" s="35" t="str">
        <x:v>Current calculation</x:v>
      </x:c>
    </x:row>
    <x:row r="957" ht="59" customHeight="1">
      <x:c r="A957" s="25" t="str">
        <x:v>GOLD-KPI-001</x:v>
      </x:c>
      <x:c r="B957" s="25" t="str">
        <x:v>Referral performance</x:v>
      </x:c>
      <x:c r="C957" s="25" t="str">
        <x:v>Total Referrals</x:v>
      </x:c>
      <x:c r="D957" s="25" t="str">
        <x:v>KPI-01</x:v>
      </x:c>
      <x:c r="E957" s="25" t="str">
        <x:v>R24, R51</x:v>
      </x:c>
      <x:c r="F957" s="25" t="str">
        <x:v>gold.fact_referral</x:v>
      </x:c>
      <x:c r="G957" s="25" t="str">
        <x:v>Latest saved definition; UAT pending</x:v>
      </x:c>
      <x:c r="H957" s="25" t="str">
        <x:v>Definition present in WIP _Measures. Reconcile against refreshed Gold and approved business rules.</x:v>
      </x:c>
      <x:c r="I957" s="25" t="str">
        <x:v>DISTINCTCOUNT ( 'fact_referral'[referral_id] )
Full logic: KPI_LATEST_CALCULATIONS.md#business-total-referrals</x:v>
      </x:c>
    </x:row>
    <x:row r="958" ht="59" customHeight="1">
      <x:c r="A958" s="25" t="str">
        <x:v>GOLD-KPI-002</x:v>
      </x:c>
      <x:c r="B958" s="25" t="str">
        <x:v>Referral performance</x:v>
      </x:c>
      <x:c r="C958" s="25" t="str">
        <x:v>Open Referrals</x:v>
      </x:c>
      <x:c r="D958" s="25" t="str">
        <x:v>KPI-08, KPI-29</x:v>
      </x:c>
      <x:c r="E958" s="25" t="str">
        <x:v>R24</x:v>
      </x:c>
      <x:c r="F958" s="25" t="str">
        <x:v>gold.fact_referral</x:v>
      </x:c>
      <x:c r="G958" s="25" t="str">
        <x:v>Latest saved definition; UAT pending</x:v>
      </x:c>
      <x:c r="H958" s="25" t="str">
        <x:v>Definition present in WIP _Measures. Reconcile against refreshed Gold and approved business rules.</x:v>
      </x:c>
      <x:c r="I958" s="25" t="str">
        <x:v>CALCULATE ( [Total Referrals], 'fact_referral'[is_open] = TRUE () )
Full logic: KPI_LATEST_CALCULATIONS.md#business-open-referrals</x:v>
      </x:c>
    </x:row>
    <x:row r="959" ht="59" customHeight="1">
      <x:c r="A959" s="25" t="str">
        <x:v>GOLD-KPI-003</x:v>
      </x:c>
      <x:c r="B959" s="25" t="str">
        <x:v>Referral performance</x:v>
      </x:c>
      <x:c r="C959" s="25" t="str">
        <x:v>Closed Referrals</x:v>
      </x:c>
      <x:c r="D959" s="25" t="str">
        <x:v>KPI-31</x:v>
      </x:c>
      <x:c r="E959" s="25" t="str">
        <x:v>R13</x:v>
      </x:c>
      <x:c r="F959" s="25" t="str">
        <x:v>gold.fact_referral</x:v>
      </x:c>
      <x:c r="G959" s="25" t="str">
        <x:v>Latest saved definition; UAT pending</x:v>
      </x:c>
      <x:c r="H959" s="25" t="str">
        <x:v>Definition present in WIP _Measures. Reconcile against refreshed Gold and approved business rules.</x:v>
      </x:c>
      <x:c r="I959" s="25" t="str">
        <x:v>CALCULATE ( [Total Referrals], 'fact_referral'[is_open] = FALSE () )
Full logic: KPI_LATEST_CALCULATIONS.md#business-closed-referrals</x:v>
      </x:c>
    </x:row>
    <x:row r="960" ht="59" customHeight="1">
      <x:c r="A960" s="25" t="str">
        <x:v>GOLD-KPI-004</x:v>
      </x:c>
      <x:c r="B960" s="25" t="str">
        <x:v>Referral performance</x:v>
      </x:c>
      <x:c r="C960" s="25" t="str">
        <x:v>Referrals With an Offer</x:v>
      </x:c>
      <x:c r="D960" s="25" t="str">
        <x:v>KPI-02, KPI-09, KPI-33</x:v>
      </x:c>
      <x:c r="E960" s="25" t="str">
        <x:v>R24, R36, R51</x:v>
      </x:c>
      <x:c r="F960" s="25" t="str">
        <x:v>gold.fact_referral</x:v>
      </x:c>
      <x:c r="G960" s="25" t="str">
        <x:v>Latest saved definition; UAT pending</x:v>
      </x:c>
      <x:c r="H960" s="25" t="str">
        <x:v>Definition present in WIP _Measures. Reconcile against refreshed Gold and approved business rules.</x:v>
      </x:c>
      <x:c r="I960" s="25" t="str">
        <x:v>CALCULATE ( [Total Referrals], 'fact_referral'[has_offer] = TRUE () )
Full logic: KPI_LATEST_CALCULATIONS.md#business-referrals-with-an-offer</x:v>
      </x:c>
    </x:row>
    <x:row r="961" ht="59" customHeight="1">
      <x:c r="A961" s="25" t="str">
        <x:v>GOLD-KPI-005</x:v>
      </x:c>
      <x:c r="B961" s="25" t="str">
        <x:v>Referral performance</x:v>
      </x:c>
      <x:c r="C961" s="25" t="str">
        <x:v>Referrals Awaiting Offer</x:v>
      </x:c>
      <x:c r="D961" s="25" t="str">
        <x:v>KPI-03, KPI-32</x:v>
      </x:c>
      <x:c r="E961" s="25" t="str">
        <x:v>R24, R36</x:v>
      </x:c>
      <x:c r="F961" s="25" t="str">
        <x:v>gold.fact_referral</x:v>
      </x:c>
      <x:c r="G961" s="25" t="str">
        <x:v>Latest saved definition; UAT pending</x:v>
      </x:c>
      <x:c r="H961" s="25" t="str">
        <x:v>Definition present in WIP _Measures. Reconcile against refreshed Gold and approved business rules.</x:v>
      </x:c>
      <x:c r="I961" s="25" t="str">
        <x:v>CALCULATE ( [Total Referrals], 'fact_referral'[is_awaiting_offer] = TRUE () )
Full logic: KPI_LATEST_CALCULATIONS.md#business-referrals-awaiting-offer</x:v>
      </x:c>
    </x:row>
    <x:row r="962" ht="59" customHeight="1">
      <x:c r="A962" s="25" t="str">
        <x:v>GOLD-KPI-006</x:v>
      </x:c>
      <x:c r="B962" s="25" t="str">
        <x:v>Provider engagement</x:v>
      </x:c>
      <x:c r="C962" s="25" t="str">
        <x:v>Referrals Without Provider Assignment</x:v>
      </x:c>
      <x:c r="D962" s="25" t="str">
        <x:v>New Gold KPI</x:v>
      </x:c>
      <x:c r="E962" s="25" t="str">
        <x:v>R24, R26</x:v>
      </x:c>
      <x:c r="F962" s="25" t="str">
        <x:v>gold.fact_referral</x:v>
      </x:c>
      <x:c r="G962" s="25" t="str">
        <x:v>Latest saved definition; UAT pending</x:v>
      </x:c>
      <x:c r="H962" s="25" t="str">
        <x:v>Definition present in WIP _Measures. Reconcile against refreshed Gold and approved business rules.</x:v>
      </x:c>
      <x:c r="I962" s="25" t="str">
        <x:v>CALCULATE ( [Total Referrals], 'fact_referral'[is_not_seen_by_providers] = TRUE () )
Full logic: KPI_LATEST_CALCULATIONS.md#business-referrals-without-provider-assignment</x:v>
      </x:c>
    </x:row>
    <x:row r="963" ht="59" customHeight="1">
      <x:c r="A963" s="25" t="str">
        <x:v>GOLD-KPI-007</x:v>
      </x:c>
      <x:c r="B963" s="25" t="str">
        <x:v>Referral performance</x:v>
      </x:c>
      <x:c r="C963" s="25" t="str">
        <x:v>Open Overdue Referrals</x:v>
      </x:c>
      <x:c r="D963" s="25" t="str">
        <x:v>New Gold KPI</x:v>
      </x:c>
      <x:c r="E963" s="25" t="str">
        <x:v>R24</x:v>
      </x:c>
      <x:c r="F963" s="25" t="str">
        <x:v>gold.fact_referral</x:v>
      </x:c>
      <x:c r="G963" s="25" t="str">
        <x:v>Latest saved definition; UAT pending</x:v>
      </x:c>
      <x:c r="H963" s="25" t="str">
        <x:v>Definition present in WIP _Measures. Reconcile against refreshed Gold and approved business rules.</x:v>
      </x:c>
      <x:c r="I963" s="25" t="str">
        <x:v>CALCULATE ( [Total Referrals], 'fact_referral'[is_open_overdue] = TRUE () )
Full logic: KPI_LATEST_CALCULATIONS.md#business-open-overdue-referrals</x:v>
      </x:c>
    </x:row>
    <x:row r="964" ht="59" customHeight="1">
      <x:c r="A964" s="25" t="str">
        <x:v>GOLD-KPI-008</x:v>
      </x:c>
      <x:c r="B964" s="25" t="str">
        <x:v>Referral performance</x:v>
      </x:c>
      <x:c r="C964" s="25" t="str">
        <x:v>Referrals Placed by Required Date</x:v>
      </x:c>
      <x:c r="D964" s="25" t="str">
        <x:v>New Gold KPI</x:v>
      </x:c>
      <x:c r="E964" s="25" t="str">
        <x:v>R18, R57</x:v>
      </x:c>
      <x:c r="F964" s="25" t="str">
        <x:v>gold.fact_referral</x:v>
      </x:c>
      <x:c r="G964" s="25" t="str">
        <x:v>Latest saved definition; UAT pending</x:v>
      </x:c>
      <x:c r="H964" s="25" t="str">
        <x:v>Definition present in WIP _Measures. Reconcile against refreshed Gold and approved business rules.</x:v>
      </x:c>
      <x:c r="I964" s="25" t="str">
        <x:v>CALCULATE ( [Total Referrals], 'fact_referral'[placed_by_required_date] = TRUE () )
Full logic: KPI_LATEST_CALCULATIONS.md#business-referrals-placed-by-required-date</x:v>
      </x:c>
    </x:row>
    <x:row r="965" ht="215" customHeight="1">
      <x:c r="A965" s="25" t="str">
        <x:v>GOLD-KPI-009</x:v>
      </x:c>
      <x:c r="B965" s="25" t="str">
        <x:v>Referral performance</x:v>
      </x:c>
      <x:c r="C965" s="25" t="str">
        <x:v>Placement Target Hit Rate</x:v>
      </x:c>
      <x:c r="D965" s="25" t="str">
        <x:v>New Gold KPI</x:v>
      </x:c>
      <x:c r="E965" s="25" t="str">
        <x:v>R18, R57</x:v>
      </x:c>
      <x:c r="F965" s="25" t="str">
        <x:v>gold.fact_referral</x:v>
      </x:c>
      <x:c r="G965" s="25" t="str">
        <x:v>Latest saved definition; UAT pending</x:v>
      </x:c>
      <x:c r="H965" s="25" t="str">
        <x:v>Definition present in WIP _Measures. Reconcile against refreshed Gold and approved business rules.</x:v>
      </x:c>
      <x:c r="I965" s="25" t="str">
        <x:v>DIVIDE (
			    [Referrals Placed by Required Date],
			    CALCULATE (
			        [Total Referrals],
			        FILTER (
			            'fact_referral',
			            NOT ISBLANK ( 'fact_referral'[ipa_issued_date] )
			                &amp;&amp; NOT ISBLANK ( 'fact_referral'[required_placement_date] )
			        )
			    )
			)
Full logic: KPI_LATEST_CALCULATIONS.md#business-placement-target-hit-rate</x:v>
      </x:c>
    </x:row>
    <x:row r="966" ht="124" customHeight="1">
      <x:c r="A966" s="25" t="str">
        <x:v>GOLD-KPI-010</x:v>
      </x:c>
      <x:c r="B966" s="25" t="str">
        <x:v>Referral performance</x:v>
      </x:c>
      <x:c r="C966" s="25" t="str">
        <x:v>Median Days to First Action</x:v>
      </x:c>
      <x:c r="D966" s="25" t="str">
        <x:v>New Gold KPI</x:v>
      </x:c>
      <x:c r="E966" s="25" t="str">
        <x:v>R24</x:v>
      </x:c>
      <x:c r="F966" s="25" t="str">
        <x:v>gold.fact_referral</x:v>
      </x:c>
      <x:c r="G966" s="25" t="str">
        <x:v>Latest saved definition; UAT pending</x:v>
      </x:c>
      <x:c r="H966" s="25" t="str">
        <x:v>Definition present in WIP _Measures. Reconcile against refreshed Gold and approved business rules.</x:v>
      </x:c>
      <x:c r="I966" s="25" t="str">
        <x:v>MEDIANX (
			    FILTER ( 'fact_referral', NOT ISBLANK ( 'fact_referral'[days_to_first_action] ) ),
			    'fact_referral'[days_to_first_action]
			)
Full logic: KPI_LATEST_CALCULATIONS.md#business-median-days-to-first-action</x:v>
      </x:c>
    </x:row>
    <x:row r="967" ht="124" customHeight="1">
      <x:c r="A967" s="25" t="str">
        <x:v>GOLD-KPI-011</x:v>
      </x:c>
      <x:c r="B967" s="25" t="str">
        <x:v>Referral performance</x:v>
      </x:c>
      <x:c r="C967" s="25" t="str">
        <x:v>Median Days to First Offer</x:v>
      </x:c>
      <x:c r="D967" s="25" t="str">
        <x:v>New Gold KPI</x:v>
      </x:c>
      <x:c r="E967" s="25" t="str">
        <x:v>R24</x:v>
      </x:c>
      <x:c r="F967" s="25" t="str">
        <x:v>gold.fact_referral</x:v>
      </x:c>
      <x:c r="G967" s="25" t="str">
        <x:v>Latest saved definition; UAT pending</x:v>
      </x:c>
      <x:c r="H967" s="25" t="str">
        <x:v>Definition present in WIP _Measures. Reconcile against refreshed Gold and approved business rules.</x:v>
      </x:c>
      <x:c r="I967" s="25" t="str">
        <x:v>MEDIANX (
			    FILTER ( 'fact_referral', NOT ISBLANK ( 'fact_referral'[days_to_first_offer] ) ),
			    'fact_referral'[days_to_first_offer]
			)
Full logic: KPI_LATEST_CALCULATIONS.md#business-median-days-to-first-offer</x:v>
      </x:c>
    </x:row>
    <x:row r="968" ht="98" customHeight="1">
      <x:c r="A968" s="25" t="str">
        <x:v>GOLD-KPI-012</x:v>
      </x:c>
      <x:c r="B968" s="25" t="str">
        <x:v>Offer, provider and IPA</x:v>
      </x:c>
      <x:c r="C968" s="25" t="str">
        <x:v>Median Days to IPA</x:v>
      </x:c>
      <x:c r="D968" s="25" t="str">
        <x:v>New Gold KPI</x:v>
      </x:c>
      <x:c r="E968" s="25" t="str">
        <x:v>R35</x:v>
      </x:c>
      <x:c r="F968" s="25" t="str">
        <x:v>gold.fact_referral</x:v>
      </x:c>
      <x:c r="G968" s="25" t="str">
        <x:v>Latest saved definition; UAT pending</x:v>
      </x:c>
      <x:c r="H968" s="25" t="str">
        <x:v>Definition present in WIP _Measures. Reconcile against refreshed Gold and approved business rules.</x:v>
      </x:c>
      <x:c r="I968" s="25" t="str">
        <x:v>MEDIANX (
			    FILTER ( 'fact_referral', NOT ISBLANK ( 'fact_referral'[days_to_ipa] ) ),
			    'fact_referral'[days_to_ipa]
			)
Full logic: KPI_LATEST_CALCULATIONS.md#business-median-days-to-ipa</x:v>
      </x:c>
    </x:row>
    <x:row r="969" ht="111" customHeight="1">
      <x:c r="A969" s="25" t="str">
        <x:v>GOLD-KPI-013</x:v>
      </x:c>
      <x:c r="B969" s="25" t="str">
        <x:v>Referral performance</x:v>
      </x:c>
      <x:c r="C969" s="25" t="str">
        <x:v>Open Referrals Stalled 7+ Days</x:v>
      </x:c>
      <x:c r="D969" s="25" t="str">
        <x:v>New Gold KPI</x:v>
      </x:c>
      <x:c r="E969" s="25" t="str">
        <x:v>—</x:v>
      </x:c>
      <x:c r="F969" s="25" t="str">
        <x:v>gold.fact_referral</x:v>
      </x:c>
      <x:c r="G969" s="25" t="str">
        <x:v>Latest saved definition; UAT pending</x:v>
      </x:c>
      <x:c r="H969" s="25" t="str">
        <x:v>Definition present in WIP _Measures. Reconcile against refreshed Gold and approved business rules.</x:v>
      </x:c>
      <x:c r="I969" s="25" t="str">
        <x:v>CALCULATE (
			    [Total Referrals],
			    FILTER ( 'fact_referral', 'fact_referral'[is_open] = TRUE () &amp;&amp; 'fact_referral'[days_without_activity] &gt;= 7 )
			)
Full logic: KPI_LATEST_CALCULATIONS.md#business-open-referrals-stalled-7-days</x:v>
      </x:c>
    </x:row>
    <x:row r="970" ht="46" customHeight="1">
      <x:c r="A970" s="25" t="str">
        <x:v>GOLD-KPI-014</x:v>
      </x:c>
      <x:c r="B970" s="25" t="str">
        <x:v>Offer, provider and IPA</x:v>
      </x:c>
      <x:c r="C970" s="25" t="str">
        <x:v>Offers Submitted</x:v>
      </x:c>
      <x:c r="D970" s="25" t="str">
        <x:v>KPI-12, KPI-28</x:v>
      </x:c>
      <x:c r="E970" s="25" t="str">
        <x:v>R25–R29</x:v>
      </x:c>
      <x:c r="F970" s="25" t="str">
        <x:v>gold.fact_offer</x:v>
      </x:c>
      <x:c r="G970" s="25" t="str">
        <x:v>Latest saved definition; UAT pending</x:v>
      </x:c>
      <x:c r="H970" s="25" t="str">
        <x:v>Definition present in WIP _Measures. Reconcile against refreshed Gold and approved business rules.</x:v>
      </x:c>
      <x:c r="I970" s="25" t="str">
        <x:v>DISTINCTCOUNT ( 'fact_offer'[offer_id] )
Full logic: KPI_LATEST_CALCULATIONS.md#business-offers-submitted</x:v>
      </x:c>
    </x:row>
    <x:row r="971" ht="150" customHeight="1">
      <x:c r="A971" s="25" t="str">
        <x:v>GOLD-KPI-015</x:v>
      </x:c>
      <x:c r="B971" s="25" t="str">
        <x:v>Offer, provider and IPA</x:v>
      </x:c>
      <x:c r="C971" s="25" t="str">
        <x:v>Accepted Offers</x:v>
      </x:c>
      <x:c r="D971" s="25" t="str">
        <x:v>KPI-15, KPI-39, KPI-75</x:v>
      </x:c>
      <x:c r="E971" s="25" t="str">
        <x:v>R28, R35</x:v>
      </x:c>
      <x:c r="F971" s="25" t="str">
        <x:v>gold.fact_offer</x:v>
      </x:c>
      <x:c r="G971" s="25" t="str">
        <x:v>Latest saved definition; UAT pending</x:v>
      </x:c>
      <x:c r="H971" s="25" t="str">
        <x:v>Definition present in WIP _Measures. Reconcile against refreshed Gold and approved business rules.</x:v>
      </x:c>
      <x:c r="I971" s="25" t="str">
        <x:v>CALCULATE (
			    [Offers Submitted],
			    FILTER (
			        'fact_offer',
			        LOWER ( 'fact_offer'[offer_status] ) IN { "accepted", "approved", "selected", "offer_successful" }
			    )
			)
Full logic: KPI_LATEST_CALCULATIONS.md#business-accepted-offers</x:v>
      </x:c>
    </x:row>
    <x:row r="972" ht="98" customHeight="1">
      <x:c r="A972" s="25" t="str">
        <x:v>GOLD-KPI-016</x:v>
      </x:c>
      <x:c r="B972" s="25" t="str">
        <x:v>Offer, provider and IPA</x:v>
      </x:c>
      <x:c r="C972" s="25" t="str">
        <x:v>Offers with a Decision</x:v>
      </x:c>
      <x:c r="D972" s="25" t="str">
        <x:v>New Gold KPI</x:v>
      </x:c>
      <x:c r="E972" s="25" t="str">
        <x:v>R28</x:v>
      </x:c>
      <x:c r="F972" s="25" t="str">
        <x:v>gold.fact_offer</x:v>
      </x:c>
      <x:c r="G972" s="25" t="str">
        <x:v>Latest saved definition; UAT pending</x:v>
      </x:c>
      <x:c r="H972" s="25" t="str">
        <x:v>Definition present in WIP _Measures. Reconcile against refreshed Gold and approved business rules.</x:v>
      </x:c>
      <x:c r="I972" s="25" t="str">
        <x:v>CALCULATE (
			    [Offers Submitted],
			    FILTER ( 'fact_offer', NOT ISBLANK ( 'fact_offer'[offer_decision_date] ) )
			)
Full logic: KPI_LATEST_CALCULATIONS.md#business-offers-with-a-decision</x:v>
      </x:c>
    </x:row>
    <x:row r="973" ht="59" customHeight="1">
      <x:c r="A973" s="25" t="str">
        <x:v>GOLD-KPI-017</x:v>
      </x:c>
      <x:c r="B973" s="25" t="str">
        <x:v>Offer, provider and IPA</x:v>
      </x:c>
      <x:c r="C973" s="25" t="str">
        <x:v>Offer Acceptance Rate</x:v>
      </x:c>
      <x:c r="D973" s="25" t="str">
        <x:v>New Gold KPI</x:v>
      </x:c>
      <x:c r="E973" s="25" t="str">
        <x:v>R28</x:v>
      </x:c>
      <x:c r="F973" s="25" t="str">
        <x:v>gold.fact_offer</x:v>
      </x:c>
      <x:c r="G973" s="25" t="str">
        <x:v>Latest saved definition; UAT pending</x:v>
      </x:c>
      <x:c r="H973" s="25" t="str">
        <x:v>Definition present in WIP _Measures. Reconcile against refreshed Gold and approved business rules.</x:v>
      </x:c>
      <x:c r="I973" s="25" t="str">
        <x:v>DIVIDE ( [Accepted Offers], [Offers with a Decision] )
Full logic: KPI_LATEST_CALCULATIONS.md#business-offer-acceptance-rate</x:v>
      </x:c>
    </x:row>
    <x:row r="974" ht="59" customHeight="1">
      <x:c r="A974" s="25" t="str">
        <x:v>GOLD-KPI-018</x:v>
      </x:c>
      <x:c r="B974" s="25" t="str">
        <x:v>Offer performance</x:v>
      </x:c>
      <x:c r="C974" s="25" t="str">
        <x:v>Average Offers per Referral</x:v>
      </x:c>
      <x:c r="D974" s="25" t="str">
        <x:v>New Gold KPI</x:v>
      </x:c>
      <x:c r="E974" s="25" t="str">
        <x:v>—</x:v>
      </x:c>
      <x:c r="F974" s="25" t="str">
        <x:v>gold.fact_offer; gold.fact_referral</x:v>
      </x:c>
      <x:c r="G974" s="25" t="str">
        <x:v>Latest saved definition; UAT pending</x:v>
      </x:c>
      <x:c r="H974" s="25" t="str">
        <x:v>Definition present in WIP _Measures. Reconcile against refreshed Gold and approved business rules.</x:v>
      </x:c>
      <x:c r="I974" s="25" t="str">
        <x:v>DIVIDE ( [Offers Submitted], [Referrals With an Offer] )
Full logic: KPI_LATEST_CALCULATIONS.md#business-average-offers-per-referral</x:v>
      </x:c>
    </x:row>
    <x:row r="975" ht="59" customHeight="1">
      <x:c r="A975" s="25" t="str">
        <x:v>GOLD-KPI-019</x:v>
      </x:c>
      <x:c r="B975" s="25" t="str">
        <x:v>Offer, provider and IPA</x:v>
      </x:c>
      <x:c r="C975" s="25" t="str">
        <x:v>Offers in Draft</x:v>
      </x:c>
      <x:c r="D975" s="25" t="str">
        <x:v>KPI-17, KPI-61</x:v>
      </x:c>
      <x:c r="E975" s="25" t="str">
        <x:v>R24</x:v>
      </x:c>
      <x:c r="F975" s="25" t="str">
        <x:v>gold.fact_offer</x:v>
      </x:c>
      <x:c r="G975" s="25" t="str">
        <x:v>Latest saved definition; UAT pending</x:v>
      </x:c>
      <x:c r="H975" s="25" t="str">
        <x:v>Definition present in WIP _Measures. Reconcile against refreshed Gold and approved business rules.</x:v>
      </x:c>
      <x:c r="I975" s="25" t="str">
        <x:v>CALCULATE ( [Offers Submitted], LOWER ( 'fact_offer'[offer_status] ) = "draft" )
Full logic: KPI_LATEST_CALCULATIONS.md#business-offers-in-draft</x:v>
      </x:c>
    </x:row>
    <x:row r="976" ht="163" customHeight="1">
      <x:c r="A976" s="25" t="str">
        <x:v>GOLD-KPI-020</x:v>
      </x:c>
      <x:c r="B976" s="25" t="str">
        <x:v>Offer, provider and IPA</x:v>
      </x:c>
      <x:c r="C976" s="25" t="str">
        <x:v>Draft Offers Stalled 7+ Days</x:v>
      </x:c>
      <x:c r="D976" s="25" t="str">
        <x:v>New Gold KPI</x:v>
      </x:c>
      <x:c r="E976" s="25" t="str">
        <x:v>—</x:v>
      </x:c>
      <x:c r="F976" s="25" t="str">
        <x:v>gold.fact_offer</x:v>
      </x:c>
      <x:c r="G976" s="25" t="str">
        <x:v>Latest saved definition; UAT pending</x:v>
      </x:c>
      <x:c r="H976" s="25" t="str">
        <x:v>Definition present in WIP _Measures. Reconcile against refreshed Gold and approved business rules.</x:v>
      </x:c>
      <x:c r="I976" s="25" t="str">
        <x:v>CALCULATE (
				[Offers Submitted],
				FILTER (
					'fact_offer',
					LOWER ( COALESCE ( 'fact_offer'[offer_status], "" ) ) = "draft"
						&amp;&amp; 'fact_offer'[days_since_offer_activity] &gt;= 7
				)
			)
Full logic: KPI_LATEST_CALCULATIONS.md#business-draft-offers-stalled-7-days</x:v>
      </x:c>
    </x:row>
    <x:row r="977" ht="46" customHeight="1">
      <x:c r="A977" s="25" t="str">
        <x:v>GOLD-KPI-021</x:v>
      </x:c>
      <x:c r="B977" s="25" t="str">
        <x:v>Offer, provider and IPA</x:v>
      </x:c>
      <x:c r="C977" s="25" t="str">
        <x:v>IPAs Created</x:v>
      </x:c>
      <x:c r="D977" s="25" t="str">
        <x:v>KPI-76</x:v>
      </x:c>
      <x:c r="E977" s="25" t="str">
        <x:v>R35</x:v>
      </x:c>
      <x:c r="F977" s="25" t="str">
        <x:v>gold.fact_ipa</x:v>
      </x:c>
      <x:c r="G977" s="25" t="str">
        <x:v>Latest saved definition; UAT pending</x:v>
      </x:c>
      <x:c r="H977" s="25" t="str">
        <x:v>Definition present in WIP _Measures. Reconcile against refreshed Gold and approved business rules.</x:v>
      </x:c>
      <x:c r="I977" s="25" t="str">
        <x:v>DISTINCTCOUNT ( 'fact_ipa'[ipa_id] )
Full logic: KPI_LATEST_CALCULATIONS.md#business-ipas-created</x:v>
      </x:c>
    </x:row>
    <x:row r="978" ht="59" customHeight="1">
      <x:c r="A978" s="25" t="str">
        <x:v>GOLD-KPI-022</x:v>
      </x:c>
      <x:c r="B978" s="25" t="str">
        <x:v>Offer, provider and IPA</x:v>
      </x:c>
      <x:c r="C978" s="25" t="str">
        <x:v>Active IPAs</x:v>
      </x:c>
      <x:c r="D978" s="25" t="str">
        <x:v>New Gold KPI</x:v>
      </x:c>
      <x:c r="E978" s="25" t="str">
        <x:v>R35, R62</x:v>
      </x:c>
      <x:c r="F978" s="25" t="str">
        <x:v>gold.fact_ipa</x:v>
      </x:c>
      <x:c r="G978" s="25" t="str">
        <x:v>Latest saved definition; UAT pending</x:v>
      </x:c>
      <x:c r="H978" s="25" t="str">
        <x:v>Definition present in WIP _Measures. Reconcile against refreshed Gold and approved business rules.</x:v>
      </x:c>
      <x:c r="I978" s="25" t="str">
        <x:v>CALCULATE ( [IPAs Created], 'fact_ipa'[is_placement_closed] = FALSE () )
Full logic: KPI_LATEST_CALCULATIONS.md#business-active-ipas</x:v>
      </x:c>
    </x:row>
    <x:row r="979" ht="111" customHeight="1">
      <x:c r="A979" s="25" t="str">
        <x:v>GOLD-KPI-023</x:v>
      </x:c>
      <x:c r="B979" s="25" t="str">
        <x:v>Offer, provider and IPA</x:v>
      </x:c>
      <x:c r="C979" s="25" t="str">
        <x:v>Estimated Active Weekly Cost</x:v>
      </x:c>
      <x:c r="D979" s="25" t="str">
        <x:v>KPI-107 replacement</x:v>
      </x:c>
      <x:c r="E979" s="25" t="str">
        <x:v>R62</x:v>
      </x:c>
      <x:c r="F979" s="25" t="str">
        <x:v>gold.fact_ipa</x:v>
      </x:c>
      <x:c r="G979" s="25" t="str">
        <x:v>Latest saved definition; UAT pending</x:v>
      </x:c>
      <x:c r="H979" s="25" t="str">
        <x:v>Estimated active weekly liability, not actual spend or verified signed fee liability.</x:v>
      </x:c>
      <x:c r="I979" s="25" t="str">
        <x:v>CALCULATE (
			    SUM ( 'fact_ipa'[estimated_weekly_cost] ),
			    'fact_ipa'[is_placement_closed] = FALSE ()
			)
Full logic: KPI_LATEST_CALCULATIONS.md#business-estimated-active-weekly-cost</x:v>
      </x:c>
    </x:row>
    <x:row r="980" ht="189" customHeight="1">
      <x:c r="A980" s="25" t="str">
        <x:v>GOLD-KPI-024</x:v>
      </x:c>
      <x:c r="B980" s="25" t="str">
        <x:v>IPA cost</x:v>
      </x:c>
      <x:c r="C980" s="25" t="str">
        <x:v>Average Estimated Weekly Cost — Confirmed Referrals</x:v>
      </x:c>
      <x:c r="D980" s="25" t="str">
        <x:v>New Gold KPI</x:v>
      </x:c>
      <x:c r="E980" s="25" t="str">
        <x:v>R62</x:v>
      </x:c>
      <x:c r="F980" s="25" t="str">
        <x:v>gold.fact_referral</x:v>
      </x:c>
      <x:c r="G980" s="25" t="str">
        <x:v>Latest saved definition; UAT pending</x:v>
      </x:c>
      <x:c r="H980" s="25" t="str">
        <x:v>Average referral-level estimated weekly cost for issued IPAs, not actual cost.</x:v>
      </x:c>
      <x:c r="I980" s="25" t="str">
        <x:v>AVERAGEX (
			    FILTER (
			        'fact_referral',
			        NOT ISBLANK ( 'fact_referral'[ipa_issued_date] )
			            &amp;&amp; NOT ISBLANK ( 'fact_referral'[estimated_weekly_cost] )
			    ),
			    'fact_referral'[estimated_weekly_cost]
			)
Full logic: KPI_LATEST_CALCULATIONS.md#business-average-estimated-weekly-cost-confirmed-referrals</x:v>
      </x:c>
    </x:row>
    <x:row r="981" ht="59" customHeight="1">
      <x:c r="A981" s="25" t="str">
        <x:v>GOLD-KPI-025</x:v>
      </x:c>
      <x:c r="B981" s="25" t="str">
        <x:v>Provider engagement</x:v>
      </x:c>
      <x:c r="C981" s="25" t="str">
        <x:v>Provider Assignments</x:v>
      </x:c>
      <x:c r="D981" s="25" t="str">
        <x:v>New Gold KPI</x:v>
      </x:c>
      <x:c r="E981" s="25" t="str">
        <x:v>R24, R26</x:v>
      </x:c>
      <x:c r="F981" s="25" t="str">
        <x:v>gold.fact_referral_provider</x:v>
      </x:c>
      <x:c r="G981" s="25" t="str">
        <x:v>Latest saved definition; UAT pending</x:v>
      </x:c>
      <x:c r="H981" s="25" t="str">
        <x:v>Definition present in WIP _Measures. Reconcile against refreshed Gold and approved business rules.</x:v>
      </x:c>
      <x:c r="I981" s="25" t="str">
        <x:v>DISTINCTCOUNT ( 'fact_referral_provider'[referral_provider_id] )
Full logic: KPI_LATEST_CALCULATIONS.md#business-provider-assignments</x:v>
      </x:c>
    </x:row>
    <x:row r="982" ht="59" customHeight="1">
      <x:c r="A982" s="25" t="str">
        <x:v>GOLD-KPI-026</x:v>
      </x:c>
      <x:c r="B982" s="25" t="str">
        <x:v>Provider engagement</x:v>
      </x:c>
      <x:c r="C982" s="25" t="str">
        <x:v>Provider Declines</x:v>
      </x:c>
      <x:c r="D982" s="25" t="str">
        <x:v>New Gold KPI</x:v>
      </x:c>
      <x:c r="E982" s="25" t="str">
        <x:v>R54</x:v>
      </x:c>
      <x:c r="F982" s="25" t="str">
        <x:v>gold.fact_referral_provider</x:v>
      </x:c>
      <x:c r="G982" s="25" t="str">
        <x:v>Latest saved definition; UAT pending</x:v>
      </x:c>
      <x:c r="H982" s="25" t="str">
        <x:v>Definition present in WIP _Measures. Reconcile against refreshed Gold and approved business rules.</x:v>
      </x:c>
      <x:c r="I982" s="25" t="str">
        <x:v>CALCULATE ( [Provider Assignments], 'fact_referral_provider'[is_declined] = TRUE () )
Full logic: KPI_LATEST_CALCULATIONS.md#business-provider-declines</x:v>
      </x:c>
    </x:row>
    <x:row r="983" ht="59" customHeight="1">
      <x:c r="A983" s="25" t="str">
        <x:v>GOLD-KPI-027</x:v>
      </x:c>
      <x:c r="B983" s="25" t="str">
        <x:v>Provider engagement</x:v>
      </x:c>
      <x:c r="C983" s="25" t="str">
        <x:v>Provider Decline Rate</x:v>
      </x:c>
      <x:c r="D983" s="25" t="str">
        <x:v>New Gold KPI</x:v>
      </x:c>
      <x:c r="E983" s="25" t="str">
        <x:v>R54</x:v>
      </x:c>
      <x:c r="F983" s="25" t="str">
        <x:v>gold.fact_referral_provider</x:v>
      </x:c>
      <x:c r="G983" s="25" t="str">
        <x:v>Latest saved definition; UAT pending</x:v>
      </x:c>
      <x:c r="H983" s="25" t="str">
        <x:v>Definition present in WIP _Measures. Reconcile against refreshed Gold and approved business rules.</x:v>
      </x:c>
      <x:c r="I983" s="25" t="str">
        <x:v>DIVIDE ( [Provider Declines], [Provider Assignments] )
Full logic: KPI_LATEST_CALCULATIONS.md#business-provider-decline-rate</x:v>
      </x:c>
    </x:row>
    <x:row r="984" ht="59" customHeight="1">
      <x:c r="A984" s="25" t="str">
        <x:v>GOLD-KPI-028</x:v>
      </x:c>
      <x:c r="B984" s="25" t="str">
        <x:v>Referral snapshot</x:v>
      </x:c>
      <x:c r="C984" s="25" t="str">
        <x:v>Snapshot Referrals</x:v>
      </x:c>
      <x:c r="D984" s="25" t="str">
        <x:v>New Gold KPI</x:v>
      </x:c>
      <x:c r="E984" s="25" t="str">
        <x:v>R24, R52</x:v>
      </x:c>
      <x:c r="F984" s="25" t="str">
        <x:v>gold.fact_referral_snapshot</x:v>
      </x:c>
      <x:c r="G984" s="25" t="str">
        <x:v>Latest saved definition; UAT pending</x:v>
      </x:c>
      <x:c r="H984" s="25" t="str">
        <x:v>Definition present in WIP _Measures. Reconcile against refreshed Gold and approved business rules.</x:v>
      </x:c>
      <x:c r="I984" s="25" t="str">
        <x:v>DISTINCTCOUNT ( 'fact_referral_snapshot'[referral_id] )
Full logic: KPI_LATEST_CALCULATIONS.md#business-snapshot-referrals</x:v>
      </x:c>
    </x:row>
    <x:row r="985" ht="59" customHeight="1">
      <x:c r="A985" s="25" t="str">
        <x:v>GOLD-KPI-029</x:v>
      </x:c>
      <x:c r="B985" s="25" t="str">
        <x:v>Referral snapshot</x:v>
      </x:c>
      <x:c r="C985" s="25" t="str">
        <x:v>Open Referrals at Snapshot</x:v>
      </x:c>
      <x:c r="D985" s="25" t="str">
        <x:v>New Gold KPI</x:v>
      </x:c>
      <x:c r="E985" s="25" t="str">
        <x:v>R24</x:v>
      </x:c>
      <x:c r="F985" s="25" t="str">
        <x:v>gold.fact_referral_snapshot</x:v>
      </x:c>
      <x:c r="G985" s="25" t="str">
        <x:v>Latest saved definition; UAT pending</x:v>
      </x:c>
      <x:c r="H985" s="25" t="str">
        <x:v>Definition present in WIP _Measures. Reconcile against refreshed Gold and approved business rules.</x:v>
      </x:c>
      <x:c r="I985" s="25" t="str">
        <x:v>CALCULATE ( [Snapshot Referrals], 'fact_referral_snapshot'[is_open] = TRUE () )
Full logic: KPI_LATEST_CALCULATIONS.md#business-open-referrals-at-snapshot</x:v>
      </x:c>
    </x:row>
    <x:row r="986" ht="176" customHeight="1">
      <x:c r="A986" s="25" t="str">
        <x:v>GOLD-KPI-030</x:v>
      </x:c>
      <x:c r="B986" s="25" t="str">
        <x:v>Referral snapshot</x:v>
      </x:c>
      <x:c r="C986" s="25" t="str">
        <x:v>Closed Referrals at Snapshot</x:v>
      </x:c>
      <x:c r="D986" s="25" t="str">
        <x:v>New Gold KPI</x:v>
      </x:c>
      <x:c r="E986" s="25" t="str">
        <x:v>R13</x:v>
      </x:c>
      <x:c r="F986" s="25" t="str">
        <x:v>gold.fact_referral_snapshot</x:v>
      </x:c>
      <x:c r="G986" s="25" t="str">
        <x:v>Latest saved definition; UAT pending</x:v>
      </x:c>
      <x:c r="H986" s="25" t="str">
        <x:v>Closure-date predicate at the retained snapshot date; distinguish closed/cancelled status snapshot measure.</x:v>
      </x:c>
      <x:c r="I986" s="25" t="str">
        <x:v>CALCULATE (
			    [Snapshot Referrals],
			    FILTER (
			        'fact_referral_snapshot',
			        NOT ISBLANK ( 'fact_referral_snapshot'[referral_closed_date] )
			            &amp;&amp; 'fact_referral_snapshot'[referral_closed_date] &lt; 'fact_referral_snapshot'[snapshot_date] + 1
			    )
			)
Full logic: KPI_LATEST_CALCULATIONS.md#business-closed-referrals-at-snapshot</x:v>
      </x:c>
    </x:row>
    <x:row r="987" ht="176" customHeight="1">
      <x:c r="A987" s="25" t="str">
        <x:v>GOLD-KPI-031</x:v>
      </x:c>
      <x:c r="B987" s="25" t="str">
        <x:v>Referral snapshot</x:v>
      </x:c>
      <x:c r="C987" s="25" t="str">
        <x:v>Referrals with IPA at Snapshot</x:v>
      </x:c>
      <x:c r="D987" s="25" t="str">
        <x:v>New Gold KPI</x:v>
      </x:c>
      <x:c r="E987" s="25" t="str">
        <x:v>R35</x:v>
      </x:c>
      <x:c r="F987" s="25" t="str">
        <x:v>gold.fact_referral_snapshot</x:v>
      </x:c>
      <x:c r="G987" s="25" t="str">
        <x:v>Latest saved definition; UAT pending</x:v>
      </x:c>
      <x:c r="H987" s="25" t="str">
        <x:v>Definition present in WIP _Measures. Reconcile against refreshed Gold and approved business rules.</x:v>
      </x:c>
      <x:c r="I987" s="25" t="str">
        <x:v>CALCULATE (
			    [Snapshot Referrals],
			    FILTER (
			        'fact_referral_snapshot',
			        NOT ISBLANK ( 'fact_referral_snapshot'[ipa_issued_date] )
			            &amp;&amp; 'fact_referral_snapshot'[ipa_issued_date] &lt; 'fact_referral_snapshot'[snapshot_date] + 1
			    )
			)
Full logic: KPI_LATEST_CALCULATIONS.md#business-referrals-with-ipa-at-snapshot</x:v>
      </x:c>
    </x:row>
    <x:row r="988" ht="59" customHeight="1">
      <x:c r="A988" s="25" t="str">
        <x:v>GOLD-KPI-032</x:v>
      </x:c>
      <x:c r="B988" s="25" t="str">
        <x:v>Referral snapshot</x:v>
      </x:c>
      <x:c r="C988" s="25" t="str">
        <x:v>Open Overdue Referrals at Snapshot</x:v>
      </x:c>
      <x:c r="D988" s="25" t="str">
        <x:v>New Gold KPI</x:v>
      </x:c>
      <x:c r="E988" s="25" t="str">
        <x:v>—</x:v>
      </x:c>
      <x:c r="F988" s="25" t="str">
        <x:v>gold.fact_referral_snapshot</x:v>
      </x:c>
      <x:c r="G988" s="25" t="str">
        <x:v>Latest saved definition; UAT pending</x:v>
      </x:c>
      <x:c r="H988" s="25" t="str">
        <x:v>Definition present in WIP _Measures. Reconcile against refreshed Gold and approved business rules.</x:v>
      </x:c>
      <x:c r="I988" s="25" t="str">
        <x:v>CALCULATE ( [Snapshot Referrals], 'fact_referral_snapshot'[is_open_overdue] = TRUE () )
Full logic: KPI_LATEST_CALCULATIONS.md#business-open-overdue-referrals-at-snapshot</x:v>
      </x:c>
    </x:row>
    <x:row r="989" ht="98" customHeight="1">
      <x:c r="A989" s="25" t="str">
        <x:v>GOLD-KPI-033</x:v>
      </x:c>
      <x:c r="B989" s="25" t="str">
        <x:v>Referral snapshot</x:v>
      </x:c>
      <x:c r="C989" s="25" t="str">
        <x:v>Open On-Track Referrals at Snapshot</x:v>
      </x:c>
      <x:c r="D989" s="25" t="str">
        <x:v>New Gold KPI</x:v>
      </x:c>
      <x:c r="E989" s="25" t="str">
        <x:v>—</x:v>
      </x:c>
      <x:c r="F989" s="25" t="str">
        <x:v>gold.fact_referral_snapshot</x:v>
      </x:c>
      <x:c r="G989" s="25" t="str">
        <x:v>Latest saved definition; UAT pending</x:v>
      </x:c>
      <x:c r="H989" s="25" t="str">
        <x:v>Definition present in WIP _Measures. Reconcile against refreshed Gold and approved business rules.</x:v>
      </x:c>
      <x:c r="I989" s="25" t="str">
        <x:v>CALCULATE (
			    [Snapshot Referrals],
			    'fact_referral_snapshot'[required_placement_date_outcome] = "Open on track"
			)
Full logic: KPI_LATEST_CALCULATIONS.md#business-open-on-track-referrals-at-snapshot</x:v>
      </x:c>
    </x:row>
    <x:row r="990" ht="59" customHeight="1">
      <x:c r="A990" s="25" t="str">
        <x:v>GOLD-KPI-034</x:v>
      </x:c>
      <x:c r="B990" s="25" t="str">
        <x:v>Referral snapshot</x:v>
      </x:c>
      <x:c r="C990" s="25" t="str">
        <x:v>Open Referral Rate at Snapshot</x:v>
      </x:c>
      <x:c r="D990" s="25" t="str">
        <x:v>New Gold KPI</x:v>
      </x:c>
      <x:c r="E990" s="25" t="str">
        <x:v>—</x:v>
      </x:c>
      <x:c r="F990" s="25" t="str">
        <x:v>gold.fact_referral_snapshot</x:v>
      </x:c>
      <x:c r="G990" s="25" t="str">
        <x:v>Latest saved definition; UAT pending</x:v>
      </x:c>
      <x:c r="H990" s="25" t="str">
        <x:v>Definition present in WIP _Measures. Reconcile against refreshed Gold and approved business rules.</x:v>
      </x:c>
      <x:c r="I990" s="25" t="str">
        <x:v>DIVIDE ( [Open Referrals at Snapshot], [Snapshot Referrals] )
Full logic: KPI_LATEST_CALCULATIONS.md#business-open-referral-rate-at-snapshot</x:v>
      </x:c>
    </x:row>
    <x:row r="991" ht="59" customHeight="1">
      <x:c r="A991" s="25" t="str">
        <x:v>GOLD-KPI-035</x:v>
      </x:c>
      <x:c r="B991" s="25" t="str">
        <x:v>Referral snapshot</x:v>
      </x:c>
      <x:c r="C991" s="25" t="str">
        <x:v>Placement Rate at Snapshot</x:v>
      </x:c>
      <x:c r="D991" s="25" t="str">
        <x:v>New Gold KPI</x:v>
      </x:c>
      <x:c r="E991" s="25" t="str">
        <x:v>—</x:v>
      </x:c>
      <x:c r="F991" s="25" t="str">
        <x:v>gold.fact_referral_snapshot</x:v>
      </x:c>
      <x:c r="G991" s="25" t="str">
        <x:v>Latest saved definition; UAT pending</x:v>
      </x:c>
      <x:c r="H991" s="25" t="str">
        <x:v>Definition present in WIP _Measures. Reconcile against refreshed Gold and approved business rules.</x:v>
      </x:c>
      <x:c r="I991" s="25" t="str">
        <x:v>DIVIDE ( [Referrals with IPA at Snapshot], [Snapshot Referrals] )
Full logic: KPI_LATEST_CALCULATIONS.md#business-placement-rate-at-snapshot</x:v>
      </x:c>
    </x:row>
    <x:row r="992" ht="111" customHeight="1">
      <x:c r="A992" s="25" t="str">
        <x:v>GOLD-KPI-036</x:v>
      </x:c>
      <x:c r="B992" s="25" t="str">
        <x:v>Referral and provider engagement</x:v>
      </x:c>
      <x:c r="C992" s="25" t="str">
        <x:v>Referrals Created This Month</x:v>
      </x:c>
      <x:c r="D992" s="25" t="str">
        <x:v>KPI-23</x:v>
      </x:c>
      <x:c r="E992" s="25" t="str">
        <x:v>R24, R52</x:v>
      </x:c>
      <x:c r="F992" s="25" t="str">
        <x:v>gold.dim_date; gold.fact_referral</x:v>
      </x:c>
      <x:c r="G992" s="25" t="str">
        <x:v>Latest saved definition; UAT pending</x:v>
      </x:c>
      <x:c r="H992" s="25" t="str">
        <x:v>Definition present in WIP _Measures. Reconcile against refreshed Gold and approved business rules.</x:v>
      </x:c>
      <x:c r="I992" s="25" t="str">
        <x:v>VAR as_of = MAX ( 'fact_referral'[as_of_date] )
			RETURN IF ( NOT ISBLANK ( as_of ), CALCULATE ( [Total Referrals], DATESBETWEEN ( 'dim_date'[date], DATE ( YEAR ( as_of ), MONTH ( as_of ), 1 ), as_of ) ) )
Full logic: KPI_LATEST_CALCULATIONS.md#business-referrals-created-this-month</x:v>
      </x:c>
    </x:row>
    <x:row r="993" ht="59" customHeight="1">
      <x:c r="A993" s="25" t="str">
        <x:v>GOLD-KPI-037</x:v>
      </x:c>
      <x:c r="B993" s="25" t="str">
        <x:v>Referral and provider engagement</x:v>
      </x:c>
      <x:c r="C993" s="25" t="str">
        <x:v>Referrals Created Previous Month</x:v>
      </x:c>
      <x:c r="D993" s="25" t="str">
        <x:v>New Gold KPI</x:v>
      </x:c>
      <x:c r="E993" s="25" t="str">
        <x:v>—</x:v>
      </x:c>
      <x:c r="F993" s="25" t="str">
        <x:v>gold.dim_date; gold.fact_referral</x:v>
      </x:c>
      <x:c r="G993" s="25" t="str">
        <x:v>Latest saved definition; UAT pending</x:v>
      </x:c>
      <x:c r="H993" s="25" t="str">
        <x:v>Definition present in WIP _Measures. Reconcile against refreshed Gold and approved business rules.</x:v>
      </x:c>
      <x:c r="I993" s="25" t="str">
        <x:v>CALCULATE ( [Total Referrals], DATEADD ( 'dim_date'[date], -1, MONTH ) )
Full logic: KPI_LATEST_CALCULATIONS.md#business-referrals-created-previous-month</x:v>
      </x:c>
    </x:row>
    <x:row r="994" ht="59" customHeight="1">
      <x:c r="A994" s="25" t="str">
        <x:v>GOLD-KPI-038</x:v>
      </x:c>
      <x:c r="B994" s="25" t="str">
        <x:v>Referral and provider engagement</x:v>
      </x:c>
      <x:c r="C994" s="25" t="str">
        <x:v>Referral Volume Month on Month</x:v>
      </x:c>
      <x:c r="D994" s="25" t="str">
        <x:v>New Gold KPI</x:v>
      </x:c>
      <x:c r="E994" s="25" t="str">
        <x:v>—</x:v>
      </x:c>
      <x:c r="F994" s="25" t="str">
        <x:v>gold.dim_date; gold.fact_referral</x:v>
      </x:c>
      <x:c r="G994" s="25" t="str">
        <x:v>Latest saved definition; UAT pending</x:v>
      </x:c>
      <x:c r="H994" s="25" t="str">
        <x:v>Definition present in WIP _Measures. Reconcile against refreshed Gold and approved business rules.</x:v>
      </x:c>
      <x:c r="I994" s="25" t="str">
        <x:v>[Total Referrals] - [Referrals Created Previous Month]
Full logic: KPI_LATEST_CALCULATIONS.md#business-referral-volume-month-on-month</x:v>
      </x:c>
    </x:row>
    <x:row r="995" ht="59" customHeight="1">
      <x:c r="A995" s="25" t="str">
        <x:v>GOLD-KPI-039</x:v>
      </x:c>
      <x:c r="B995" s="25" t="str">
        <x:v>Referral and provider engagement</x:v>
      </x:c>
      <x:c r="C995" s="25" t="str">
        <x:v>Referral Volume Month on Month %</x:v>
      </x:c>
      <x:c r="D995" s="25" t="str">
        <x:v>New Gold KPI</x:v>
      </x:c>
      <x:c r="E995" s="25" t="str">
        <x:v>—</x:v>
      </x:c>
      <x:c r="F995" s="25" t="str">
        <x:v>gold.dim_date; gold.fact_referral</x:v>
      </x:c>
      <x:c r="G995" s="25" t="str">
        <x:v>Latest saved definition; UAT pending</x:v>
      </x:c>
      <x:c r="H995" s="25" t="str">
        <x:v>Definition present in WIP _Measures. Reconcile against refreshed Gold and approved business rules.</x:v>
      </x:c>
      <x:c r="I995" s="25" t="str">
        <x:v>DIVIDE ( [Referral Volume Month on Month], [Referrals Created Previous Month] )
Full logic: KPI_LATEST_CALCULATIONS.md#business-referral-volume-month-on-month-percent</x:v>
      </x:c>
    </x:row>
    <x:row r="996" ht="124" customHeight="1">
      <x:c r="A996" s="25" t="str">
        <x:v>GOLD-KPI-040</x:v>
      </x:c>
      <x:c r="B996" s="25" t="str">
        <x:v>Referral and provider engagement</x:v>
      </x:c>
      <x:c r="C996" s="25" t="str">
        <x:v>Referrals Created This Financial Year</x:v>
      </x:c>
      <x:c r="D996" s="25" t="str">
        <x:v>KPI-24</x:v>
      </x:c>
      <x:c r="E996" s="25" t="str">
        <x:v>R52</x:v>
      </x:c>
      <x:c r="F996" s="25" t="str">
        <x:v>gold.dim_date; gold.fact_referral</x:v>
      </x:c>
      <x:c r="G996" s="25" t="str">
        <x:v>Latest saved definition; UAT pending</x:v>
      </x:c>
      <x:c r="H996" s="25" t="str">
        <x:v>Definition present in WIP _Measures. Reconcile against refreshed Gold and approved business rules.</x:v>
      </x:c>
      <x:c r="I996" s="25" t="str">
        <x:v>VAR as_of = MAX ( 'fact_referral'[as_of_date] )
			VAR year_start = DATE ( YEAR ( as_of ) - IF ( MONTH ( as_of ) &lt; 4, 1, 0 ), 4, 1 )
			RETURN IF ( NOT ISBLANK ( as_of ), CALCULATE ( [Total Referrals], DATESBETWEEN ( 'dim_date'[date], year_start, as_of ) ) )
Full logic: KPI_LATEST_CALCULATIONS.md#business-referrals-created-this-financial-year</x:v>
      </x:c>
    </x:row>
    <x:row r="997" ht="59" customHeight="1">
      <x:c r="A997" s="25" t="str">
        <x:v>GOLD-KPI-041</x:v>
      </x:c>
      <x:c r="B997" s="25" t="str">
        <x:v>Referral and provider engagement</x:v>
      </x:c>
      <x:c r="C997" s="25" t="str">
        <x:v>Referrals Currently Active</x:v>
      </x:c>
      <x:c r="D997" s="25" t="str">
        <x:v>New Gold KPI</x:v>
      </x:c>
      <x:c r="E997" s="25" t="str">
        <x:v>—</x:v>
      </x:c>
      <x:c r="F997" s="25" t="str">
        <x:v>gold.fact_referral</x:v>
      </x:c>
      <x:c r="G997" s="25" t="str">
        <x:v>Latest saved definition; UAT pending</x:v>
      </x:c>
      <x:c r="H997" s="25" t="str">
        <x:v>Definition present in WIP _Measures. Reconcile against refreshed Gold and approved business rules.</x:v>
      </x:c>
      <x:c r="I997" s="25" t="str">
        <x:v>CALCULATE ( [Total Referrals], 'fact_referral'[is_open] = TRUE () )
Full logic: KPI_LATEST_CALCULATIONS.md#business-referrals-currently-active</x:v>
      </x:c>
    </x:row>
    <x:row r="998" ht="85" customHeight="1">
      <x:c r="A998" s="25" t="str">
        <x:v>GOLD-KPI-042</x:v>
      </x:c>
      <x:c r="B998" s="25" t="str">
        <x:v>Referral and provider engagement</x:v>
      </x:c>
      <x:c r="C998" s="25" t="str">
        <x:v>Referrals Under Offer</x:v>
      </x:c>
      <x:c r="D998" s="25" t="str">
        <x:v>KPI-30</x:v>
      </x:c>
      <x:c r="E998" s="25" t="str">
        <x:v>R24, R36</x:v>
      </x:c>
      <x:c r="F998" s="25" t="str">
        <x:v>gold.fact_referral</x:v>
      </x:c>
      <x:c r="G998" s="25" t="str">
        <x:v>Latest saved definition; UAT pending</x:v>
      </x:c>
      <x:c r="H998" s="25" t="str">
        <x:v>Definition present in WIP _Measures. Reconcile against refreshed Gold and approved business rules.</x:v>
      </x:c>
      <x:c r="I998" s="25" t="str">
        <x:v>CALCULATE ( [Total Referrals], KEEPFILTERS ( 'fact_referral'[is_open] = TRUE () ), KEEPFILTERS ( 'fact_referral'[current_status] = "UNDER_OFFER" ) )
Full logic: KPI_LATEST_CALCULATIONS.md#business-referrals-under-offer</x:v>
      </x:c>
    </x:row>
    <x:row r="999" ht="163" customHeight="1">
      <x:c r="A999" s="25" t="str">
        <x:v>GOLD-KPI-043</x:v>
      </x:c>
      <x:c r="B999" s="25" t="str">
        <x:v>Referral and provider engagement</x:v>
      </x:c>
      <x:c r="C999" s="25" t="str">
        <x:v>Closed or Cancelled Referrals</x:v>
      </x:c>
      <x:c r="D999" s="25" t="str">
        <x:v>New Gold KPI</x:v>
      </x:c>
      <x:c r="E999" s="25" t="str">
        <x:v>—</x:v>
      </x:c>
      <x:c r="F999" s="25" t="str">
        <x:v>gold.fact_referral</x:v>
      </x:c>
      <x:c r="G999" s="25" t="str">
        <x:v>Latest saved definition; UAT pending</x:v>
      </x:c>
      <x:c r="H999" s="25" t="str">
        <x:v>Definition present in WIP _Measures. Reconcile against refreshed Gold and approved business rules.</x:v>
      </x:c>
      <x:c r="I999" s="25" t="str">
        <x:v>CALCULATE (
			    [Total Referrals],
			    FILTER (
			        'fact_referral',
			        LOWER ( COALESCE ( 'fact_referral'[current_status], "" ) )
			            IN { "closed", "cancelled", "withdrawn", "completed" }
			    )
			)
Full logic: KPI_LATEST_CALCULATIONS.md#business-closed-or-cancelled-referrals</x:v>
      </x:c>
    </x:row>
    <x:row r="1000" ht="124" customHeight="1">
      <x:c r="A1000" s="25" t="str">
        <x:v>GOLD-KPI-044</x:v>
      </x:c>
      <x:c r="B1000" s="25" t="str">
        <x:v>Referral and provider engagement</x:v>
      </x:c>
      <x:c r="C1000" s="25" t="str">
        <x:v>Active Referrals With Provider Engagement</x:v>
      </x:c>
      <x:c r="D1000" s="25" t="str">
        <x:v>New Gold KPI</x:v>
      </x:c>
      <x:c r="E1000" s="25" t="str">
        <x:v>—</x:v>
      </x:c>
      <x:c r="F1000" s="25" t="str">
        <x:v>gold.fact_referral</x:v>
      </x:c>
      <x:c r="G1000" s="25" t="str">
        <x:v>Latest saved definition; UAT pending</x:v>
      </x:c>
      <x:c r="H1000" s="25" t="str">
        <x:v>Definition present in WIP _Measures. Reconcile against refreshed Gold and approved business rules.</x:v>
      </x:c>
      <x:c r="I1000" s="25" t="str">
        <x:v>CALCULATE (
				[Total Referrals],
				'fact_referral'[is_open] = TRUE (),
				'fact_referral'[has_provider_response] = TRUE ()
			)
Full logic: KPI_LATEST_CALCULATIONS.md#business-active-referrals-with-provider-engagement</x:v>
      </x:c>
    </x:row>
    <x:row r="1001" ht="59" customHeight="1">
      <x:c r="A1001" s="25" t="str">
        <x:v>GOLD-KPI-045</x:v>
      </x:c>
      <x:c r="B1001" s="25" t="str">
        <x:v>Referral and provider engagement</x:v>
      </x:c>
      <x:c r="C1001" s="25" t="str">
        <x:v>Active Referral Engagement Rate</x:v>
      </x:c>
      <x:c r="D1001" s="25" t="str">
        <x:v>New Gold KPI</x:v>
      </x:c>
      <x:c r="E1001" s="25" t="str">
        <x:v>—</x:v>
      </x:c>
      <x:c r="F1001" s="25" t="str">
        <x:v>gold.fact_referral</x:v>
      </x:c>
      <x:c r="G1001" s="25" t="str">
        <x:v>Latest saved definition; UAT pending</x:v>
      </x:c>
      <x:c r="H1001" s="25" t="str">
        <x:v>Definition present in WIP _Measures. Reconcile against refreshed Gold and approved business rules.</x:v>
      </x:c>
      <x:c r="I1001" s="25" t="str">
        <x:v>DIVIDE ( [Active Referrals With Provider Engagement], [Referrals Currently Active] )
Full logic: KPI_LATEST_CALCULATIONS.md#business-active-referral-engagement-rate</x:v>
      </x:c>
    </x:row>
    <x:row r="1002" ht="137" customHeight="1">
      <x:c r="A1002" s="25" t="str">
        <x:v>GOLD-KPI-046</x:v>
      </x:c>
      <x:c r="B1002" s="25" t="str">
        <x:v>Referral and provider engagement</x:v>
      </x:c>
      <x:c r="C1002" s="25" t="str">
        <x:v>Active Awaiting Offers With Engagement</x:v>
      </x:c>
      <x:c r="D1002" s="25" t="str">
        <x:v>New Gold KPI</x:v>
      </x:c>
      <x:c r="E1002" s="25" t="str">
        <x:v>—</x:v>
      </x:c>
      <x:c r="F1002" s="25" t="str">
        <x:v>gold.fact_referral</x:v>
      </x:c>
      <x:c r="G1002" s="25" t="str">
        <x:v>Latest saved definition; UAT pending</x:v>
      </x:c>
      <x:c r="H1002" s="25" t="str">
        <x:v>Definition present in WIP _Measures. Reconcile against refreshed Gold and approved business rules.</x:v>
      </x:c>
      <x:c r="I1002" s="25" t="str">
        <x:v>CALCULATE (
				[Total Referrals],
				'fact_referral'[is_open] = TRUE (),
				'fact_referral'[is_awaiting_offer] = TRUE (),
				'fact_referral'[has_provider_response] = TRUE ()
			)
Full logic: KPI_LATEST_CALCULATIONS.md#business-active-awaiting-offers-with-engagement</x:v>
      </x:c>
    </x:row>
    <x:row r="1003" ht="150" customHeight="1">
      <x:c r="A1003" s="25" t="str">
        <x:v>GOLD-KPI-047</x:v>
      </x:c>
      <x:c r="B1003" s="25" t="str">
        <x:v>Referral and provider engagement</x:v>
      </x:c>
      <x:c r="C1003" s="25" t="str">
        <x:v>Active Awaiting Offers Without Engagement</x:v>
      </x:c>
      <x:c r="D1003" s="25" t="str">
        <x:v>New Gold KPI</x:v>
      </x:c>
      <x:c r="E1003" s="25" t="str">
        <x:v>—</x:v>
      </x:c>
      <x:c r="F1003" s="25" t="str">
        <x:v>gold.fact_referral</x:v>
      </x:c>
      <x:c r="G1003" s="25" t="str">
        <x:v>Latest saved definition; UAT pending</x:v>
      </x:c>
      <x:c r="H1003" s="25" t="str">
        <x:v>Definition present in WIP _Measures. Reconcile against refreshed Gold and approved business rules.</x:v>
      </x:c>
      <x:c r="I1003" s="25" t="str">
        <x:v>CALCULATE (
				[Total Referrals],
				'fact_referral'[is_open] = TRUE (),
				'fact_referral'[is_awaiting_offer] = TRUE (),
				'fact_referral'[has_provider_response] = FALSE ()
			)
Full logic: KPI_LATEST_CALCULATIONS.md#business-active-awaiting-offers-without-engagement</x:v>
      </x:c>
    </x:row>
    <x:row r="1004" ht="85" customHeight="1">
      <x:c r="A1004" s="25" t="str">
        <x:v>GOLD-KPI-048</x:v>
      </x:c>
      <x:c r="B1004" s="25" t="str">
        <x:v>Referral and provider engagement</x:v>
      </x:c>
      <x:c r="C1004" s="25" t="str">
        <x:v>Emergency Referrals</x:v>
      </x:c>
      <x:c r="D1004" s="25" t="str">
        <x:v>KPI-91</x:v>
      </x:c>
      <x:c r="E1004" s="25" t="str">
        <x:v>R18, R57</x:v>
      </x:c>
      <x:c r="F1004" s="25" t="str">
        <x:v>gold.fact_referral</x:v>
      </x:c>
      <x:c r="G1004" s="25" t="str">
        <x:v>Latest saved definition; UAT pending</x:v>
      </x:c>
      <x:c r="H1004" s="25" t="str">
        <x:v>Same-day-date flag and active statuses; not an approved statutory emergency classification.</x:v>
      </x:c>
      <x:c r="I1004" s="25" t="str">
        <x:v>CALCULATE ( [Total Referrals], KEEPFILTERS ( 'fact_referral'[current_status] IN { "OPEN", "UNDER_OFFER" } ), KEEPFILTERS ( 'fact_referral'[is_emergency_placement] = TRUE () ) )
Full logic: KPI_LATEST_CALCULATIONS.md#business-emergency-referrals</x:v>
      </x:c>
    </x:row>
    <x:row r="1005" ht="176" customHeight="1">
      <x:c r="A1005" s="25" t="str">
        <x:v>GOLD-KPI-049</x:v>
      </x:c>
      <x:c r="B1005" s="25" t="str">
        <x:v>Referral and provider engagement</x:v>
      </x:c>
      <x:c r="C1005" s="25" t="str">
        <x:v>Planned Referrals</x:v>
      </x:c>
      <x:c r="D1005" s="25" t="str">
        <x:v>KPI-93</x:v>
      </x:c>
      <x:c r="E1005" s="25" t="str">
        <x:v>R57</x:v>
      </x:c>
      <x:c r="F1005" s="25" t="str">
        <x:v>gold.fact_referral</x:v>
      </x:c>
      <x:c r="G1005" s="25" t="str">
        <x:v>Latest saved definition; UAT pending</x:v>
      </x:c>
      <x:c r="H1005" s="25" t="str">
        <x:v>Different-date rule; missing dates excluded and reversed dates require review.</x:v>
      </x:c>
      <x:c r="I1005" s="25" t="str">
        <x:v>CALCULATE (
			    [Total Referrals], KEEPFILTERS ( 'fact_referral'[current_status] IN { "OPEN", "UNDER_OFFER" } ),
			    KEEPFILTERS ( FILTER ( 'fact_referral', NOT ISBLANK ( 'fact_referral'[referral_created_date] ) &amp;&amp; NOT ISBLANK ( 'fact_referral'[required_placement_date] ) &amp;&amp; 'fact_referral'[is_emergency_placement] = FALSE () ) )
			)
Full logic: KPI_LATEST_CALCULATIONS.md#business-planned-referrals</x:v>
      </x:c>
    </x:row>
    <x:row r="1006" ht="59" customHeight="1">
      <x:c r="A1006" s="25" t="str">
        <x:v>GOLD-KPI-050</x:v>
      </x:c>
      <x:c r="B1006" s="25" t="str">
        <x:v>Referral and provider engagement</x:v>
      </x:c>
      <x:c r="C1006" s="25" t="str">
        <x:v>Emergency Placement Rate</x:v>
      </x:c>
      <x:c r="D1006" s="25" t="str">
        <x:v>KPI-92</x:v>
      </x:c>
      <x:c r="E1006" s="25" t="str">
        <x:v>R18, R57</x:v>
      </x:c>
      <x:c r="F1006" s="25" t="str">
        <x:v>gold.fact_referral</x:v>
      </x:c>
      <x:c r="G1006" s="25" t="str">
        <x:v>Latest saved definition; UAT pending</x:v>
      </x:c>
      <x:c r="H1006" s="25" t="str">
        <x:v>Emergency-referral numerator divided by all selected referrals; not actual placement completion.</x:v>
      </x:c>
      <x:c r="I1006" s="25" t="str">
        <x:v>DIVIDE ( [Emergency Referrals], [Total Referrals] )
Full logic: KPI_LATEST_CALCULATIONS.md#business-emergency-placement-rate</x:v>
      </x:c>
    </x:row>
    <x:row r="1007" ht="72" customHeight="1">
      <x:c r="A1007" s="25" t="str">
        <x:v>GOLD-KPI-051</x:v>
      </x:c>
      <x:c r="B1007" s="25" t="str">
        <x:v>Provider engagement</x:v>
      </x:c>
      <x:c r="C1007" s="25" t="str">
        <x:v>Referrals With Multiple Provider Assignments</x:v>
      </x:c>
      <x:c r="D1007" s="25" t="str">
        <x:v>KPI-90</x:v>
      </x:c>
      <x:c r="E1007" s="25" t="str">
        <x:v>R24, R26 (proposed)</x:v>
      </x:c>
      <x:c r="F1007" s="25" t="str">
        <x:v>gold.fact_referral</x:v>
      </x:c>
      <x:c r="G1007" s="25" t="str">
        <x:v>Latest saved definition; UAT pending</x:v>
      </x:c>
      <x:c r="H1007" s="25" t="str">
        <x:v>Assignment overlap only; unrelated to out-of-region placement.</x:v>
      </x:c>
      <x:c r="I1007" s="25" t="str">
        <x:v>CALCULATE ( [Total Referrals], 'fact_referral'[provider_assignment_count] &gt; 1 )
Full logic: KPI_LATEST_CALCULATIONS.md#business-referrals-with-multiple-provider-assignments</x:v>
      </x:c>
    </x:row>
    <x:row r="1008" ht="124" customHeight="1">
      <x:c r="A1008" s="25" t="str">
        <x:v>GOLD-KPI-052</x:v>
      </x:c>
      <x:c r="B1008" s="25" t="str">
        <x:v>Offer portfolio and ageing</x:v>
      </x:c>
      <x:c r="C1008" s="25" t="str">
        <x:v>Non-Draft Offers</x:v>
      </x:c>
      <x:c r="D1008" s="25" t="str">
        <x:v>New Gold KPI</x:v>
      </x:c>
      <x:c r="E1008" s="25" t="str">
        <x:v>—</x:v>
      </x:c>
      <x:c r="F1008" s="25" t="str">
        <x:v>gold.fact_offer</x:v>
      </x:c>
      <x:c r="G1008" s="25" t="str">
        <x:v>Latest saved definition; UAT pending</x:v>
      </x:c>
      <x:c r="H1008" s="25" t="str">
        <x:v>Definition present in WIP _Measures. Reconcile against refreshed Gold and approved business rules.</x:v>
      </x:c>
      <x:c r="I1008" s="25" t="str">
        <x:v>CALCULATE (
			    [Offers Submitted],
			    KEEPFILTERS ( FILTER ( 'fact_offer', NOT ISBLANK ( 'fact_offer'[offer_status] ) &amp;&amp; LOWER ( 'fact_offer'[offer_status] ) &lt;&gt; "draft" ) )
			)
Full logic: KPI_LATEST_CALCULATIONS.md#business-non-draft-offers</x:v>
      </x:c>
    </x:row>
    <x:row r="1009" ht="124" customHeight="1">
      <x:c r="A1009" s="25" t="str">
        <x:v>GOLD-KPI-053</x:v>
      </x:c>
      <x:c r="B1009" s="25" t="str">
        <x:v>Offer portfolio and ageing</x:v>
      </x:c>
      <x:c r="C1009" s="25" t="str">
        <x:v>Pending Offers</x:v>
      </x:c>
      <x:c r="D1009" s="25" t="str">
        <x:v>KPI-18</x:v>
      </x:c>
      <x:c r="E1009" s="25" t="str">
        <x:v>R24</x:v>
      </x:c>
      <x:c r="F1009" s="25" t="str">
        <x:v>gold.fact_offer</x:v>
      </x:c>
      <x:c r="G1009" s="25" t="str">
        <x:v>Latest saved definition; UAT pending</x:v>
      </x:c>
      <x:c r="H1009" s="25" t="str">
        <x:v>Definition present in WIP _Measures. Reconcile against refreshed Gold and approved business rules.</x:v>
      </x:c>
      <x:c r="I1009" s="25" t="str">
        <x:v>CALCULATE (
			    [Offers Submitted],
			    KEEPFILTERS ( FILTER ( 'fact_offer', LOWER ( COALESCE ( 'fact_offer'[offer_status], "" ) ) IN { "pending", "offer_made" } ) )
			)
Full logic: KPI_LATEST_CALCULATIONS.md#business-pending-offers</x:v>
      </x:c>
    </x:row>
    <x:row r="1010" ht="176" customHeight="1">
      <x:c r="A1010" s="25" t="str">
        <x:v>GOLD-KPI-054</x:v>
      </x:c>
      <x:c r="B1010" s="25" t="str">
        <x:v>Offer portfolio and ageing</x:v>
      </x:c>
      <x:c r="C1010" s="25" t="str">
        <x:v>Unsuccessful Offers</x:v>
      </x:c>
      <x:c r="D1010" s="25" t="str">
        <x:v>KPI-16</x:v>
      </x:c>
      <x:c r="E1010" s="25" t="str">
        <x:v>R28</x:v>
      </x:c>
      <x:c r="F1010" s="25" t="str">
        <x:v>gold.fact_offer</x:v>
      </x:c>
      <x:c r="G1010" s="25" t="str">
        <x:v>Latest saved definition; UAT pending</x:v>
      </x:c>
      <x:c r="H1010" s="25" t="str">
        <x:v>Definition present in WIP _Measures. Reconcile against refreshed Gold and approved business rules.</x:v>
      </x:c>
      <x:c r="I1010" s="25" t="str">
        <x:v>CALCULATE (
			    [Offers Submitted],
			    FILTER (
			        'fact_offer',
			        LOWER ( COALESCE ( 'fact_offer'[offer_status], "" ) )
			            IN { "declined", "rejected", "withdrawn", "offer_unsuccessful", "offer_withdrawn" }
			    )
			)
Full logic: KPI_LATEST_CALCULATIONS.md#business-unsuccessful-offers</x:v>
      </x:c>
    </x:row>
    <x:row r="1011" ht="98" customHeight="1">
      <x:c r="A1011" s="25" t="str">
        <x:v>GOLD-KPI-055</x:v>
      </x:c>
      <x:c r="B1011" s="25" t="str">
        <x:v>Offer portfolio and ageing</x:v>
      </x:c>
      <x:c r="C1011" s="25" t="str">
        <x:v>Offers With Recorded Rejection Reason</x:v>
      </x:c>
      <x:c r="D1011" s="25" t="str">
        <x:v>New Gold KPI</x:v>
      </x:c>
      <x:c r="E1011" s="25" t="str">
        <x:v>—</x:v>
      </x:c>
      <x:c r="F1011" s="25" t="str">
        <x:v>gold.fact_offer</x:v>
      </x:c>
      <x:c r="G1011" s="25" t="str">
        <x:v>Latest saved definition; UAT pending</x:v>
      </x:c>
      <x:c r="H1011" s="25" t="str">
        <x:v>Definition present in WIP _Measures. Reconcile against refreshed Gold and approved business rules.</x:v>
      </x:c>
      <x:c r="I1011" s="25" t="str">
        <x:v>CALCULATE (
			    [Offers Submitted],
			    FILTER ( 'fact_offer', NOT ISBLANK ( 'fact_offer'[rejection_reason] ) )
			)
Full logic: KPI_LATEST_CALCULATIONS.md#business-offers-with-recorded-rejection-reason</x:v>
      </x:c>
    </x:row>
    <x:row r="1012" ht="189" customHeight="1">
      <x:c r="A1012" s="25" t="str">
        <x:v>GOLD-KPI-056</x:v>
      </x:c>
      <x:c r="B1012" s="25" t="str">
        <x:v>Offer portfolio and ageing</x:v>
      </x:c>
      <x:c r="C1012" s="25" t="str">
        <x:v>Providers Who Made Offers</x:v>
      </x:c>
      <x:c r="D1012" s="25" t="str">
        <x:v>KPI-11</x:v>
      </x:c>
      <x:c r="E1012" s="25" t="str">
        <x:v>R25, R26</x:v>
      </x:c>
      <x:c r="F1012" s="25" t="str">
        <x:v>gold.fact_offer</x:v>
      </x:c>
      <x:c r="G1012" s="25" t="str">
        <x:v>Latest saved definition; UAT pending</x:v>
      </x:c>
      <x:c r="H1012" s="25" t="str">
        <x:v>Definition present in WIP _Measures. Reconcile against refreshed Gold and approved business rules.</x:v>
      </x:c>
      <x:c r="I1012" s="25" t="str">
        <x:v>CALCULATE (
			    DISTINCTCOUNT ( 'fact_offer'[provider_id] ),
			    FILTER (
			        'fact_offer',
			        NOT (
			            LOWER ( COALESCE ( 'fact_offer'[offer_status], "" ) )
			                IN { "draft", "withdrawn", "offer_withdrawn" }
			        )
			    ))
Full logic: KPI_LATEST_CALCULATIONS.md#business-providers-who-made-offers</x:v>
      </x:c>
    </x:row>
    <x:row r="1013" ht="59" customHeight="1">
      <x:c r="A1013" s="25" t="str">
        <x:v>GOLD-KPI-057</x:v>
      </x:c>
      <x:c r="B1013" s="25" t="str">
        <x:v>Offer portfolio and ageing</x:v>
      </x:c>
      <x:c r="C1013" s="25" t="str">
        <x:v>Average Offers per Provider</x:v>
      </x:c>
      <x:c r="D1013" s="25" t="str">
        <x:v>New Gold KPI</x:v>
      </x:c>
      <x:c r="E1013" s="25" t="str">
        <x:v>—</x:v>
      </x:c>
      <x:c r="F1013" s="25" t="str">
        <x:v>gold.fact_offer</x:v>
      </x:c>
      <x:c r="G1013" s="25" t="str">
        <x:v>Latest saved definition; UAT pending</x:v>
      </x:c>
      <x:c r="H1013" s="25" t="str">
        <x:v>Definition present in WIP _Measures. Reconcile against refreshed Gold and approved business rules.</x:v>
      </x:c>
      <x:c r="I1013" s="25" t="str">
        <x:v>DIVIDE ( [Non-Draft Offers], [Providers Who Made Offers] )
Full logic: KPI_LATEST_CALCULATIONS.md#business-average-offers-per-provider</x:v>
      </x:c>
    </x:row>
    <x:row r="1014" ht="189" customHeight="1">
      <x:c r="A1014" s="25" t="str">
        <x:v>GOLD-KPI-058</x:v>
      </x:c>
      <x:c r="B1014" s="25" t="str">
        <x:v>Offer portfolio and ageing</x:v>
      </x:c>
      <x:c r="C1014" s="25" t="str">
        <x:v>Average Offers per Referral Under Offer</x:v>
      </x:c>
      <x:c r="D1014" s="25" t="str">
        <x:v>New Gold KPI</x:v>
      </x:c>
      <x:c r="E1014" s="25" t="str">
        <x:v>—</x:v>
      </x:c>
      <x:c r="F1014" s="25" t="str">
        <x:v>gold.fact_offer; gold.fact_referral</x:v>
      </x:c>
      <x:c r="G1014" s="25" t="str">
        <x:v>Latest saved definition; UAT pending</x:v>
      </x:c>
      <x:c r="H1014" s="25" t="str">
        <x:v>Definition present in WIP _Measures. Reconcile against refreshed Gold and approved business rules.</x:v>
      </x:c>
      <x:c r="I1014" s="25" t="str">
        <x:v>DIVIDE (
			    CALCULATE (
			        [Non-Draft Offers],
			        FILTER (
			            'fact_referral',
			            'fact_referral'[is_open] = TRUE () &amp;&amp; 'fact_referral'[current_status] = "UNDER_OFFER"
			        )
			    ),
			    [Referrals Under Offer]
			)
Full logic: KPI_LATEST_CALCULATIONS.md#business-average-offers-per-referral-under-offer</x:v>
      </x:c>
    </x:row>
    <x:row r="1015" ht="150" customHeight="1">
      <x:c r="A1015" s="25" t="str">
        <x:v>GOLD-KPI-059</x:v>
      </x:c>
      <x:c r="B1015" s="25" t="str">
        <x:v>Offer portfolio and ageing</x:v>
      </x:c>
      <x:c r="C1015" s="25" t="str">
        <x:v>Offers on Referrals Under Offer</x:v>
      </x:c>
      <x:c r="D1015" s="25" t="str">
        <x:v>New Gold KPI</x:v>
      </x:c>
      <x:c r="E1015" s="25" t="str">
        <x:v>—</x:v>
      </x:c>
      <x:c r="F1015" s="25" t="str">
        <x:v>gold.fact_offer; gold.fact_referral</x:v>
      </x:c>
      <x:c r="G1015" s="25" t="str">
        <x:v>Latest saved definition; UAT pending</x:v>
      </x:c>
      <x:c r="H1015" s="25" t="str">
        <x:v>Definition present in WIP _Measures. Reconcile against refreshed Gold and approved business rules.</x:v>
      </x:c>
      <x:c r="I1015" s="25" t="str">
        <x:v>CALCULATE (
			    [Non-Draft Offers],
			    FILTER (
			        'fact_referral',
			        'fact_referral'[is_open] = TRUE () &amp;&amp; 'fact_referral'[current_status] = "UNDER_OFFER"
			    )
			)
Full logic: KPI_LATEST_CALCULATIONS.md#business-offers-on-referrals-under-offer</x:v>
      </x:c>
    </x:row>
    <x:row r="1016" ht="59" customHeight="1">
      <x:c r="A1016" s="25" t="str">
        <x:v>GOLD-KPI-060</x:v>
      </x:c>
      <x:c r="B1016" s="25" t="str">
        <x:v>Offer portfolio and ageing</x:v>
      </x:c>
      <x:c r="C1016" s="25" t="str">
        <x:v>Spot Offers</x:v>
      </x:c>
      <x:c r="D1016" s="25" t="str">
        <x:v>New Gold KPI</x:v>
      </x:c>
      <x:c r="E1016" s="25" t="str">
        <x:v>—</x:v>
      </x:c>
      <x:c r="F1016" s="25" t="str">
        <x:v>gold.dim_provider_home; gold.fact_offer</x:v>
      </x:c>
      <x:c r="G1016" s="25" t="str">
        <x:v>Latest saved definition; UAT pending</x:v>
      </x:c>
      <x:c r="H1016" s="25" t="str">
        <x:v>Definition present in WIP _Measures. Reconcile against refreshed Gold and approved business rules.</x:v>
      </x:c>
      <x:c r="I1016" s="25" t="str">
        <x:v>CALCULATE ( [Non-Draft Offers], 'dim_provider_home (offer)'[is_spot] = TRUE () )
Full logic: KPI_LATEST_CALCULATIONS.md#business-spot-offers</x:v>
      </x:c>
    </x:row>
    <x:row r="1017" ht="59" customHeight="1">
      <x:c r="A1017" s="25" t="str">
        <x:v>GOLD-KPI-061</x:v>
      </x:c>
      <x:c r="B1017" s="25" t="str">
        <x:v>Offer portfolio and ageing</x:v>
      </x:c>
      <x:c r="C1017" s="25" t="str">
        <x:v>Non-Spot Offers</x:v>
      </x:c>
      <x:c r="D1017" s="25" t="str">
        <x:v>New Gold KPI</x:v>
      </x:c>
      <x:c r="E1017" s="25" t="str">
        <x:v>—</x:v>
      </x:c>
      <x:c r="F1017" s="25" t="str">
        <x:v>gold.dim_provider_home; gold.fact_offer</x:v>
      </x:c>
      <x:c r="G1017" s="25" t="str">
        <x:v>Latest saved definition; UAT pending</x:v>
      </x:c>
      <x:c r="H1017" s="25" t="str">
        <x:v>Definition present in WIP _Measures. Reconcile against refreshed Gold and approved business rules.</x:v>
      </x:c>
      <x:c r="I1017" s="25" t="str">
        <x:v>CALCULATE ( [Non-Draft Offers], 'dim_provider_home (offer)'[is_spot] = FALSE () )
Full logic: KPI_LATEST_CALCULATIONS.md#business-non-spot-offers</x:v>
      </x:c>
    </x:row>
    <x:row r="1018" ht="46" customHeight="1">
      <x:c r="A1018" s="25" t="str">
        <x:v>GOLD-KPI-062</x:v>
      </x:c>
      <x:c r="B1018" s="25" t="str">
        <x:v>Offer portfolio and ageing</x:v>
      </x:c>
      <x:c r="C1018" s="25" t="str">
        <x:v>Spot Offer Rate</x:v>
      </x:c>
      <x:c r="D1018" s="25" t="str">
        <x:v>New Gold KPI</x:v>
      </x:c>
      <x:c r="E1018" s="25" t="str">
        <x:v>—</x:v>
      </x:c>
      <x:c r="F1018" s="25" t="str">
        <x:v>gold.dim_provider_home; gold.fact_offer</x:v>
      </x:c>
      <x:c r="G1018" s="25" t="str">
        <x:v>Latest saved definition; UAT pending</x:v>
      </x:c>
      <x:c r="H1018" s="25" t="str">
        <x:v>Definition present in WIP _Measures. Reconcile against refreshed Gold and approved business rules.</x:v>
      </x:c>
      <x:c r="I1018" s="25" t="str">
        <x:v>DIVIDE ( [Spot Offers], [Non-Draft Offers] )
Full logic: KPI_LATEST_CALCULATIONS.md#business-spot-offer-rate</x:v>
      </x:c>
    </x:row>
    <x:row r="1019" ht="72" customHeight="1">
      <x:c r="A1019" s="25" t="str">
        <x:v>GOLD-KPI-063</x:v>
      </x:c>
      <x:c r="B1019" s="25" t="str">
        <x:v>Offer portfolio and ageing</x:v>
      </x:c>
      <x:c r="C1019" s="25" t="str">
        <x:v>Draft Offers With No Activity Since Creation</x:v>
      </x:c>
      <x:c r="D1019" s="25" t="str">
        <x:v>New Gold KPI</x:v>
      </x:c>
      <x:c r="E1019" s="25" t="str">
        <x:v>—</x:v>
      </x:c>
      <x:c r="F1019" s="25" t="str">
        <x:v>gold.fact_offer</x:v>
      </x:c>
      <x:c r="G1019" s="25" t="str">
        <x:v>Latest saved definition; UAT pending</x:v>
      </x:c>
      <x:c r="H1019" s="25" t="str">
        <x:v>Definition present in WIP _Measures. Reconcile against refreshed Gold and approved business rules.</x:v>
      </x:c>
      <x:c r="I1019" s="25" t="str">
        <x:v>CALCULATE ( [Offers Submitted], 'fact_offer'[is_draft_no_activity] = TRUE () )
Full logic: KPI_LATEST_CALCULATIONS.md#business-draft-offers-with-no-activity-since-creation</x:v>
      </x:c>
    </x:row>
    <x:row r="1020" ht="137" customHeight="1">
      <x:c r="A1020" s="25" t="str">
        <x:v>GOLD-KPI-064</x:v>
      </x:c>
      <x:c r="B1020" s="25" t="str">
        <x:v>Offer portfolio and ageing</x:v>
      </x:c>
      <x:c r="C1020" s="25" t="str">
        <x:v>Draft Offers With Activity Since Creation</x:v>
      </x:c>
      <x:c r="D1020" s="25" t="str">
        <x:v>New Gold KPI</x:v>
      </x:c>
      <x:c r="E1020" s="25" t="str">
        <x:v>—</x:v>
      </x:c>
      <x:c r="F1020" s="25" t="str">
        <x:v>gold.fact_offer</x:v>
      </x:c>
      <x:c r="G1020" s="25" t="str">
        <x:v>Latest saved definition; UAT pending</x:v>
      </x:c>
      <x:c r="H1020" s="25" t="str">
        <x:v>Definition present in WIP _Measures. Reconcile against refreshed Gold and approved business rules.</x:v>
      </x:c>
      <x:c r="I1020" s="25" t="str">
        <x:v>CALCULATE (
			    [Offers in Draft],
			    KEEPFILTERS ( 'fact_offer'[is_draft_no_activity] = FALSE () ),
			    KEEPFILTERS ( 'fact_offer'[is_draft_missing_dates] = FALSE () )
			)
Full logic: KPI_LATEST_CALCULATIONS.md#business-draft-offers-with-activity-since-creation</x:v>
      </x:c>
    </x:row>
    <x:row r="1021" ht="59" customHeight="1">
      <x:c r="A1021" s="25" t="str">
        <x:v>GOLD-KPI-065</x:v>
      </x:c>
      <x:c r="B1021" s="25" t="str">
        <x:v>Offer portfolio and ageing</x:v>
      </x:c>
      <x:c r="C1021" s="25" t="str">
        <x:v>Draft Offers Missing Dates</x:v>
      </x:c>
      <x:c r="D1021" s="25" t="str">
        <x:v>New Gold KPI</x:v>
      </x:c>
      <x:c r="E1021" s="25" t="str">
        <x:v>—</x:v>
      </x:c>
      <x:c r="F1021" s="25" t="str">
        <x:v>gold.fact_offer</x:v>
      </x:c>
      <x:c r="G1021" s="25" t="str">
        <x:v>Latest saved definition; UAT pending</x:v>
      </x:c>
      <x:c r="H1021" s="25" t="str">
        <x:v>Definition present in WIP _Measures. Reconcile against refreshed Gold and approved business rules.</x:v>
      </x:c>
      <x:c r="I1021" s="25" t="str">
        <x:v>CALCULATE ( [Offers Submitted], 'fact_offer'[is_draft_missing_dates] = TRUE () )
Full logic: KPI_LATEST_CALCULATIONS.md#business-draft-offers-missing-dates</x:v>
      </x:c>
    </x:row>
    <x:row r="1022" ht="163" customHeight="1">
      <x:c r="A1022" s="25" t="str">
        <x:v>GOLD-KPI-066</x:v>
      </x:c>
      <x:c r="B1022" s="25" t="str">
        <x:v>Offer portfolio and ageing</x:v>
      </x:c>
      <x:c r="C1022" s="25" t="str">
        <x:v>Draft Offers Stalled 14+ Days</x:v>
      </x:c>
      <x:c r="D1022" s="25" t="str">
        <x:v>New Gold KPI</x:v>
      </x:c>
      <x:c r="E1022" s="25" t="str">
        <x:v>—</x:v>
      </x:c>
      <x:c r="F1022" s="25" t="str">
        <x:v>gold.fact_offer</x:v>
      </x:c>
      <x:c r="G1022" s="25" t="str">
        <x:v>Latest saved definition; UAT pending</x:v>
      </x:c>
      <x:c r="H1022" s="25" t="str">
        <x:v>Definition present in WIP _Measures. Reconcile against refreshed Gold and approved business rules.</x:v>
      </x:c>
      <x:c r="I1022" s="25" t="str">
        <x:v>CALCULATE (
				[Offers Submitted],
				FILTER (
					'fact_offer',
					LOWER ( COALESCE ( 'fact_offer'[offer_status], "" ) ) = "draft"
						&amp;&amp; 'fact_offer'[days_since_offer_activity] &gt;= 14
				)
			)
Full logic: KPI_LATEST_CALCULATIONS.md#business-draft-offers-stalled-14-days</x:v>
      </x:c>
    </x:row>
    <x:row r="1023" ht="163" customHeight="1">
      <x:c r="A1023" s="25" t="str">
        <x:v>GOLD-KPI-067</x:v>
      </x:c>
      <x:c r="B1023" s="25" t="str">
        <x:v>Offer portfolio and ageing</x:v>
      </x:c>
      <x:c r="C1023" s="25" t="str">
        <x:v>Average Days in Draft</x:v>
      </x:c>
      <x:c r="D1023" s="25" t="str">
        <x:v>New Gold KPI</x:v>
      </x:c>
      <x:c r="E1023" s="25" t="str">
        <x:v>—</x:v>
      </x:c>
      <x:c r="F1023" s="25" t="str">
        <x:v>gold.fact_offer</x:v>
      </x:c>
      <x:c r="G1023" s="25" t="str">
        <x:v>Latest saved definition; UAT pending</x:v>
      </x:c>
      <x:c r="H1023" s="25" t="str">
        <x:v>Definition present in WIP _Measures. Reconcile against refreshed Gold and approved business rules.</x:v>
      </x:c>
      <x:c r="I1023" s="25" t="str">
        <x:v>AVERAGEX (
				FILTER (
					'fact_offer',
					LOWER ( COALESCE ( 'fact_offer'[offer_status], "" ) ) = "draft"
						&amp;&amp; NOT ISBLANK ( 'fact_offer'[offer_age_days] )
				),
				'fact_offer'[offer_age_days]
			)
Full logic: KPI_LATEST_CALCULATIONS.md#business-average-days-in-draft</x:v>
      </x:c>
    </x:row>
    <x:row r="1024" ht="163" customHeight="1">
      <x:c r="A1024" s="25" t="str">
        <x:v>GOLD-KPI-068</x:v>
      </x:c>
      <x:c r="B1024" s="25" t="str">
        <x:v>Offer portfolio and ageing</x:v>
      </x:c>
      <x:c r="C1024" s="25" t="str">
        <x:v>Oldest Draft Age Days</x:v>
      </x:c>
      <x:c r="D1024" s="25" t="str">
        <x:v>New Gold KPI</x:v>
      </x:c>
      <x:c r="E1024" s="25" t="str">
        <x:v>—</x:v>
      </x:c>
      <x:c r="F1024" s="25" t="str">
        <x:v>gold.fact_offer</x:v>
      </x:c>
      <x:c r="G1024" s="25" t="str">
        <x:v>Latest saved definition; UAT pending</x:v>
      </x:c>
      <x:c r="H1024" s="25" t="str">
        <x:v>Definition present in WIP _Measures. Reconcile against refreshed Gold and approved business rules.</x:v>
      </x:c>
      <x:c r="I1024" s="25" t="str">
        <x:v>MAXX (
				FILTER (
					'fact_offer',
					LOWER ( COALESCE ( 'fact_offer'[offer_status], "" ) ) = "draft"
						&amp;&amp; NOT ISBLANK ( 'fact_offer'[offer_age_days] )
				),
				'fact_offer'[offer_age_days]
			)
Full logic: KPI_LATEST_CALCULATIONS.md#business-oldest-draft-age-days</x:v>
      </x:c>
    </x:row>
    <x:row r="1025" ht="59" customHeight="1">
      <x:c r="A1025" s="25" t="str">
        <x:v>GOLD-KPI-069</x:v>
      </x:c>
      <x:c r="B1025" s="25" t="str">
        <x:v>Offer portfolio and ageing</x:v>
      </x:c>
      <x:c r="C1025" s="25" t="str">
        <x:v>Draft Offers With No Activity %</x:v>
      </x:c>
      <x:c r="D1025" s="25" t="str">
        <x:v>New Gold KPI</x:v>
      </x:c>
      <x:c r="E1025" s="25" t="str">
        <x:v>—</x:v>
      </x:c>
      <x:c r="F1025" s="25" t="str">
        <x:v>gold.fact_offer</x:v>
      </x:c>
      <x:c r="G1025" s="25" t="str">
        <x:v>Latest saved definition; UAT pending</x:v>
      </x:c>
      <x:c r="H1025" s="25" t="str">
        <x:v>Definition present in WIP _Measures. Reconcile against refreshed Gold and approved business rules.</x:v>
      </x:c>
      <x:c r="I1025" s="25" t="str">
        <x:v>DIVIDE ( [Draft Offers With No Activity Since Creation], [Offers in Draft] )
Full logic: KPI_LATEST_CALCULATIONS.md#business-draft-offers-with-no-activity-percent</x:v>
      </x:c>
    </x:row>
    <x:row r="1026" ht="124" customHeight="1">
      <x:c r="A1026" s="25" t="str">
        <x:v>GOLD-KPI-070</x:v>
      </x:c>
      <x:c r="B1026" s="25" t="str">
        <x:v>Offer portfolio and ageing</x:v>
      </x:c>
      <x:c r="C1026" s="25" t="str">
        <x:v>Pending Offers 0-7 Days</x:v>
      </x:c>
      <x:c r="D1026" s="25" t="str">
        <x:v>New Gold KPI</x:v>
      </x:c>
      <x:c r="E1026" s="25" t="str">
        <x:v>—</x:v>
      </x:c>
      <x:c r="F1026" s="25" t="str">
        <x:v>gold.fact_offer</x:v>
      </x:c>
      <x:c r="G1026" s="25" t="str">
        <x:v>Latest saved definition; UAT pending</x:v>
      </x:c>
      <x:c r="H1026" s="25" t="str">
        <x:v>Definition present in WIP _Measures. Reconcile against refreshed Gold and approved business rules.</x:v>
      </x:c>
      <x:c r="I1026" s="25" t="str">
        <x:v>CALCULATE (
			    [Pending Offers],
			    KEEPFILTERS ( FILTER ( 'fact_offer', NOT ISBLANK ( 'fact_offer'[offer_age_days] ) &amp;&amp; 'fact_offer'[offer_age_days] &gt;= 0 &amp;&amp; 'fact_offer'[offer_age_days] &lt;= 7 ) )
			)
Full logic: KPI_LATEST_CALCULATIONS.md#business-pending-offers-0-7-days</x:v>
      </x:c>
    </x:row>
    <x:row r="1027" ht="124" customHeight="1">
      <x:c r="A1027" s="25" t="str">
        <x:v>GOLD-KPI-071</x:v>
      </x:c>
      <x:c r="B1027" s="25" t="str">
        <x:v>Offer portfolio and ageing</x:v>
      </x:c>
      <x:c r="C1027" s="25" t="str">
        <x:v>Pending Offers 8-14 Days</x:v>
      </x:c>
      <x:c r="D1027" s="25" t="str">
        <x:v>New Gold KPI</x:v>
      </x:c>
      <x:c r="E1027" s="25" t="str">
        <x:v>—</x:v>
      </x:c>
      <x:c r="F1027" s="25" t="str">
        <x:v>gold.fact_offer</x:v>
      </x:c>
      <x:c r="G1027" s="25" t="str">
        <x:v>Latest saved definition; UAT pending</x:v>
      </x:c>
      <x:c r="H1027" s="25" t="str">
        <x:v>Definition present in WIP _Measures. Reconcile against refreshed Gold and approved business rules.</x:v>
      </x:c>
      <x:c r="I1027" s="25" t="str">
        <x:v>CALCULATE (
			    [Pending Offers],
			    KEEPFILTERS ( FILTER ( 'fact_offer', NOT ISBLANK ( 'fact_offer'[offer_age_days] ) &amp;&amp; 'fact_offer'[offer_age_days] &gt;= 8 &amp;&amp; 'fact_offer'[offer_age_days] &lt;= 14 ) )
			)
Full logic: KPI_LATEST_CALCULATIONS.md#business-pending-offers-8-14-days</x:v>
      </x:c>
    </x:row>
    <x:row r="1028" ht="124" customHeight="1">
      <x:c r="A1028" s="25" t="str">
        <x:v>GOLD-KPI-072</x:v>
      </x:c>
      <x:c r="B1028" s="25" t="str">
        <x:v>Offer portfolio and ageing</x:v>
      </x:c>
      <x:c r="C1028" s="25" t="str">
        <x:v>Pending Offers 15-29 Days</x:v>
      </x:c>
      <x:c r="D1028" s="25" t="str">
        <x:v>New Gold KPI</x:v>
      </x:c>
      <x:c r="E1028" s="25" t="str">
        <x:v>—</x:v>
      </x:c>
      <x:c r="F1028" s="25" t="str">
        <x:v>gold.fact_offer</x:v>
      </x:c>
      <x:c r="G1028" s="25" t="str">
        <x:v>Latest saved definition; UAT pending</x:v>
      </x:c>
      <x:c r="H1028" s="25" t="str">
        <x:v>Definition present in WIP _Measures. Reconcile against refreshed Gold and approved business rules.</x:v>
      </x:c>
      <x:c r="I1028" s="25" t="str">
        <x:v>CALCULATE (
			    [Pending Offers],
			    KEEPFILTERS ( FILTER ( 'fact_offer', NOT ISBLANK ( 'fact_offer'[offer_age_days] ) &amp;&amp; 'fact_offer'[offer_age_days] &gt;= 15 &amp;&amp; 'fact_offer'[offer_age_days] &lt;= 29 ) )
			)
Full logic: KPI_LATEST_CALCULATIONS.md#business-pending-offers-15-29-days</x:v>
      </x:c>
    </x:row>
    <x:row r="1029" ht="124" customHeight="1">
      <x:c r="A1029" s="25" t="str">
        <x:v>GOLD-KPI-073</x:v>
      </x:c>
      <x:c r="B1029" s="25" t="str">
        <x:v>Offer portfolio and ageing</x:v>
      </x:c>
      <x:c r="C1029" s="25" t="str">
        <x:v>Pending Offers 30+ Days</x:v>
      </x:c>
      <x:c r="D1029" s="25" t="str">
        <x:v>New Gold KPI</x:v>
      </x:c>
      <x:c r="E1029" s="25" t="str">
        <x:v>—</x:v>
      </x:c>
      <x:c r="F1029" s="25" t="str">
        <x:v>gold.fact_offer</x:v>
      </x:c>
      <x:c r="G1029" s="25" t="str">
        <x:v>Latest saved definition; UAT pending</x:v>
      </x:c>
      <x:c r="H1029" s="25" t="str">
        <x:v>Definition present in WIP _Measures. Reconcile against refreshed Gold and approved business rules.</x:v>
      </x:c>
      <x:c r="I1029" s="25" t="str">
        <x:v>CALCULATE (
			    [Pending Offers],
			    KEEPFILTERS ( FILTER ( 'fact_offer', NOT ISBLANK ( 'fact_offer'[offer_age_days] ) &amp;&amp; 'fact_offer'[offer_age_days] &gt;= 30 ) )
			)
Full logic: KPI_LATEST_CALCULATIONS.md#business-pending-offers-30-days</x:v>
      </x:c>
    </x:row>
    <x:row r="1030" ht="137" customHeight="1">
      <x:c r="A1030" s="25" t="str">
        <x:v>GOLD-KPI-074</x:v>
      </x:c>
      <x:c r="B1030" s="25" t="str">
        <x:v>Offer portfolio and ageing</x:v>
      </x:c>
      <x:c r="C1030" s="25" t="str">
        <x:v>Providers With Pending Offers 30+ Days</x:v>
      </x:c>
      <x:c r="D1030" s="25" t="str">
        <x:v>New Gold KPI</x:v>
      </x:c>
      <x:c r="E1030" s="25" t="str">
        <x:v>—</x:v>
      </x:c>
      <x:c r="F1030" s="25" t="str">
        <x:v>gold.fact_offer</x:v>
      </x:c>
      <x:c r="G1030" s="25" t="str">
        <x:v>Latest saved definition; UAT pending</x:v>
      </x:c>
      <x:c r="H1030" s="25" t="str">
        <x:v>Definition present in WIP _Measures. Reconcile against refreshed Gold and approved business rules.</x:v>
      </x:c>
      <x:c r="I1030" s="25" t="str">
        <x:v>CALCULATE (
			    DISTINCTCOUNT ( 'fact_offer'[provider_id] ),
			    KEEPFILTERS ( FILTER ( 'fact_offer', LOWER ( COALESCE ( 'fact_offer'[offer_status], "" ) ) IN { "pending", "offer_made" } &amp;&amp; 'fact_offer'[offer_age_days] &gt;= 30 ) )
			)
Full logic: KPI_LATEST_CALCULATIONS.md#business-providers-with-pending-offers-30-days</x:v>
      </x:c>
    </x:row>
    <x:row r="1031" ht="46" customHeight="1">
      <x:c r="A1031" s="25" t="str">
        <x:v>GOLD-KPI-075</x:v>
      </x:c>
      <x:c r="B1031" s="25" t="str">
        <x:v>Offer portfolio and ageing</x:v>
      </x:c>
      <x:c r="C1031" s="25" t="str">
        <x:v>Latest Offer Source Export</x:v>
      </x:c>
      <x:c r="D1031" s="25" t="str">
        <x:v>New Gold KPI</x:v>
      </x:c>
      <x:c r="E1031" s="25" t="str">
        <x:v>—</x:v>
      </x:c>
      <x:c r="F1031" s="25" t="str">
        <x:v>gold.fact_offer</x:v>
      </x:c>
      <x:c r="G1031" s="25" t="str">
        <x:v>Latest saved definition; UAT pending</x:v>
      </x:c>
      <x:c r="H1031" s="25" t="str">
        <x:v>Definition present in WIP _Measures. Reconcile against refreshed Gold and approved business rules.</x:v>
      </x:c>
      <x:c r="I1031" s="25" t="str">
        <x:v>MAX ( 'fact_offer'[source_export_date] )
Full logic: KPI_LATEST_CALCULATIONS.md#business-latest-offer-source-export</x:v>
      </x:c>
    </x:row>
    <x:row r="1032" ht="150" customHeight="1">
      <x:c r="A1032" s="25" t="str">
        <x:v>GOLD-KPI-076</x:v>
      </x:c>
      <x:c r="B1032" s="25" t="str">
        <x:v>Provider, framework and documents</x:v>
      </x:c>
      <x:c r="C1032" s="25" t="str">
        <x:v>Provider Homes Registered</x:v>
      </x:c>
      <x:c r="D1032" s="25" t="str">
        <x:v>KPI-40</x:v>
      </x:c>
      <x:c r="E1032" s="25" t="str">
        <x:v>R91, R93</x:v>
      </x:c>
      <x:c r="F1032" s="25" t="str">
        <x:v>gold.dim_provider; gold.dim_provider_home</x:v>
      </x:c>
      <x:c r="G1032" s="25" t="str">
        <x:v>Latest saved definition; UAT pending</x:v>
      </x:c>
      <x:c r="H1032" s="25" t="str">
        <x:v>Definition present in WIP _Measures. Reconcile against refreshed Gold and approved business rules.</x:v>
      </x:c>
      <x:c r="I1032" s="25" t="str">
        <x:v>IF ( ISFILTERED ( 'dim_provider' ),
			    CALCULATE ( DISTINCTCOUNT ( 'dim_provider_home'[provider_home_id] ), KEEPFILTERS ( TREATAS ( VALUES ( 'dim_provider'[provider_id] ), 'dim_provider_home'[provider_id] ) ) ),
			    DISTINCTCOUNT ( 'dim_provider_home'[provider_home_id] )
			)
Full logic: KPI_LATEST_CALCULATIONS.md#business-provider-homes-registered</x:v>
      </x:c>
    </x:row>
    <x:row r="1033" ht="46" customHeight="1">
      <x:c r="A1033" s="25" t="str">
        <x:v>GOLD-KPI-077</x:v>
      </x:c>
      <x:c r="B1033" s="25" t="str">
        <x:v>Provider, framework and documents</x:v>
      </x:c>
      <x:c r="C1033" s="25" t="str">
        <x:v>Providers Registered</x:v>
      </x:c>
      <x:c r="D1033" s="25" t="str">
        <x:v>KPI-41</x:v>
      </x:c>
      <x:c r="E1033" s="25" t="str">
        <x:v>R91, R93</x:v>
      </x:c>
      <x:c r="F1033" s="25" t="str">
        <x:v>gold.dim_provider</x:v>
      </x:c>
      <x:c r="G1033" s="25" t="str">
        <x:v>Latest saved definition; UAT pending</x:v>
      </x:c>
      <x:c r="H1033" s="25" t="str">
        <x:v>Definition present in WIP _Measures. Reconcile against refreshed Gold and approved business rules.</x:v>
      </x:c>
      <x:c r="I1033" s="25" t="str">
        <x:v>DISTINCTCOUNT(dim_provider[provider_id])
Full logic: KPI_LATEST_CALCULATIONS.md#business-providers-registered</x:v>
      </x:c>
    </x:row>
    <x:row r="1034" ht="215" customHeight="1">
      <x:c r="A1034" s="25" t="str">
        <x:v>GOLD-KPI-078</x:v>
      </x:c>
      <x:c r="B1034" s="25" t="str">
        <x:v>Provider, framework and documents</x:v>
      </x:c>
      <x:c r="C1034" s="25" t="str">
        <x:v>Providers - Fostering</x:v>
      </x:c>
      <x:c r="D1034" s="25" t="str">
        <x:v>New Gold KPI</x:v>
      </x:c>
      <x:c r="E1034" s="25" t="str">
        <x:v>—</x:v>
      </x:c>
      <x:c r="F1034" s="25" t="str">
        <x:v>gold.bridge_provider_framework; gold.dim_framework; gold.dim_provider; gold.dim_provider_home</x:v>
      </x:c>
      <x:c r="G1034" s="25" t="str">
        <x:v>Latest saved definition; UAT pending</x:v>
      </x:c>
      <x:c r="H1034" s="25" t="str">
        <x:v>Definition present in WIP _Measures. Reconcile against refreshed Gold and approved business rules.</x:v>
      </x:c>
      <x:c r="I1034" s="25" t="str">
        <x:v>VAR framework_providers = CALCULATETABLE ( VALUES ( 'bridge_provider_framework'[provider_id] ), FILTER ( 'dim_framework', LOWER ( 'dim_framework'[placement_type] ) IN { "fostering", "plcm-fost" } ) )
			VAR home_providers = CALCULATETABLE ( VALUES ( 'dim_provider_home'[provider_id] ), FILTER ( 'dim_provider_home', LOWER ( 'dim_provider_home'[service_type] ) IN { "fostering", "plcm-fost" } ) )
			RETURN CALCULATE ( [Providers Registered], KEEPFILTERS ( TREATAS ( DISTINCT ( UNION ( framework_providers, home_providers ) ), 'dim_provider'[provider_id] ) ) )
Full logic: KPI_LATEST_CALCULATIONS.md#business-providers-fostering</x:v>
      </x:c>
    </x:row>
    <x:row r="1035" ht="111" customHeight="1">
      <x:c r="A1035" s="25" t="str">
        <x:v>GOLD-KPI-079</x:v>
      </x:c>
      <x:c r="B1035" s="25" t="str">
        <x:v>Provider, framework and documents</x:v>
      </x:c>
      <x:c r="C1035" s="25" t="str">
        <x:v>Providers - Residential</x:v>
      </x:c>
      <x:c r="D1035" s="25" t="str">
        <x:v>New Gold KPI</x:v>
      </x:c>
      <x:c r="E1035" s="25" t="str">
        <x:v>—</x:v>
      </x:c>
      <x:c r="F1035" s="25" t="str">
        <x:v>gold.dim_provider_home</x:v>
      </x:c>
      <x:c r="G1035" s="25" t="str">
        <x:v>Latest saved definition; UAT pending</x:v>
      </x:c>
      <x:c r="H1035" s="25" t="str">
        <x:v>Definition present in WIP _Measures. Reconcile against refreshed Gold and approved business rules.</x:v>
      </x:c>
      <x:c r="I1035" s="25" t="str">
        <x:v>CALCULATE (
			    DISTINCTCOUNT ( 'dim_provider_home'[provider_id] ),
			    'dim_provider_home'[service_type] = "Residential"
			)
Full logic: KPI_LATEST_CALCULATIONS.md#business-providers-residential</x:v>
      </x:c>
    </x:row>
    <x:row r="1036" ht="111" customHeight="1">
      <x:c r="A1036" s="25" t="str">
        <x:v>GOLD-KPI-080</x:v>
      </x:c>
      <x:c r="B1036" s="25" t="str">
        <x:v>Provider, framework and documents</x:v>
      </x:c>
      <x:c r="C1036" s="25" t="str">
        <x:v>Providers - Supported Accommodation</x:v>
      </x:c>
      <x:c r="D1036" s="25" t="str">
        <x:v>New Gold KPI</x:v>
      </x:c>
      <x:c r="E1036" s="25" t="str">
        <x:v>—</x:v>
      </x:c>
      <x:c r="F1036" s="25" t="str">
        <x:v>gold.dim_provider_home</x:v>
      </x:c>
      <x:c r="G1036" s="25" t="str">
        <x:v>Latest saved definition; UAT pending</x:v>
      </x:c>
      <x:c r="H1036" s="25" t="str">
        <x:v>Definition present in WIP _Measures. Reconcile against refreshed Gold and approved business rules.</x:v>
      </x:c>
      <x:c r="I1036" s="25" t="str">
        <x:v>CALCULATE (
			    DISTINCTCOUNT ( 'dim_provider_home'[provider_id] ),
			    'dim_provider_home'[service_type] = "Supported Accommodation"
			)
Full logic: KPI_LATEST_CALCULATIONS.md#business-providers-supported-accommodation</x:v>
      </x:c>
    </x:row>
    <x:row r="1037" ht="72" customHeight="1">
      <x:c r="A1037" s="25" t="str">
        <x:v>GOLD-KPI-081</x:v>
      </x:c>
      <x:c r="B1037" s="25" t="str">
        <x:v>Provider, framework and documents</x:v>
      </x:c>
      <x:c r="C1037" s="25" t="str">
        <x:v>Residential Homes</x:v>
      </x:c>
      <x:c r="D1037" s="25" t="str">
        <x:v>New Gold KPI</x:v>
      </x:c>
      <x:c r="E1037" s="25" t="str">
        <x:v>—</x:v>
      </x:c>
      <x:c r="F1037" s="25" t="str">
        <x:v>gold.dim_provider; gold.dim_provider_home</x:v>
      </x:c>
      <x:c r="G1037" s="25" t="str">
        <x:v>Latest saved definition; UAT pending</x:v>
      </x:c>
      <x:c r="H1037" s="25" t="str">
        <x:v>Definition present in WIP _Measures. Reconcile against refreshed Gold and approved business rules.</x:v>
      </x:c>
      <x:c r="I1037" s="25" t="str">
        <x:v>CALCULATE ( [Provider Homes Registered], 'dim_provider_home'[service_type] = "Residential" )
Full logic: KPI_LATEST_CALCULATIONS.md#business-residential-homes</x:v>
      </x:c>
    </x:row>
    <x:row r="1038" ht="98" customHeight="1">
      <x:c r="A1038" s="25" t="str">
        <x:v>GOLD-KPI-082</x:v>
      </x:c>
      <x:c r="B1038" s="25" t="str">
        <x:v>Provider, framework and documents</x:v>
      </x:c>
      <x:c r="C1038" s="25" t="str">
        <x:v>Supported Accommodation Homes</x:v>
      </x:c>
      <x:c r="D1038" s="25" t="str">
        <x:v>New Gold KPI</x:v>
      </x:c>
      <x:c r="E1038" s="25" t="str">
        <x:v>—</x:v>
      </x:c>
      <x:c r="F1038" s="25" t="str">
        <x:v>gold.dim_provider; gold.dim_provider_home</x:v>
      </x:c>
      <x:c r="G1038" s="25" t="str">
        <x:v>Latest saved definition; UAT pending</x:v>
      </x:c>
      <x:c r="H1038" s="25" t="str">
        <x:v>Definition present in WIP _Measures. Reconcile against refreshed Gold and approved business rules.</x:v>
      </x:c>
      <x:c r="I1038" s="25" t="str">
        <x:v>CALCULATE (
			    [Provider Homes Registered],
			    'dim_provider_home'[service_type] = "Supported Accommodation"
			)
Full logic: KPI_LATEST_CALCULATIONS.md#business-supported-accommodation-homes</x:v>
      </x:c>
    </x:row>
    <x:row r="1039" ht="72" customHeight="1">
      <x:c r="A1039" s="25" t="str">
        <x:v>GOLD-KPI-083</x:v>
      </x:c>
      <x:c r="B1039" s="25" t="str">
        <x:v>Provider, framework and documents</x:v>
      </x:c>
      <x:c r="C1039" s="25" t="str">
        <x:v>Fostering Homes</x:v>
      </x:c>
      <x:c r="D1039" s="25" t="str">
        <x:v>New Gold KPI</x:v>
      </x:c>
      <x:c r="E1039" s="25" t="str">
        <x:v>—</x:v>
      </x:c>
      <x:c r="F1039" s="25" t="str">
        <x:v>gold.dim_provider; gold.dim_provider_home</x:v>
      </x:c>
      <x:c r="G1039" s="25" t="str">
        <x:v>Latest saved definition; UAT pending</x:v>
      </x:c>
      <x:c r="H1039" s="25" t="str">
        <x:v>Definition present in WIP _Measures. Reconcile against refreshed Gold and approved business rules.</x:v>
      </x:c>
      <x:c r="I1039" s="25" t="str">
        <x:v>CALCULATE ( [Provider Homes Registered], 'dim_provider_home'[service_type] = "Fostering" )
Full logic: KPI_LATEST_CALCULATIONS.md#business-fostering-homes</x:v>
      </x:c>
    </x:row>
    <x:row r="1040" ht="59" customHeight="1">
      <x:c r="A1040" s="25" t="str">
        <x:v>GOLD-KPI-084</x:v>
      </x:c>
      <x:c r="B1040" s="25" t="str">
        <x:v>Provider, framework and documents</x:v>
      </x:c>
      <x:c r="C1040" s="25" t="str">
        <x:v>Framework Providers</x:v>
      </x:c>
      <x:c r="D1040" s="25" t="str">
        <x:v>KPI-45</x:v>
      </x:c>
      <x:c r="E1040" s="25" t="str">
        <x:v>R67</x:v>
      </x:c>
      <x:c r="F1040" s="25" t="str">
        <x:v>gold.bridge_provider_framework</x:v>
      </x:c>
      <x:c r="G1040" s="25" t="str">
        <x:v>Latest saved definition; UAT pending</x:v>
      </x:c>
      <x:c r="H1040" s="25" t="str">
        <x:v>Definition present in WIP _Measures. Reconcile against refreshed Gold and approved business rules.</x:v>
      </x:c>
      <x:c r="I1040" s="25" t="str">
        <x:v>DISTINCTCOUNT(bridge_provider_framework[provider_id])
Full logic: KPI_LATEST_CALCULATIONS.md#business-framework-providers</x:v>
      </x:c>
    </x:row>
    <x:row r="1041" ht="137" customHeight="1">
      <x:c r="A1041" s="25" t="str">
        <x:v>GOLD-KPI-085</x:v>
      </x:c>
      <x:c r="B1041" s="25" t="str">
        <x:v>Provider, framework and documents</x:v>
      </x:c>
      <x:c r="C1041" s="25" t="str">
        <x:v>Non-Framework Providers</x:v>
      </x:c>
      <x:c r="D1041" s="25" t="str">
        <x:v>KPI-46</x:v>
      </x:c>
      <x:c r="E1041" s="25" t="str">
        <x:v>R46</x:v>
      </x:c>
      <x:c r="F1041" s="25" t="str">
        <x:v>gold.bridge_provider_framework; gold.dim_provider</x:v>
      </x:c>
      <x:c r="G1041" s="25" t="str">
        <x:v>Latest saved definition; UAT pending</x:v>
      </x:c>
      <x:c r="H1041" s="25" t="str">
        <x:v>Definition present in WIP _Measures. Reconcile against refreshed Gold and approved business rules.</x:v>
      </x:c>
      <x:c r="I1041" s="25" t="str">
        <x:v>COUNTROWS (
			    EXCEPT (
			        VALUES ( 'dim_provider'[provider_id] ),
			        VALUES ( 'bridge_provider_framework'[provider_id] )
			    )
			)
Full logic: KPI_LATEST_CALCULATIONS.md#business-non-framework-providers</x:v>
      </x:c>
    </x:row>
    <x:row r="1042" ht="59" customHeight="1">
      <x:c r="A1042" s="25" t="str">
        <x:v>GOLD-KPI-086</x:v>
      </x:c>
      <x:c r="B1042" s="25" t="str">
        <x:v>Provider, framework and documents</x:v>
      </x:c>
      <x:c r="C1042" s="25" t="str">
        <x:v>Providers With QA Flags</x:v>
      </x:c>
      <x:c r="D1042" s="25" t="str">
        <x:v>KPI-97</x:v>
      </x:c>
      <x:c r="E1042" s="25" t="str">
        <x:v>R41</x:v>
      </x:c>
      <x:c r="F1042" s="25" t="str">
        <x:v>gold.dim_provider</x:v>
      </x:c>
      <x:c r="G1042" s="25" t="str">
        <x:v>Latest saved definition; UAT pending</x:v>
      </x:c>
      <x:c r="H1042" s="25" t="str">
        <x:v>Definition present in WIP _Measures. Reconcile against refreshed Gold and approved business rules.</x:v>
      </x:c>
      <x:c r="I1042" s="25" t="str">
        <x:v>CALCULATE ( [Providers Registered], KEEPFILTERS ( 'dim_provider'[qa_flag] = TRUE () ) )
Full logic: KPI_LATEST_CALCULATIONS.md#business-providers-with-qa-flags</x:v>
      </x:c>
    </x:row>
    <x:row r="1043" ht="241" customHeight="1">
      <x:c r="A1043" s="25" t="str">
        <x:v>GOLD-KPI-087</x:v>
      </x:c>
      <x:c r="B1043" s="25" t="str">
        <x:v>Provider, framework and documents</x:v>
      </x:c>
      <x:c r="C1043" s="25" t="str">
        <x:v>QA Flagged Homes</x:v>
      </x:c>
      <x:c r="D1043" s="25" t="str">
        <x:v>New Gold KPI</x:v>
      </x:c>
      <x:c r="E1043" s="25" t="str">
        <x:v>—</x:v>
      </x:c>
      <x:c r="F1043" s="25" t="str">
        <x:v>gold.dim_provider; gold.dim_provider_home</x:v>
      </x:c>
      <x:c r="G1043" s="25" t="str">
        <x:v>Latest saved definition; UAT pending</x:v>
      </x:c>
      <x:c r="H1043" s="25" t="str">
        <x:v>Definition present in WIP _Measures. Reconcile against refreshed Gold and approved business rules.</x:v>
      </x:c>
      <x:c r="I1043" s="25" t="str">
        <x:v>VAR flagged_providers = CALCULATETABLE ( VALUES ( 'dim_provider'[provider_id] ), 'dim_provider'[qa_flag] = TRUE () )
			VAR selected_providers = VALUES ( 'dim_provider'[provider_id] )
			RETURN
			    CALCULATE (
			        [Provider Homes Registered],
			        KEEPFILTERS ( TREATAS ( selected_providers, 'dim_provider_home'[provider_id] ) ),
			        KEEPFILTERS ( FILTER ( 'dim_provider_home', 'dim_provider_home'[qa_flag] = TRUE () || 'dim_provider_home'[provider_id] IN flagged_providers ) )
			    )
Full logic: KPI_LATEST_CALCULATIONS.md#business-qa-flagged-homes</x:v>
      </x:c>
    </x:row>
    <x:row r="1044" ht="111" customHeight="1">
      <x:c r="A1044" s="25" t="str">
        <x:v>GOLD-KPI-088</x:v>
      </x:c>
      <x:c r="B1044" s="25" t="str">
        <x:v>Provider, framework and documents</x:v>
      </x:c>
      <x:c r="C1044" s="25" t="str">
        <x:v>Providers Pending Onboarding</x:v>
      </x:c>
      <x:c r="D1044" s="25" t="str">
        <x:v>KPI-116</x:v>
      </x:c>
      <x:c r="E1044" s="25" t="str">
        <x:v>R59</x:v>
      </x:c>
      <x:c r="F1044" s="25" t="str">
        <x:v>gold.dim_provider</x:v>
      </x:c>
      <x:c r="G1044" s="25" t="str">
        <x:v>Latest saved definition; UAT pending</x:v>
      </x:c>
      <x:c r="H1044" s="25" t="str">
        <x:v>Definition present in WIP _Measures. Reconcile against refreshed Gold and approved business rules.</x:v>
      </x:c>
      <x:c r="I1044" s="25" t="str">
        <x:v>CALCULATE (
			    [Providers Registered],
			    FILTER ( 'dim_provider', LOWER ( COALESCE ( 'dim_provider'[provider_status], "" ) ) = "pending" )
			)
Full logic: KPI_LATEST_CALCULATIONS.md#business-providers-pending-onboarding</x:v>
      </x:c>
    </x:row>
    <x:row r="1045" ht="111" customHeight="1">
      <x:c r="A1045" s="25" t="str">
        <x:v>GOLD-KPI-089</x:v>
      </x:c>
      <x:c r="B1045" s="25" t="str">
        <x:v>Provider, framework and documents</x:v>
      </x:c>
      <x:c r="C1045" s="25" t="str">
        <x:v>Providers Approved</x:v>
      </x:c>
      <x:c r="D1045" s="25" t="str">
        <x:v>New Gold KPI</x:v>
      </x:c>
      <x:c r="E1045" s="25" t="str">
        <x:v>—</x:v>
      </x:c>
      <x:c r="F1045" s="25" t="str">
        <x:v>gold.dim_provider</x:v>
      </x:c>
      <x:c r="G1045" s="25" t="str">
        <x:v>Latest saved definition; UAT pending</x:v>
      </x:c>
      <x:c r="H1045" s="25" t="str">
        <x:v>Definition present in WIP _Measures. Reconcile against refreshed Gold and approved business rules.</x:v>
      </x:c>
      <x:c r="I1045" s="25" t="str">
        <x:v>CALCULATE (
			    [Providers Registered],
			    FILTER ( 'dim_provider', LOWER ( COALESCE ( 'dim_provider'[provider_status], "" ) ) = "approved" )
			)
Full logic: KPI_LATEST_CALCULATIONS.md#business-providers-approved</x:v>
      </x:c>
    </x:row>
    <x:row r="1046" ht="59" customHeight="1">
      <x:c r="A1046" s="25" t="str">
        <x:v>GOLD-KPI-090</x:v>
      </x:c>
      <x:c r="B1046" s="25" t="str">
        <x:v>Provider, framework and documents</x:v>
      </x:c>
      <x:c r="C1046" s="25" t="str">
        <x:v>Provider Onboarding Success Rate</x:v>
      </x:c>
      <x:c r="D1046" s="25" t="str">
        <x:v>KPI-117</x:v>
      </x:c>
      <x:c r="E1046" s="25" t="str">
        <x:v>R59</x:v>
      </x:c>
      <x:c r="F1046" s="25" t="str">
        <x:v>gold.dim_provider</x:v>
      </x:c>
      <x:c r="G1046" s="25" t="str">
        <x:v>Latest saved definition; UAT pending</x:v>
      </x:c>
      <x:c r="H1046" s="25" t="str">
        <x:v>Approved-provider share, not bulk onboarding job success.</x:v>
      </x:c>
      <x:c r="I1046" s="25" t="str">
        <x:v>DIVIDE ( [Providers Approved], [Providers Registered] )
Full logic: KPI_LATEST_CALCULATIONS.md#business-provider-onboarding-success-rate</x:v>
      </x:c>
    </x:row>
    <x:row r="1047" ht="59" customHeight="1">
      <x:c r="A1047" s="25" t="str">
        <x:v>GOLD-KPI-091</x:v>
      </x:c>
      <x:c r="B1047" s="25" t="str">
        <x:v>Provider, framework and documents</x:v>
      </x:c>
      <x:c r="C1047" s="25" t="str">
        <x:v>Provider Submission Documents</x:v>
      </x:c>
      <x:c r="D1047" s="25" t="str">
        <x:v>New Gold KPI</x:v>
      </x:c>
      <x:c r="E1047" s="25" t="str">
        <x:v>—</x:v>
      </x:c>
      <x:c r="F1047" s="25" t="str">
        <x:v>gold.dim_provider_submission_document</x:v>
      </x:c>
      <x:c r="G1047" s="25" t="str">
        <x:v>Latest saved definition; UAT pending</x:v>
      </x:c>
      <x:c r="H1047" s="25" t="str">
        <x:v>Definition present in WIP _Measures. Reconcile against refreshed Gold and approved business rules.</x:v>
      </x:c>
      <x:c r="I1047" s="25" t="str">
        <x:v>DISTINCTCOUNT ( 'dim_provider_submission_document'[document_id] )
Full logic: KPI_LATEST_CALCULATIONS.md#business-provider-submission-documents</x:v>
      </x:c>
    </x:row>
    <x:row r="1048" ht="202" customHeight="1">
      <x:c r="A1048" s="25" t="str">
        <x:v>GOLD-KPI-092</x:v>
      </x:c>
      <x:c r="B1048" s="25" t="str">
        <x:v>Provider, framework and documents</x:v>
      </x:c>
      <x:c r="C1048" s="25" t="str">
        <x:v>Documents Expiring Next 30 Days</x:v>
      </x:c>
      <x:c r="D1048" s="25" t="str">
        <x:v>KPI-100</x:v>
      </x:c>
      <x:c r="E1048" s="25" t="str">
        <x:v>R47</x:v>
      </x:c>
      <x:c r="F1048" s="25" t="str">
        <x:v>gold.dim_provider_submission_document</x:v>
      </x:c>
      <x:c r="G1048" s="25" t="str">
        <x:v>Latest saved definition; UAT pending</x:v>
      </x:c>
      <x:c r="H1048" s="25" t="str">
        <x:v>Definition present in WIP _Measures. Reconcile against refreshed Gold and approved business rules.</x:v>
      </x:c>
      <x:c r="I1048" s="25" t="str">
        <x:v>CALCULATE (
			    [Provider Submission Documents],
			    FILTER (
			        'dim_provider_submission_document',
			        NOT ISBLANK ( 'dim_provider_submission_document'[expiry_date] )
			            &amp;&amp; 'dim_provider_submission_document'[expiry_date] &gt;= TODAY ()
			            &amp;&amp; 'dim_provider_submission_document'[expiry_date] &lt;= TODAY () + 30
			    )
			)
Full logic: KPI_LATEST_CALCULATIONS.md#business-documents-expiring-next-30-days</x:v>
      </x:c>
    </x:row>
    <x:row r="1049" ht="176" customHeight="1">
      <x:c r="A1049" s="25" t="str">
        <x:v>GOLD-KPI-093</x:v>
      </x:c>
      <x:c r="B1049" s="25" t="str">
        <x:v>Provider, framework and documents</x:v>
      </x:c>
      <x:c r="C1049" s="25" t="str">
        <x:v>Documents Expired</x:v>
      </x:c>
      <x:c r="D1049" s="25" t="str">
        <x:v>KPI-101</x:v>
      </x:c>
      <x:c r="E1049" s="25" t="str">
        <x:v>R47, R48</x:v>
      </x:c>
      <x:c r="F1049" s="25" t="str">
        <x:v>gold.dim_provider_submission_document</x:v>
      </x:c>
      <x:c r="G1049" s="25" t="str">
        <x:v>Latest saved definition; UAT pending</x:v>
      </x:c>
      <x:c r="H1049" s="25" t="str">
        <x:v>Definition present in WIP _Measures. Reconcile against refreshed Gold and approved business rules.</x:v>
      </x:c>
      <x:c r="I1049" s="25" t="str">
        <x:v>CALCULATE (
			    [Provider Submission Documents],
			    FILTER (
			        'dim_provider_submission_document',
			        NOT ISBLANK ( 'dim_provider_submission_document'[expiry_date] )
			            &amp;&amp; 'dim_provider_submission_document'[expiry_date] &lt; TODAY ()
			    )
			)
Full logic: KPI_LATEST_CALCULATIONS.md#business-documents-expired</x:v>
      </x:c>
    </x:row>
    <x:row r="1050" ht="189" customHeight="1">
      <x:c r="A1050" s="25" t="str">
        <x:v>GOLD-KPI-094</x:v>
      </x:c>
      <x:c r="B1050" s="25" t="str">
        <x:v>Provider, framework and documents</x:v>
      </x:c>
      <x:c r="C1050" s="25" t="str">
        <x:v>Provider Homes With Expired Documents</x:v>
      </x:c>
      <x:c r="D1050" s="25" t="str">
        <x:v>New Gold KPI</x:v>
      </x:c>
      <x:c r="E1050" s="25" t="str">
        <x:v>—</x:v>
      </x:c>
      <x:c r="F1050" s="25" t="str">
        <x:v>gold.dim_provider_submission_document</x:v>
      </x:c>
      <x:c r="G1050" s="25" t="str">
        <x:v>Latest saved definition; UAT pending</x:v>
      </x:c>
      <x:c r="H1050" s="25" t="str">
        <x:v>Definition present in WIP _Measures. Reconcile against refreshed Gold and approved business rules.</x:v>
      </x:c>
      <x:c r="I1050" s="25" t="str">
        <x:v>CALCULATE (
			    DISTINCTCOUNT ( 'dim_provider_submission_document'[home_id] ),
			    FILTER (
			        'dim_provider_submission_document',
			        NOT ISBLANK ( 'dim_provider_submission_document'[expiry_date] )
			            &amp;&amp; 'dim_provider_submission_document'[expiry_date] &lt; TODAY ()
			    )
			)
Full logic: KPI_LATEST_CALCULATIONS.md#business-provider-homes-with-expired-documents</x:v>
      </x:c>
    </x:row>
    <x:row r="1051" ht="202" customHeight="1">
      <x:c r="A1051" s="25" t="str">
        <x:v>GOLD-KPI-095</x:v>
      </x:c>
      <x:c r="B1051" s="25" t="str">
        <x:v>IPA, cost and lifecycle</x:v>
      </x:c>
      <x:c r="C1051" s="25" t="str">
        <x:v>IPAs Issued This Month</x:v>
      </x:c>
      <x:c r="D1051" s="25" t="str">
        <x:v>New Gold KPI</x:v>
      </x:c>
      <x:c r="E1051" s="25" t="str">
        <x:v>—</x:v>
      </x:c>
      <x:c r="F1051" s="25" t="str">
        <x:v>gold.dim_date; gold.fact_ipa; gold.fact_referral</x:v>
      </x:c>
      <x:c r="G1051" s="25" t="str">
        <x:v>Latest saved definition; UAT pending</x:v>
      </x:c>
      <x:c r="H1051" s="25" t="str">
        <x:v>Definition present in WIP _Measures. Reconcile against refreshed Gold and approved business rules.</x:v>
      </x:c>
      <x:c r="I1051" s="25" t="str">
        <x:v>VAR as_of = MAX ( 'fact_ipa'[as_of_date] )
			RETURN IF ( NOT ISBLANK ( as_of ),
			    CALCULATE ( [IPAs Created],
			        CROSSFILTER ( 'dim_date'[date], 'fact_referral'[referral_created_date], NONE ),
			        USERELATIONSHIP ( 'dim_date'[date], 'fact_ipa'[ipa_issued_date] ),
			        DATESBETWEEN ( 'dim_date'[date], DATE ( YEAR ( as_of ), MONTH ( as_of ), 1 ), as_of )
			    )
			)
Full logic: KPI_LATEST_CALCULATIONS.md#business-ipas-issued-this-month</x:v>
      </x:c>
    </x:row>
    <x:row r="1052" ht="59" customHeight="1">
      <x:c r="A1052" s="25" t="str">
        <x:v>GOLD-KPI-096</x:v>
      </x:c>
      <x:c r="B1052" s="25" t="str">
        <x:v>IPA, cost and lifecycle</x:v>
      </x:c>
      <x:c r="C1052" s="25" t="str">
        <x:v>Closed IPAs</x:v>
      </x:c>
      <x:c r="D1052" s="25" t="str">
        <x:v>New Gold KPI</x:v>
      </x:c>
      <x:c r="E1052" s="25" t="str">
        <x:v>—</x:v>
      </x:c>
      <x:c r="F1052" s="25" t="str">
        <x:v>gold.fact_ipa</x:v>
      </x:c>
      <x:c r="G1052" s="25" t="str">
        <x:v>Latest saved definition; UAT pending</x:v>
      </x:c>
      <x:c r="H1052" s="25" t="str">
        <x:v>Definition present in WIP _Measures. Reconcile against refreshed Gold and approved business rules.</x:v>
      </x:c>
      <x:c r="I1052" s="25" t="str">
        <x:v>CALCULATE ( [IPAs Created], 'fact_ipa'[is_placement_closed] = TRUE () )
Full logic: KPI_LATEST_CALCULATIONS.md#business-closed-ipas</x:v>
      </x:c>
    </x:row>
    <x:row r="1053" ht="59" customHeight="1">
      <x:c r="A1053" s="25" t="str">
        <x:v>GOLD-KPI-097</x:v>
      </x:c>
      <x:c r="B1053" s="25" t="str">
        <x:v>IPA, cost and lifecycle</x:v>
      </x:c>
      <x:c r="C1053" s="25" t="str">
        <x:v>Average Active IPA Weekly Cost</x:v>
      </x:c>
      <x:c r="D1053" s="25" t="str">
        <x:v>New Gold KPI</x:v>
      </x:c>
      <x:c r="E1053" s="25" t="str">
        <x:v>—</x:v>
      </x:c>
      <x:c r="F1053" s="25" t="str">
        <x:v>gold.fact_ipa</x:v>
      </x:c>
      <x:c r="G1053" s="25" t="str">
        <x:v>Latest saved definition; UAT pending</x:v>
      </x:c>
      <x:c r="H1053" s="25" t="str">
        <x:v>Definition present in WIP _Measures. Reconcile against refreshed Gold and approved business rules.</x:v>
      </x:c>
      <x:c r="I1053" s="25" t="str">
        <x:v>DIVIDE ( [Estimated Active Weekly Cost], [Active IPAs] )
Full logic: KPI_LATEST_CALCULATIONS.md#business-average-active-ipa-weekly-cost</x:v>
      </x:c>
    </x:row>
    <x:row r="1054" ht="46" customHeight="1">
      <x:c r="A1054" s="25" t="str">
        <x:v>GOLD-KPI-098</x:v>
      </x:c>
      <x:c r="B1054" s="25" t="str">
        <x:v>IPA, cost and lifecycle</x:v>
      </x:c>
      <x:c r="C1054" s="25" t="str">
        <x:v>Total IPA Weekly Cost</x:v>
      </x:c>
      <x:c r="D1054" s="25" t="str">
        <x:v>New Gold KPI</x:v>
      </x:c>
      <x:c r="E1054" s="25" t="str">
        <x:v>—</x:v>
      </x:c>
      <x:c r="F1054" s="25" t="str">
        <x:v>gold.fact_ipa</x:v>
      </x:c>
      <x:c r="G1054" s="25" t="str">
        <x:v>Latest saved definition; UAT pending</x:v>
      </x:c>
      <x:c r="H1054" s="25" t="str">
        <x:v>Definition present in WIP _Measures. Reconcile against refreshed Gold and approved business rules.</x:v>
      </x:c>
      <x:c r="I1054" s="25" t="str">
        <x:v>SUM ( 'fact_ipa'[estimated_weekly_cost] )
Full logic: KPI_LATEST_CALCULATIONS.md#business-total-ipa-weekly-cost</x:v>
      </x:c>
    </x:row>
    <x:row r="1055" ht="98" customHeight="1">
      <x:c r="A1055" s="25" t="str">
        <x:v>GOLD-KPI-099</x:v>
      </x:c>
      <x:c r="B1055" s="25" t="str">
        <x:v>IPA conversion</x:v>
      </x:c>
      <x:c r="C1055" s="25" t="str">
        <x:v>Accepted Offers With IPA</x:v>
      </x:c>
      <x:c r="D1055" s="25" t="str">
        <x:v>KPI-79 replacement</x:v>
      </x:c>
      <x:c r="E1055" s="25" t="str">
        <x:v>R35</x:v>
      </x:c>
      <x:c r="F1055" s="25" t="str">
        <x:v>gold.fact_ipa; gold.fact_offer</x:v>
      </x:c>
      <x:c r="G1055" s="25" t="str">
        <x:v>Latest saved definition; UAT pending</x:v>
      </x:c>
      <x:c r="H1055" s="25" t="str">
        <x:v>Definition present in WIP _Measures. Reconcile against refreshed Gold and approved business rules.</x:v>
      </x:c>
      <x:c r="I1055" s="25" t="str">
        <x:v>VAR linked_offers = VALUES ( 'fact_ipa'[accepted_offer_id] )
			RETURN CALCULATE ( [Accepted Offers], KEEPFILTERS ( TREATAS ( linked_offers, 'fact_offer'[offer_id] ) ) )
Full logic: KPI_LATEST_CALCULATIONS.md#business-accepted-offers-with-ipa</x:v>
      </x:c>
    </x:row>
    <x:row r="1056" ht="59" customHeight="1">
      <x:c r="A1056" s="25" t="str">
        <x:v>GOLD-KPI-100</x:v>
      </x:c>
      <x:c r="B1056" s="25" t="str">
        <x:v>IPA conversion</x:v>
      </x:c>
      <x:c r="C1056" s="25" t="str">
        <x:v>Offers Awaiting IPA Creation</x:v>
      </x:c>
      <x:c r="D1056" s="25" t="str">
        <x:v>KPI-79</x:v>
      </x:c>
      <x:c r="E1056" s="25" t="str">
        <x:v>R35</x:v>
      </x:c>
      <x:c r="F1056" s="25" t="str">
        <x:v>gold.fact_offer</x:v>
      </x:c>
      <x:c r="G1056" s="25" t="str">
        <x:v>Latest saved definition; UAT pending</x:v>
      </x:c>
      <x:c r="H1056" s="25" t="str">
        <x:v>Definition present in WIP _Measures. Reconcile against refreshed Gold and approved business rules.</x:v>
      </x:c>
      <x:c r="I1056" s="25" t="str">
        <x:v>CALCULATE ( [Offers Submitted], 'fact_offer'[is_awaiting_ipa_creation] = TRUE ())
Full logic: KPI_LATEST_CALCULATIONS.md#business-offers-awaiting-ipa-creation</x:v>
      </x:c>
    </x:row>
    <x:row r="1057" ht="46" customHeight="1">
      <x:c r="A1057" s="25" t="str">
        <x:v>GOLD-KPI-101</x:v>
      </x:c>
      <x:c r="B1057" s="25" t="str">
        <x:v>IPA conversion</x:v>
      </x:c>
      <x:c r="C1057" s="25" t="str">
        <x:v>Accepted Offer to IPA Conversion %</x:v>
      </x:c>
      <x:c r="D1057" s="25" t="str">
        <x:v>KPI-83</x:v>
      </x:c>
      <x:c r="E1057" s="25" t="str">
        <x:v>R35</x:v>
      </x:c>
      <x:c r="F1057" s="25" t="str">
        <x:v>gold.fact_ipa; gold.fact_offer</x:v>
      </x:c>
      <x:c r="G1057" s="25" t="str">
        <x:v>Latest saved definition; UAT pending</x:v>
      </x:c>
      <x:c r="H1057" s="25" t="str">
        <x:v>Definition present in WIP _Measures. Reconcile against refreshed Gold and approved business rules.</x:v>
      </x:c>
      <x:c r="I1057" s="25" t="str">
        <x:v>DIVIDE ( [IPAs Created], [Accepted Offers] )
Full logic: KPI_LATEST_CALCULATIONS.md#business-accepted-offer-to-ipa-conversion-percent</x:v>
      </x:c>
    </x:row>
    <x:row r="1058" ht="72" customHeight="1">
      <x:c r="A1058" s="25" t="str">
        <x:v>GOLD-KPI-102</x:v>
      </x:c>
      <x:c r="B1058" s="25" t="str">
        <x:v>IPA conversion</x:v>
      </x:c>
      <x:c r="C1058" s="25" t="str">
        <x:v>Offers Still to Progress to IPA %</x:v>
      </x:c>
      <x:c r="D1058" s="25" t="str">
        <x:v>KPI-84</x:v>
      </x:c>
      <x:c r="E1058" s="25" t="str">
        <x:v>R35</x:v>
      </x:c>
      <x:c r="F1058" s="25" t="str">
        <x:v>gold.fact_ipa; gold.fact_offer</x:v>
      </x:c>
      <x:c r="G1058" s="25" t="str">
        <x:v>Latest saved definition; UAT pending</x:v>
      </x:c>
      <x:c r="H1058" s="25" t="str">
        <x:v>Definition present in WIP _Measures. Reconcile against refreshed Gold and approved business rules.</x:v>
      </x:c>
      <x:c r="I1058" s="25" t="str">
        <x:v>IF ( NOT ISBLANK ( [Accepted Offer to IPA Conversion %] ), 1 - [Accepted Offer to IPA Conversion %] )
Full logic: KPI_LATEST_CALCULATIONS.md#business-offers-still-to-progress-to-ipa-percent</x:v>
      </x:c>
    </x:row>
    <x:row r="1059" ht="72" customHeight="1">
      <x:c r="A1059" s="25" t="str">
        <x:v>GOLD-KPI-103</x:v>
      </x:c>
      <x:c r="B1059" s="25" t="str">
        <x:v>IPA, cost and lifecycle</x:v>
      </x:c>
      <x:c r="C1059" s="25" t="str">
        <x:v>Referrals With Fully Signed IPA</x:v>
      </x:c>
      <x:c r="D1059" s="25" t="str">
        <x:v>New Gold KPI</x:v>
      </x:c>
      <x:c r="E1059" s="25" t="str">
        <x:v>—</x:v>
      </x:c>
      <x:c r="F1059" s="25" t="str">
        <x:v>gold.fact_ipa</x:v>
      </x:c>
      <x:c r="G1059" s="25" t="str">
        <x:v>Latest saved definition; UAT pending</x:v>
      </x:c>
      <x:c r="H1059" s="25" t="str">
        <x:v>Distinct referral IDs with at least one completed IPA; not a count of IPAs.</x:v>
      </x:c>
      <x:c r="I1059" s="25" t="str">
        <x:v>CALCULATE ( DISTINCTCOUNT ( 'fact_ipa'[referral_id] ), KEEPFILTERS ( 'fact_ipa'[is_ipa_completed] = TRUE () ) )
Full logic: KPI_LATEST_CALCULATIONS.md#business-referrals-with-fully-signed-ipa</x:v>
      </x:c>
    </x:row>
    <x:row r="1060" ht="46" customHeight="1">
      <x:c r="A1060" s="25" t="str">
        <x:v>GOLD-KPI-104</x:v>
      </x:c>
      <x:c r="B1060" s="25" t="str">
        <x:v>IPA, cost and lifecycle</x:v>
      </x:c>
      <x:c r="C1060" s="25" t="str">
        <x:v>IPA Signature Completion Rate</x:v>
      </x:c>
      <x:c r="D1060" s="25" t="str">
        <x:v>New Gold KPI</x:v>
      </x:c>
      <x:c r="E1060" s="25" t="str">
        <x:v>—</x:v>
      </x:c>
      <x:c r="F1060" s="25" t="str">
        <x:v>gold.fact_ipa</x:v>
      </x:c>
      <x:c r="G1060" s="25" t="str">
        <x:v>Latest saved definition; UAT pending</x:v>
      </x:c>
      <x:c r="H1060" s="25" t="str">
        <x:v>IPA Completed / IPAs Created at IPA grain; both signature flags required.</x:v>
      </x:c>
      <x:c r="I1060" s="25" t="str">
        <x:v>DIVIDE ( [IPA Completed], [IPAs Created] )
Full logic: KPI_LATEST_CALCULATIONS.md#business-ipa-signature-completion-rate</x:v>
      </x:c>
    </x:row>
    <x:row r="1061" ht="59" customHeight="1">
      <x:c r="A1061" s="25" t="str">
        <x:v>GOLD-KPI-105</x:v>
      </x:c>
      <x:c r="B1061" s="25" t="str">
        <x:v>IPA, cost and lifecycle</x:v>
      </x:c>
      <x:c r="C1061" s="25" t="str">
        <x:v>Referral Lifecycle Events</x:v>
      </x:c>
      <x:c r="D1061" s="25" t="str">
        <x:v>KPI-113</x:v>
      </x:c>
      <x:c r="E1061" s="25" t="str">
        <x:v>R20</x:v>
      </x:c>
      <x:c r="F1061" s="25" t="str">
        <x:v>gold.fact_referral_lifecycle_event</x:v>
      </x:c>
      <x:c r="G1061" s="25" t="str">
        <x:v>Latest saved definition; UAT pending</x:v>
      </x:c>
      <x:c r="H1061" s="25" t="str">
        <x:v>Derived activity roll-up, not a complete source audit trail.</x:v>
      </x:c>
      <x:c r="I1061" s="25" t="str">
        <x:v>DISTINCTCOUNT ( 'fact_referral_lifecycle_event'[event_id] )
Full logic: KPI_LATEST_CALCULATIONS.md#business-referral-lifecycle-events</x:v>
      </x:c>
    </x:row>
    <x:row r="1062" ht="59" customHeight="1">
      <x:c r="A1062" s="25" t="str">
        <x:v>GOLD-KPI-106</x:v>
      </x:c>
      <x:c r="B1062" s="25" t="str">
        <x:v>IPA, cost and lifecycle</x:v>
      </x:c>
      <x:c r="C1062" s="25" t="str">
        <x:v>Referrals With Lifecycle Activity</x:v>
      </x:c>
      <x:c r="D1062" s="25" t="str">
        <x:v>New Gold KPI</x:v>
      </x:c>
      <x:c r="E1062" s="25" t="str">
        <x:v>—</x:v>
      </x:c>
      <x:c r="F1062" s="25" t="str">
        <x:v>gold.fact_referral_lifecycle_event</x:v>
      </x:c>
      <x:c r="G1062" s="25" t="str">
        <x:v>Latest saved definition; UAT pending</x:v>
      </x:c>
      <x:c r="H1062" s="25" t="str">
        <x:v>Definition present in WIP _Measures. Reconcile against refreshed Gold and approved business rules.</x:v>
      </x:c>
      <x:c r="I1062" s="25" t="str">
        <x:v>DISTINCTCOUNT ( 'fact_referral_lifecycle_event'[referral_id] )
Full logic: KPI_LATEST_CALCULATIONS.md#business-referrals-with-lifecycle-activity</x:v>
      </x:c>
    </x:row>
    <x:row r="1063" ht="59" customHeight="1">
      <x:c r="A1063" s="25" t="str">
        <x:v>GOLD-KPI-107</x:v>
      </x:c>
      <x:c r="B1063" s="25" t="str">
        <x:v>IPA, cost and lifecycle</x:v>
      </x:c>
      <x:c r="C1063" s="25" t="str">
        <x:v>Average Lifecycle Events per Referral</x:v>
      </x:c>
      <x:c r="D1063" s="25" t="str">
        <x:v>New Gold KPI</x:v>
      </x:c>
      <x:c r="E1063" s="25" t="str">
        <x:v>—</x:v>
      </x:c>
      <x:c r="F1063" s="25" t="str">
        <x:v>gold.fact_referral_lifecycle_event</x:v>
      </x:c>
      <x:c r="G1063" s="25" t="str">
        <x:v>Latest saved definition; UAT pending</x:v>
      </x:c>
      <x:c r="H1063" s="25" t="str">
        <x:v>Definition present in WIP _Measures. Reconcile against refreshed Gold and approved business rules.</x:v>
      </x:c>
      <x:c r="I1063" s="25" t="str">
        <x:v>DIVIDE ( [Referral Lifecycle Events], [Referrals With Lifecycle Activity] )
Full logic: KPI_LATEST_CALCULATIONS.md#business-average-lifecycle-events-per-referral</x:v>
      </x:c>
    </x:row>
    <x:row r="1064" ht="46" customHeight="1">
      <x:c r="A1064" s="25" t="str">
        <x:v>GOLD-KPI-108</x:v>
      </x:c>
      <x:c r="B1064" s="25" t="str">
        <x:v>IPA, cost and lifecycle</x:v>
      </x:c>
      <x:c r="C1064" s="25" t="str">
        <x:v>Gold Model Last Refreshed</x:v>
      </x:c>
      <x:c r="D1064" s="25" t="str">
        <x:v>KPI-87</x:v>
      </x:c>
      <x:c r="E1064" s="25" t="str">
        <x:v>R82</x:v>
      </x:c>
      <x:c r="F1064" s="25" t="str">
        <x:v>gold.fact_referral</x:v>
      </x:c>
      <x:c r="G1064" s="25" t="str">
        <x:v>Latest saved definition; UAT pending</x:v>
      </x:c>
      <x:c r="H1064" s="25" t="str">
        <x:v>Persisted Gold build timestamp; not source completeness or service-performance evidence.</x:v>
      </x:c>
      <x:c r="I1064" s="25" t="str">
        <x:v>MAX ( 'fact_referral'[gold_modelled_at] )
Full logic: KPI_LATEST_CALCULATIONS.md#business-gold-model-last-refreshed</x:v>
      </x:c>
    </x:row>
    <x:row r="1065" ht="98" customHeight="1">
      <x:c r="A1065" s="25" t="str">
        <x:v>GOLD-KPI-109</x:v>
      </x:c>
      <x:c r="B1065" s="25" t="str">
        <x:v>Message activity proxy</x:v>
      </x:c>
      <x:c r="C1065" s="25" t="str">
        <x:v>Provider Messages Sent</x:v>
      </x:c>
      <x:c r="D1065" s="25" t="str">
        <x:v>KPI-110 proxy</x:v>
      </x:c>
      <x:c r="E1065" s="25" t="str">
        <x:v>R14</x:v>
      </x:c>
      <x:c r="F1065" s="25" t="str">
        <x:v>gold.fact_referral_lifecycle_event</x:v>
      </x:c>
      <x:c r="G1065" s="25" t="str">
        <x:v>Latest saved definition; UAT pending</x:v>
      </x:c>
      <x:c r="H1065" s="25" t="str">
        <x:v>Counts ProviderMessageSent lifecycle events; either sender may be represented. Not provider-authored response time.</x:v>
      </x:c>
      <x:c r="I1065" s="25" t="str">
        <x:v>CALCULATE (
			    [Referral Lifecycle Events],
			    'fact_referral_lifecycle_event'[event_type] = "ProviderMessageSent"
			)
Full logic: KPI_LATEST_CALCULATIONS.md#business-provider-messages-sent</x:v>
      </x:c>
    </x:row>
    <x:row r="1066" ht="59" customHeight="1">
      <x:c r="A1066" s="25" t="str">
        <x:v>GOLD-KPI-110</x:v>
      </x:c>
      <x:c r="B1066" s="25" t="str">
        <x:v>Demographics</x:v>
      </x:c>
      <x:c r="C1066" s="25" t="str">
        <x:v>Male Referrals</x:v>
      </x:c>
      <x:c r="D1066" s="25" t="str">
        <x:v>WIP addition</x:v>
      </x:c>
      <x:c r="E1066" s="25" t="str">
        <x:v>R51 (proposed)</x:v>
      </x:c>
      <x:c r="F1066" s="25" t="str">
        <x:v>gold.dim_person; gold.fact_referral</x:v>
      </x:c>
      <x:c r="G1066" s="25" t="str">
        <x:v>Latest saved definition; UAT pending</x:v>
      </x:c>
      <x:c r="H1066" s="25" t="str">
        <x:v>Gender-based referral analysis; reconcile unknowns and validate access controls.</x:v>
      </x:c>
      <x:c r="I1066" s="25" t="str">
        <x:v>CALCULATE ( [Total Referrals], 'dim_person'[gender_clean] = "Male" )
Full logic: KPI_LATEST_CALCULATIONS.md#business-male-referrals</x:v>
      </x:c>
    </x:row>
    <x:row r="1067" ht="59" customHeight="1">
      <x:c r="A1067" s="25" t="str">
        <x:v>GOLD-KPI-111</x:v>
      </x:c>
      <x:c r="B1067" s="25" t="str">
        <x:v>Demographics</x:v>
      </x:c>
      <x:c r="C1067" s="25" t="str">
        <x:v>Female Referrals</x:v>
      </x:c>
      <x:c r="D1067" s="25" t="str">
        <x:v>WIP addition</x:v>
      </x:c>
      <x:c r="E1067" s="25" t="str">
        <x:v>R51 (proposed)</x:v>
      </x:c>
      <x:c r="F1067" s="25" t="str">
        <x:v>gold.dim_person; gold.fact_referral</x:v>
      </x:c>
      <x:c r="G1067" s="25" t="str">
        <x:v>Latest saved definition; UAT pending</x:v>
      </x:c>
      <x:c r="H1067" s="25" t="str">
        <x:v>Gender-based referral analysis; reconcile unknowns and validate access controls.</x:v>
      </x:c>
      <x:c r="I1067" s="25" t="str">
        <x:v>CALCULATE ( [Total Referrals], 'dim_person'[gender_clean] = "Female" )
Full logic: KPI_LATEST_CALCULATIONS.md#business-female-referrals</x:v>
      </x:c>
    </x:row>
    <x:row r="1068" ht="59" customHeight="1">
      <x:c r="A1068" s="25" t="str">
        <x:v>GOLD-KPI-112</x:v>
      </x:c>
      <x:c r="B1068" s="25" t="str">
        <x:v>Demographics</x:v>
      </x:c>
      <x:c r="C1068" s="25" t="str">
        <x:v>Other Gender Referrals</x:v>
      </x:c>
      <x:c r="D1068" s="25" t="str">
        <x:v>WIP addition</x:v>
      </x:c>
      <x:c r="E1068" s="25" t="str">
        <x:v>R51 (proposed)</x:v>
      </x:c>
      <x:c r="F1068" s="25" t="str">
        <x:v>gold.dim_person; gold.fact_referral</x:v>
      </x:c>
      <x:c r="G1068" s="25" t="str">
        <x:v>Latest saved definition; UAT pending</x:v>
      </x:c>
      <x:c r="H1068" s="25" t="str">
        <x:v>Gender-based referral analysis; reconcile unknowns and validate access controls.</x:v>
      </x:c>
      <x:c r="I1068" s="25" t="str">
        <x:v>CALCULATE ( [Total Referrals], 'dim_person'[gender_clean] = "Other" )
Full logic: KPI_LATEST_CALCULATIONS.md#business-other-gender-referrals</x:v>
      </x:c>
    </x:row>
    <x:row r="1069" ht="85" customHeight="1">
      <x:c r="A1069" s="25" t="str">
        <x:v>GOLD-KPI-113</x:v>
      </x:c>
      <x:c r="B1069" s="25" t="str">
        <x:v>Demographics</x:v>
      </x:c>
      <x:c r="C1069" s="25" t="str">
        <x:v>Total Gendered Referrals</x:v>
      </x:c>
      <x:c r="D1069" s="25" t="str">
        <x:v>WIP addition</x:v>
      </x:c>
      <x:c r="E1069" s="25" t="str">
        <x:v>R51 (proposed)</x:v>
      </x:c>
      <x:c r="F1069" s="25" t="str">
        <x:v>gold.dim_person; gold.fact_referral</x:v>
      </x:c>
      <x:c r="G1069" s="25" t="str">
        <x:v>Latest saved definition; UAT pending</x:v>
      </x:c>
      <x:c r="H1069" s="25" t="str">
        <x:v>Gender-based referral analysis; reconcile unknowns and validate access controls.</x:v>
      </x:c>
      <x:c r="I1069" s="25" t="str">
        <x:v>CALCULATE ( [Total Referrals], KEEPFILTERS ( FILTER ( 'dim_person', NOT ISBLANK ( 'dim_person'[gender_clean] ) &amp;&amp; 'dim_person'[gender_clean] &lt;&gt; "Unknown" ) ) )
Full logic: KPI_LATEST_CALCULATIONS.md#business-total-gendered-referrals</x:v>
      </x:c>
    </x:row>
    <x:row r="1070" ht="59" customHeight="1">
      <x:c r="A1070" s="25" t="str">
        <x:v>GOLD-KPI-114</x:v>
      </x:c>
      <x:c r="B1070" s="25" t="str">
        <x:v>IPA signatures</x:v>
      </x:c>
      <x:c r="C1070" s="25" t="str">
        <x:v>IPA Completed</x:v>
      </x:c>
      <x:c r="D1070" s="25" t="str">
        <x:v>WIP addition</x:v>
      </x:c>
      <x:c r="E1070" s="25" t="str">
        <x:v>R15, R35, R62 (proposed)</x:v>
      </x:c>
      <x:c r="F1070" s="25" t="str">
        <x:v>gold.fact_ipa</x:v>
      </x:c>
      <x:c r="G1070" s="25" t="str">
        <x:v>Latest saved definition; UAT pending</x:v>
      </x:c>
      <x:c r="H1070" s="25" t="str">
        <x:v>IPA-grain completion/signing backlog; completed includes closed signed records; pending excludes closed unsigned records.</x:v>
      </x:c>
      <x:c r="I1070" s="25" t="str">
        <x:v>CALCULATE ( [IPAs Created], KEEPFILTERS ( 'fact_ipa'[is_ipa_completed] = TRUE () ) )
Full logic: KPI_LATEST_CALCULATIONS.md#business-ipa-completed</x:v>
      </x:c>
    </x:row>
    <x:row r="1071" ht="59" customHeight="1">
      <x:c r="A1071" s="25" t="str">
        <x:v>GOLD-KPI-115</x:v>
      </x:c>
      <x:c r="B1071" s="25" t="str">
        <x:v>IPA signatures</x:v>
      </x:c>
      <x:c r="C1071" s="25" t="str">
        <x:v>IPAs Pending Completion</x:v>
      </x:c>
      <x:c r="D1071" s="25" t="str">
        <x:v>WIP addition</x:v>
      </x:c>
      <x:c r="E1071" s="25" t="str">
        <x:v>R15, R35, R62 (proposed)</x:v>
      </x:c>
      <x:c r="F1071" s="25" t="str">
        <x:v>gold.fact_ipa</x:v>
      </x:c>
      <x:c r="G1071" s="25" t="str">
        <x:v>Latest saved definition; UAT pending</x:v>
      </x:c>
      <x:c r="H1071" s="25" t="str">
        <x:v>IPA-grain completion/signing backlog; completed includes closed signed records; pending excludes closed unsigned records.</x:v>
      </x:c>
      <x:c r="I1071" s="25" t="str">
        <x:v>CALCULATE ( [IPAs Created], KEEPFILTERS ( 'fact_ipa'[is_ipa_pending] = TRUE () ) )
Full logic: KPI_LATEST_CALCULATIONS.md#business-ipas-pending-completion</x:v>
      </x:c>
    </x:row>
    <x:row r="1072" ht="59" customHeight="1">
      <x:c r="A1072" s="25" t="str">
        <x:v>GOLD-KPI-116</x:v>
      </x:c>
      <x:c r="B1072" s="25" t="str">
        <x:v>IPA signatures</x:v>
      </x:c>
      <x:c r="C1072" s="25" t="str">
        <x:v>IPAs Signed by Provider</x:v>
      </x:c>
      <x:c r="D1072" s="25" t="str">
        <x:v>WIP addition</x:v>
      </x:c>
      <x:c r="E1072" s="25" t="str">
        <x:v>R15, R35, R62 (proposed)</x:v>
      </x:c>
      <x:c r="F1072" s="25" t="str">
        <x:v>gold.fact_ipa</x:v>
      </x:c>
      <x:c r="G1072" s="25" t="str">
        <x:v>Latest saved definition; UAT pending</x:v>
      </x:c>
      <x:c r="H1072" s="25" t="str">
        <x:v>IPA-grain completion/signing backlog; completed includes closed signed records; pending excludes closed unsigned records.</x:v>
      </x:c>
      <x:c r="I1072" s="25" t="str">
        <x:v>CALCULATE ( [IPAs Created], KEEPFILTERS ( 'fact_ipa'[signed_by_provider] = TRUE () ) )
Full logic: KPI_LATEST_CALCULATIONS.md#business-ipas-signed-by-provider</x:v>
      </x:c>
    </x:row>
    <x:row r="1073" ht="72" customHeight="1">
      <x:c r="A1073" s="25" t="str">
        <x:v>GOLD-KPI-117</x:v>
      </x:c>
      <x:c r="B1073" s="25" t="str">
        <x:v>IPA signatures</x:v>
      </x:c>
      <x:c r="C1073" s="25" t="str">
        <x:v>IPAs Signed by Local Authority</x:v>
      </x:c>
      <x:c r="D1073" s="25" t="str">
        <x:v>WIP addition</x:v>
      </x:c>
      <x:c r="E1073" s="25" t="str">
        <x:v>R15, R35, R62 (proposed)</x:v>
      </x:c>
      <x:c r="F1073" s="25" t="str">
        <x:v>gold.fact_ipa</x:v>
      </x:c>
      <x:c r="G1073" s="25" t="str">
        <x:v>Latest saved definition; UAT pending</x:v>
      </x:c>
      <x:c r="H1073" s="25" t="str">
        <x:v>IPA-grain completion/signing backlog; completed includes closed signed records; pending excludes closed unsigned records.</x:v>
      </x:c>
      <x:c r="I1073" s="25" t="str">
        <x:v>CALCULATE ( [IPAs Created], KEEPFILTERS ( 'fact_ipa'[signed_by_local_authority] = TRUE () ) )
Full logic: KPI_LATEST_CALCULATIONS.md#business-ipas-signed-by-local-authority</x:v>
      </x:c>
    </x:row>
    <x:row r="1074" ht="111" customHeight="1">
      <x:c r="A1074" s="25" t="str">
        <x:v>GOLD-KPI-118</x:v>
      </x:c>
      <x:c r="B1074" s="25" t="str">
        <x:v>Snapshot trend</x:v>
      </x:c>
      <x:c r="C1074" s="25" t="str">
        <x:v>Snapshot referrals previous month</x:v>
      </x:c>
      <x:c r="D1074" s="25" t="str">
        <x:v>WIP addition</x:v>
      </x:c>
      <x:c r="E1074" s="25" t="str">
        <x:v>R24, R51, R52 (proposed)</x:v>
      </x:c>
      <x:c r="F1074" s="25" t="str">
        <x:v>gold.dim_snapshot_month; gold.fact_referral_snapshot</x:v>
      </x:c>
      <x:c r="G1074" s="25" t="str">
        <x:v>Latest saved definition; UAT pending</x:v>
      </x:c>
      <x:c r="H1074" s="25" t="str">
        <x:v>Compare retained month-end state with the prior calendar month; missing prior data remains blank.</x:v>
      </x:c>
      <x:c r="I1074" s="25" t="str">
        <x:v>VAR currentMonth = SELECTEDVALUE('dim_snapshot_month'[month_start])
			RETURN IF(NOT ISBLANK(currentMonth), CALCULATE([Snapshot Referrals], REMOVEFILTERS('dim_snapshot_month'), 'dim_snapshot_month'[month_start] = EDATE(currentMonth,-1)))
Full logic: KPI_LATEST_CALCULATIONS.md#business-snapshot-referrals-previous-month</x:v>
      </x:c>
    </x:row>
    <x:row r="1075" ht="111" customHeight="1">
      <x:c r="A1075" s="25" t="str">
        <x:v>GOLD-KPI-119</x:v>
      </x:c>
      <x:c r="B1075" s="25" t="str">
        <x:v>Snapshot trend</x:v>
      </x:c>
      <x:c r="C1075" s="25" t="str">
        <x:v>Snapshot referrals MoM change</x:v>
      </x:c>
      <x:c r="D1075" s="25" t="str">
        <x:v>WIP addition</x:v>
      </x:c>
      <x:c r="E1075" s="25" t="str">
        <x:v>R24, R51, R52 (proposed)</x:v>
      </x:c>
      <x:c r="F1075" s="25" t="str">
        <x:v>gold.dim_snapshot_month; gold.fact_referral_snapshot</x:v>
      </x:c>
      <x:c r="G1075" s="25" t="str">
        <x:v>Latest saved definition; UAT pending</x:v>
      </x:c>
      <x:c r="H1075" s="25" t="str">
        <x:v>Compare retained month-end state with the prior calendar month; missing prior data remains blank.</x:v>
      </x:c>
      <x:c r="I1075" s="25" t="str">
        <x:v>VAR currentTotal = [Snapshot Referrals]
			VAR previousTotal = [Snapshot referrals previous month]
			RETURN IF(NOT ISBLANK(currentTotal) &amp;&amp; NOT ISBLANK(previousTotal), currentTotal - previousTotal)
Full logic: KPI_LATEST_CALCULATIONS.md#business-snapshot-referrals-mom-change</x:v>
      </x:c>
    </x:row>
    <x:row r="1076" ht="59" customHeight="1">
      <x:c r="A1076" s="25" t="str">
        <x:v>GOLD-KPI-120</x:v>
      </x:c>
      <x:c r="B1076" s="25" t="str">
        <x:v>Snapshot trend</x:v>
      </x:c>
      <x:c r="C1076" s="25" t="str">
        <x:v>Snapshot referrals MoM percent</x:v>
      </x:c>
      <x:c r="D1076" s="25" t="str">
        <x:v>WIP addition</x:v>
      </x:c>
      <x:c r="E1076" s="25" t="str">
        <x:v>R24, R51, R52 (proposed)</x:v>
      </x:c>
      <x:c r="F1076" s="25" t="str">
        <x:v>gold.dim_snapshot_month; gold.fact_referral_snapshot</x:v>
      </x:c>
      <x:c r="G1076" s="25" t="str">
        <x:v>Latest saved definition; UAT pending</x:v>
      </x:c>
      <x:c r="H1076" s="25" t="str">
        <x:v>Compare retained month-end state with the prior calendar month; missing prior data remains blank.</x:v>
      </x:c>
      <x:c r="I1076" s="25" t="str">
        <x:v>DIVIDE([Snapshot referrals MoM change],[Snapshot referrals previous month])
Full logic: KPI_LATEST_CALCULATIONS.md#business-snapshot-referrals-mom-percent</x:v>
      </x:c>
    </x:row>
    <x:row r="1077" ht="124" customHeight="1">
      <x:c r="A1077" s="25" t="str">
        <x:v>GOLD-KPI-121</x:v>
      </x:c>
      <x:c r="B1077" s="25" t="str">
        <x:v>Closure flow</x:v>
      </x:c>
      <x:c r="C1077" s="25" t="str">
        <x:v>Referrals closed during month</x:v>
      </x:c>
      <x:c r="D1077" s="25" t="str">
        <x:v>WIP addition</x:v>
      </x:c>
      <x:c r="E1077" s="25" t="str">
        <x:v>R24, R51 (proposed)</x:v>
      </x:c>
      <x:c r="F1077" s="25" t="str">
        <x:v>gold.dim_date; gold.fact_referral</x:v>
      </x:c>
      <x:c r="G1077" s="25" t="str">
        <x:v>Latest saved definition; UAT pending</x:v>
      </x:c>
      <x:c r="H1077" s="25" t="str">
        <x:v>Distinct referrals by closure date in month; a flow measure, not closed state at snapshot. Closure date is derived.</x:v>
      </x:c>
      <x:c r="I1077" s="25" t="str">
        <x:v>CALCULATE(DISTINCTCOUNT('fact_referral'[referral_id]), USERELATIONSHIP('fact_referral'[referral_closed_date],'dim_date'[date]), CROSSFILTER('fact_referral'[referral_created_date],'dim_date'[date],NONE), KEEPFILTERS(NOT ISBLANK('fact_referral'[referral_closed_date])))
Full logic: KPI_LATEST_CALCULATIONS.md#business-referrals-closed-during-month</x:v>
      </x:c>
    </x:row>
    <x:row r="1078" ht="46" customHeight="1">
      <x:c r="A1078" s="25" t="str">
        <x:v>GOLD-KPI-122</x:v>
      </x:c>
      <x:c r="B1078" s="25" t="str">
        <x:v>Referral exploration</x:v>
      </x:c>
      <x:c r="C1078" s="25" t="str">
        <x:v>Matching referrals</x:v>
      </x:c>
      <x:c r="D1078" s="25" t="str">
        <x:v>WIP addition</x:v>
      </x:c>
      <x:c r="E1078" s="25" t="str">
        <x:v>R13, R24, R25 (proposed)</x:v>
      </x:c>
      <x:c r="F1078" s="25" t="str">
        <x:v>gold.bridge_referral_framework_category; gold.dim_framework_category; gold.fact_offer; gold.fact_referral</x:v>
      </x:c>
      <x:c r="G1078" s="25" t="str">
        <x:v>Latest saved definition; UAT pending</x:v>
      </x:c>
      <x:c r="H1078" s="25" t="str">
        <x:v>Distinct referrals after category and matching-offer filters; category totals are not additive.</x:v>
      </x:c>
      <x:c r="I1078" s="25" t="str">
        <x:v>[Explorer referrals]
Full logic: KPI_LATEST_CALCULATIONS.md#business-matching-referrals</x:v>
      </x:c>
    </x:row>
    <x:row r="1079" ht="72" customHeight="1">
      <x:c r="A1079" s="25" t="str">
        <x:v>GOLD-KPI-123</x:v>
      </x:c>
      <x:c r="B1079" s="25" t="str">
        <x:v>Referral journey</x:v>
      </x:c>
      <x:c r="C1079" s="25" t="str">
        <x:v>Journey referrals 1</x:v>
      </x:c>
      <x:c r="D1079" s="25" t="str">
        <x:v>WIP addition</x:v>
      </x:c>
      <x:c r="E1079" s="25" t="str">
        <x:v>R24, R25, R35, R51 (proposed)</x:v>
      </x:c>
      <x:c r="F1079" s="25" t="str">
        <x:v>gold.bridge_referral_framework_category; gold.dim_framework_category; gold.fact_offer; gold.fact_referral</x:v>
      </x:c>
      <x:c r="G1079" s="25" t="str">
        <x:v>Latest saved definition; UAT pending</x:v>
      </x:c>
      <x:c r="H1079" s="25" t="str">
        <x:v>Referral created. One current stage per referral at refresh. Closed status overrides milestones; counts are not historic funnel conversion.</x:v>
      </x:c>
      <x:c r="I1079" s="25" t="str">
        <x:v>COALESCE(CALCULATE([Matching referrals], KEEPFILTERS('fact_referral'[Journey stage order] = 1)), 0)
Full logic: KPI_LATEST_CALCULATIONS.md#business-journey-referrals-1</x:v>
      </x:c>
    </x:row>
    <x:row r="1080" ht="72" customHeight="1">
      <x:c r="A1080" s="25" t="str">
        <x:v>GOLD-KPI-124</x:v>
      </x:c>
      <x:c r="B1080" s="25" t="str">
        <x:v>Referral journey</x:v>
      </x:c>
      <x:c r="C1080" s="25" t="str">
        <x:v>Journey referrals 2</x:v>
      </x:c>
      <x:c r="D1080" s="25" t="str">
        <x:v>WIP addition</x:v>
      </x:c>
      <x:c r="E1080" s="25" t="str">
        <x:v>R24, R25, R35, R51 (proposed)</x:v>
      </x:c>
      <x:c r="F1080" s="25" t="str">
        <x:v>gold.bridge_referral_framework_category; gold.dim_framework_category; gold.fact_offer; gold.fact_referral</x:v>
      </x:c>
      <x:c r="G1080" s="25" t="str">
        <x:v>Latest saved definition; UAT pending</x:v>
      </x:c>
      <x:c r="H1080" s="25" t="str">
        <x:v>Provider search. One current stage per referral at refresh. Closed status overrides milestones; counts are not historic funnel conversion.</x:v>
      </x:c>
      <x:c r="I1080" s="25" t="str">
        <x:v>COALESCE(CALCULATE([Matching referrals], KEEPFILTERS('fact_referral'[Journey stage order] = 2)), 0)
Full logic: KPI_LATEST_CALCULATIONS.md#business-journey-referrals-2</x:v>
      </x:c>
    </x:row>
    <x:row r="1081" ht="72" customHeight="1">
      <x:c r="A1081" s="25" t="str">
        <x:v>GOLD-KPI-125</x:v>
      </x:c>
      <x:c r="B1081" s="25" t="str">
        <x:v>Referral journey</x:v>
      </x:c>
      <x:c r="C1081" s="25" t="str">
        <x:v>Journey referrals 3</x:v>
      </x:c>
      <x:c r="D1081" s="25" t="str">
        <x:v>WIP addition</x:v>
      </x:c>
      <x:c r="E1081" s="25" t="str">
        <x:v>R24, R25, R35, R51 (proposed)</x:v>
      </x:c>
      <x:c r="F1081" s="25" t="str">
        <x:v>gold.bridge_referral_framework_category; gold.dim_framework_category; gold.fact_offer; gold.fact_referral</x:v>
      </x:c>
      <x:c r="G1081" s="25" t="str">
        <x:v>Latest saved definition; UAT pending</x:v>
      </x:c>
      <x:c r="H1081" s="25" t="str">
        <x:v>Offers received. One current stage per referral at refresh. Closed status overrides milestones; counts are not historic funnel conversion.</x:v>
      </x:c>
      <x:c r="I1081" s="25" t="str">
        <x:v>COALESCE(CALCULATE([Matching referrals], KEEPFILTERS('fact_referral'[Journey stage order] = 3)), 0)
Full logic: KPI_LATEST_CALCULATIONS.md#business-journey-referrals-3</x:v>
      </x:c>
    </x:row>
    <x:row r="1082" ht="72" customHeight="1">
      <x:c r="A1082" s="25" t="str">
        <x:v>GOLD-KPI-126</x:v>
      </x:c>
      <x:c r="B1082" s="25" t="str">
        <x:v>Referral journey</x:v>
      </x:c>
      <x:c r="C1082" s="25" t="str">
        <x:v>Journey referrals 4</x:v>
      </x:c>
      <x:c r="D1082" s="25" t="str">
        <x:v>WIP addition</x:v>
      </x:c>
      <x:c r="E1082" s="25" t="str">
        <x:v>R24, R25, R35, R51 (proposed)</x:v>
      </x:c>
      <x:c r="F1082" s="25" t="str">
        <x:v>gold.bridge_referral_framework_category; gold.dim_framework_category; gold.fact_offer; gold.fact_referral</x:v>
      </x:c>
      <x:c r="G1082" s="25" t="str">
        <x:v>Latest saved definition; UAT pending</x:v>
      </x:c>
      <x:c r="H1082" s="25" t="str">
        <x:v>Offer accepted. One current stage per referral at refresh. Closed status overrides milestones; counts are not historic funnel conversion.</x:v>
      </x:c>
      <x:c r="I1082" s="25" t="str">
        <x:v>COALESCE(CALCULATE([Matching referrals], KEEPFILTERS('fact_referral'[Journey stage order] = 4)), 0)
Full logic: KPI_LATEST_CALCULATIONS.md#business-journey-referrals-4</x:v>
      </x:c>
    </x:row>
    <x:row r="1083" ht="72" customHeight="1">
      <x:c r="A1083" s="25" t="str">
        <x:v>GOLD-KPI-127</x:v>
      </x:c>
      <x:c r="B1083" s="25" t="str">
        <x:v>Referral journey</x:v>
      </x:c>
      <x:c r="C1083" s="25" t="str">
        <x:v>Journey referrals 5</x:v>
      </x:c>
      <x:c r="D1083" s="25" t="str">
        <x:v>WIP addition</x:v>
      </x:c>
      <x:c r="E1083" s="25" t="str">
        <x:v>R24, R25, R35, R51 (proposed)</x:v>
      </x:c>
      <x:c r="F1083" s="25" t="str">
        <x:v>gold.bridge_referral_framework_category; gold.dim_framework_category; gold.fact_offer; gold.fact_referral</x:v>
      </x:c>
      <x:c r="G1083" s="25" t="str">
        <x:v>Latest saved definition; UAT pending</x:v>
      </x:c>
      <x:c r="H1083" s="25" t="str">
        <x:v>IPA created. One current stage per referral at refresh. Closed status overrides milestones; counts are not historic funnel conversion.</x:v>
      </x:c>
      <x:c r="I1083" s="25" t="str">
        <x:v>COALESCE(CALCULATE([Matching referrals], KEEPFILTERS('fact_referral'[Journey stage order] = 5)), 0)
Full logic: KPI_LATEST_CALCULATIONS.md#business-journey-referrals-5</x:v>
      </x:c>
    </x:row>
    <x:row r="1084" ht="72" customHeight="1">
      <x:c r="A1084" s="25" t="str">
        <x:v>GOLD-KPI-128</x:v>
      </x:c>
      <x:c r="B1084" s="25" t="str">
        <x:v>Referral journey</x:v>
      </x:c>
      <x:c r="C1084" s="25" t="str">
        <x:v>Journey referrals 6</x:v>
      </x:c>
      <x:c r="D1084" s="25" t="str">
        <x:v>WIP addition</x:v>
      </x:c>
      <x:c r="E1084" s="25" t="str">
        <x:v>R24, R25, R35, R51 (proposed)</x:v>
      </x:c>
      <x:c r="F1084" s="25" t="str">
        <x:v>gold.bridge_referral_framework_category; gold.dim_framework_category; gold.fact_offer; gold.fact_referral</x:v>
      </x:c>
      <x:c r="G1084" s="25" t="str">
        <x:v>Latest saved definition; UAT pending</x:v>
      </x:c>
      <x:c r="H1084" s="25" t="str">
        <x:v>IPA signed. One current stage per referral at refresh. Closed status overrides milestones; counts are not historic funnel conversion.</x:v>
      </x:c>
      <x:c r="I1084" s="25" t="str">
        <x:v>COALESCE(CALCULATE([Matching referrals], KEEPFILTERS('fact_referral'[Journey stage order] = 6)), 0)
Full logic: KPI_LATEST_CALCULATIONS.md#business-journey-referrals-6</x:v>
      </x:c>
    </x:row>
    <x:row r="1085" ht="72" customHeight="1">
      <x:c r="A1085" s="25" t="str">
        <x:v>GOLD-KPI-129</x:v>
      </x:c>
      <x:c r="B1085" s="25" t="str">
        <x:v>Referral journey</x:v>
      </x:c>
      <x:c r="C1085" s="25" t="str">
        <x:v>Journey referrals 7</x:v>
      </x:c>
      <x:c r="D1085" s="25" t="str">
        <x:v>WIP addition</x:v>
      </x:c>
      <x:c r="E1085" s="25" t="str">
        <x:v>R24, R25, R35, R51 (proposed)</x:v>
      </x:c>
      <x:c r="F1085" s="25" t="str">
        <x:v>gold.bridge_referral_framework_category; gold.dim_framework_category; gold.fact_offer; gold.fact_referral</x:v>
      </x:c>
      <x:c r="G1085" s="25" t="str">
        <x:v>Latest saved definition; UAT pending</x:v>
      </x:c>
      <x:c r="H1085" s="25" t="str">
        <x:v>Closed / cancelled / withdrawn. One current stage per referral at refresh. Closed status overrides milestones; counts are not historic funnel conversion.</x:v>
      </x:c>
      <x:c r="I1085" s="25" t="str">
        <x:v>COALESCE(CALCULATE([Matching referrals], KEEPFILTERS('fact_referral'[Journey stage order] = 7)), 0)
Full logic: KPI_LATEST_CALCULATIONS.md#business-journey-referrals-7</x:v>
      </x:c>
    </x:row>
    <x:row r="1086" ht="72" customHeight="1">
      <x:c r="A1086" s="25" t="str">
        <x:v>GOLD-KPI-130</x:v>
      </x:c>
      <x:c r="B1086" s="25" t="str">
        <x:v>Referral journey</x:v>
      </x:c>
      <x:c r="C1086" s="25" t="str">
        <x:v>Journey referrals 8</x:v>
      </x:c>
      <x:c r="D1086" s="25" t="str">
        <x:v>WIP addition</x:v>
      </x:c>
      <x:c r="E1086" s="25" t="str">
        <x:v>R24, R25, R35, R51 (proposed)</x:v>
      </x:c>
      <x:c r="F1086" s="25" t="str">
        <x:v>gold.bridge_referral_framework_category; gold.dim_framework_category; gold.fact_offer; gold.fact_referral</x:v>
      </x:c>
      <x:c r="G1086" s="25" t="str">
        <x:v>Latest saved definition; UAT pending</x:v>
      </x:c>
      <x:c r="H1086" s="25" t="str">
        <x:v>Needs review. One current stage per referral at refresh. Closed status overrides milestones; counts are not historic funnel conversion.</x:v>
      </x:c>
      <x:c r="I1086" s="25" t="str">
        <x:v>COALESCE(CALCULATE([Matching referrals], KEEPFILTERS('fact_referral'[Journey stage order] = 8)), 0)
Full logic: KPI_LATEST_CALCULATIONS.md#business-journey-referrals-8</x:v>
      </x:c>
    </x:row>
    <x:row r="1087" ht="98" customHeight="1">
      <x:c r="A1087" s="25" t="str">
        <x:v>GOLD-KPI-131</x:v>
      </x:c>
      <x:c r="B1087" s="25" t="str">
        <x:v>Provider journey</x:v>
      </x:c>
      <x:c r="C1087" s="25" t="str">
        <x:v>Journey providers 0</x:v>
      </x:c>
      <x:c r="D1087" s="25" t="str">
        <x:v>WIP addition</x:v>
      </x:c>
      <x:c r="E1087" s="25" t="str">
        <x:v>R24, R26, R28, R35 (proposed)</x:v>
      </x:c>
      <x:c r="F1087" s="25" t="str">
        <x:v>gold.dim_provider; gold.dim_provider_home; gold.dim_referral_provider_message; gold.fact_ipa; gold.fact_offer; gold.fact_referral_provider</x:v>
      </x:c>
      <x:c r="G1087" s="25" t="str">
        <x:v>Latest saved definition; UAT pending</x:v>
      </x:c>
      <x:c r="H1087" s="25" t="str">
        <x:v>Assigned / draft / unclear. Distinct provider at furthest evidenced stage in current cohort; not additive offer counts. No browsing evidence.</x:v>
      </x:c>
      <x:c r="I1087" s="25" t="str">
        <x:v>COALESCE(COUNTROWS(FILTER(VALUES('dim_provider'[provider_id]), NOT ISBLANK('dim_provider'[provider_id]) &amp;&amp; CALCULATE([Provider matches offer status]) = 1 &amp;&amp; CALCULATE([Journey provider stage]) == 0)), 0)
Full logic: KPI_LATEST_CALCULATIONS.md#business-journey-providers-0</x:v>
      </x:c>
    </x:row>
    <x:row r="1088" ht="98" customHeight="1">
      <x:c r="A1088" s="25" t="str">
        <x:v>GOLD-KPI-132</x:v>
      </x:c>
      <x:c r="B1088" s="25" t="str">
        <x:v>Provider journey</x:v>
      </x:c>
      <x:c r="C1088" s="25" t="str">
        <x:v>Journey providers 1</x:v>
      </x:c>
      <x:c r="D1088" s="25" t="str">
        <x:v>WIP addition</x:v>
      </x:c>
      <x:c r="E1088" s="25" t="str">
        <x:v>R24, R26, R28, R35 (proposed)</x:v>
      </x:c>
      <x:c r="F1088" s="25" t="str">
        <x:v>gold.dim_provider; gold.dim_provider_home; gold.dim_referral_provider_message; gold.fact_ipa; gold.fact_offer; gold.fact_referral_provider</x:v>
      </x:c>
      <x:c r="G1088" s="25" t="str">
        <x:v>Latest saved definition; UAT pending</x:v>
      </x:c>
      <x:c r="H1088" s="25" t="str">
        <x:v>Message activity only. Distinct provider at furthest evidenced stage in current cohort; not additive offer counts. No browsing evidence.</x:v>
      </x:c>
      <x:c r="I1088" s="25" t="str">
        <x:v>COALESCE(COUNTROWS(FILTER(VALUES('dim_provider'[provider_id]), NOT ISBLANK('dim_provider'[provider_id]) &amp;&amp; CALCULATE([Provider matches offer status]) = 1 &amp;&amp; CALCULATE([Journey provider stage]) == 1)), 0)
Full logic: KPI_LATEST_CALCULATIONS.md#business-journey-providers-1</x:v>
      </x:c>
    </x:row>
    <x:row r="1089" ht="98" customHeight="1">
      <x:c r="A1089" s="25" t="str">
        <x:v>GOLD-KPI-133</x:v>
      </x:c>
      <x:c r="B1089" s="25" t="str">
        <x:v>Provider journey</x:v>
      </x:c>
      <x:c r="C1089" s="25" t="str">
        <x:v>Journey providers 2</x:v>
      </x:c>
      <x:c r="D1089" s="25" t="str">
        <x:v>WIP addition</x:v>
      </x:c>
      <x:c r="E1089" s="25" t="str">
        <x:v>R24, R26, R28, R35 (proposed)</x:v>
      </x:c>
      <x:c r="F1089" s="25" t="str">
        <x:v>gold.dim_provider; gold.dim_provider_home; gold.dim_referral_provider_message; gold.fact_ipa; gold.fact_offer; gold.fact_referral_provider</x:v>
      </x:c>
      <x:c r="G1089" s="25" t="str">
        <x:v>Latest saved definition; UAT pending</x:v>
      </x:c>
      <x:c r="H1089" s="25" t="str">
        <x:v>Offers made. Distinct provider at furthest evidenced stage in current cohort; not additive offer counts. No browsing evidence.</x:v>
      </x:c>
      <x:c r="I1089" s="25" t="str">
        <x:v>COALESCE(COUNTROWS(FILTER(VALUES('dim_provider'[provider_id]), NOT ISBLANK('dim_provider'[provider_id]) &amp;&amp; CALCULATE([Provider matches offer status]) = 1 &amp;&amp; CALCULATE([Journey provider stage]) == 2)), 0)
Full logic: KPI_LATEST_CALCULATIONS.md#business-journey-providers-2</x:v>
      </x:c>
    </x:row>
    <x:row r="1090" ht="98" customHeight="1">
      <x:c r="A1090" s="25" t="str">
        <x:v>GOLD-KPI-134</x:v>
      </x:c>
      <x:c r="B1090" s="25" t="str">
        <x:v>Provider journey</x:v>
      </x:c>
      <x:c r="C1090" s="25" t="str">
        <x:v>Journey providers 3</x:v>
      </x:c>
      <x:c r="D1090" s="25" t="str">
        <x:v>WIP addition</x:v>
      </x:c>
      <x:c r="E1090" s="25" t="str">
        <x:v>R24, R26, R28, R35 (proposed)</x:v>
      </x:c>
      <x:c r="F1090" s="25" t="str">
        <x:v>gold.dim_provider; gold.dim_provider_home; gold.dim_referral_provider_message; gold.fact_ipa; gold.fact_offer; gold.fact_referral_provider</x:v>
      </x:c>
      <x:c r="G1090" s="25" t="str">
        <x:v>Latest saved definition; UAT pending</x:v>
      </x:c>
      <x:c r="H1090" s="25" t="str">
        <x:v>Offer accepted. Distinct provider at furthest evidenced stage in current cohort; not additive offer counts. No browsing evidence.</x:v>
      </x:c>
      <x:c r="I1090" s="25" t="str">
        <x:v>COALESCE(COUNTROWS(FILTER(VALUES('dim_provider'[provider_id]), NOT ISBLANK('dim_provider'[provider_id]) &amp;&amp; CALCULATE([Provider matches offer status]) = 1 &amp;&amp; CALCULATE([Journey provider stage]) == 3)), 0)
Full logic: KPI_LATEST_CALCULATIONS.md#business-journey-providers-3</x:v>
      </x:c>
    </x:row>
    <x:row r="1091" ht="98" customHeight="1">
      <x:c r="A1091" s="25" t="str">
        <x:v>GOLD-KPI-135</x:v>
      </x:c>
      <x:c r="B1091" s="25" t="str">
        <x:v>Provider journey</x:v>
      </x:c>
      <x:c r="C1091" s="25" t="str">
        <x:v>Journey providers 5</x:v>
      </x:c>
      <x:c r="D1091" s="25" t="str">
        <x:v>WIP addition</x:v>
      </x:c>
      <x:c r="E1091" s="25" t="str">
        <x:v>R24, R26, R28, R35 (proposed)</x:v>
      </x:c>
      <x:c r="F1091" s="25" t="str">
        <x:v>gold.dim_provider; gold.dim_provider_home; gold.dim_referral_provider_message; gold.fact_ipa; gold.fact_offer; gold.fact_referral_provider</x:v>
      </x:c>
      <x:c r="G1091" s="25" t="str">
        <x:v>Latest saved definition; UAT pending</x:v>
      </x:c>
      <x:c r="H1091" s="25" t="str">
        <x:v>Provider signed. Distinct provider at furthest evidenced stage in current cohort; not additive offer counts. No browsing evidence.</x:v>
      </x:c>
      <x:c r="I1091" s="25" t="str">
        <x:v>COALESCE(COUNTROWS(FILTER(VALUES('dim_provider'[provider_id]), NOT ISBLANK('dim_provider'[provider_id]) &amp;&amp; CALCULATE([Provider matches offer status]) = 1 &amp;&amp; CALCULATE([Journey provider stage]) == 5)), 0)
Full logic: KPI_LATEST_CALCULATIONS.md#business-journey-providers-5</x:v>
      </x:c>
    </x:row>
    <x:row r="1092" ht="202" customHeight="1">
      <x:c r="A1092" s="25" t="str">
        <x:v>GOLD-KPI-136</x:v>
      </x:c>
      <x:c r="B1092" s="25" t="str">
        <x:v>Provider journey</x:v>
      </x:c>
      <x:c r="C1092" s="25" t="str">
        <x:v>Journey providers both signed</x:v>
      </x:c>
      <x:c r="D1092" s="25" t="str">
        <x:v>WIP addition</x:v>
      </x:c>
      <x:c r="E1092" s="25" t="str">
        <x:v>R35, R62 (proposed)</x:v>
      </x:c>
      <x:c r="F1092" s="25" t="str">
        <x:v>gold.dim_provider; gold.dim_provider_home; gold.fact_ipa; gold.fact_offer</x:v>
      </x:c>
      <x:c r="G1092" s="25" t="str">
        <x:v>Latest saved definition; UAT pending</x:v>
      </x:c>
      <x:c r="H1092" s="25" t="str">
        <x:v>Providers with both-signed IPA evidence; subset of provider-signed, not a further stage.</x:v>
      </x:c>
      <x:c r="I1092" s="25" t="str">
        <x:v>COALESCE(COUNTROWS(FILTER(VALUES('dim_provider'[provider_id]),
			VAR offerIDs = CALCULATETABLE(VALUES('fact_offer'[offer_id]))
			VAR signedIPAs = CALCULATETABLE('fact_ipa', KEEPFILTERS(TREATAS(offerIDs, 'fact_ipa'[accepted_offer_id])))
			RETURN NOT ISBLANK('dim_provider'[provider_id]) &amp;&amp; CALCULATE([Provider matches offer status]) = 1 &amp;&amp; COUNTROWS(FILTER(signedIPAs, 'fact_ipa'[signed_by_provider] == TRUE() &amp;&amp; 'fact_ipa'[signed_by_local_authority] == TRUE())) &gt; 0)),0)
Full logic: KPI_LATEST_CALCULATIONS.md#business-journey-providers-both-signed</x:v>
      </x:c>
    </x:row>
    <x:row r="1093" ht="59" customHeight="1">
      <x:c r="A1093" s="25" t="str">
        <x:v>GOLD-KPI-137</x:v>
      </x:c>
      <x:c r="B1093" s="25" t="str">
        <x:v>Provider performance</x:v>
      </x:c>
      <x:c r="C1093" s="25" t="str">
        <x:v>Provider Response Rate</x:v>
      </x:c>
      <x:c r="D1093" s="25" t="str">
        <x:v>WIP addition</x:v>
      </x:c>
      <x:c r="E1093" s="25" t="str">
        <x:v>R26, R51 (proposed)</x:v>
      </x:c>
      <x:c r="F1093" s="25" t="str">
        <x:v>gold.fact_provider_kpi_monthly</x:v>
      </x:c>
      <x:c r="G1093" s="25" t="str">
        <x:v>Latest saved definition; UAT pending</x:v>
      </x:c>
      <x:c r="H1093" s="25" t="str">
        <x:v>Assignment-cohort component based on qualifying offers/reasons. Not a message SLA, composite score or suitability rating.</x:v>
      </x:c>
      <x:c r="I1093" s="25" t="str">
        <x:v>DIVIDE ( [Provider Qualifying Responses], [Provider Response Opportunities] )
Full logic: KPI_LATEST_CALCULATIONS.md#business-provider-response-rate</x:v>
      </x:c>
    </x:row>
    <x:row r="1094" ht="163" customHeight="1">
      <x:c r="A1094" s="25" t="str">
        <x:v>GOLD-KPI-138</x:v>
      </x:c>
      <x:c r="B1094" s="25" t="str">
        <x:v>Provider performance</x:v>
      </x:c>
      <x:c r="C1094" s="25" t="str">
        <x:v>Provider Average Response Hours</x:v>
      </x:c>
      <x:c r="D1094" s="25" t="str">
        <x:v>WIP addition</x:v>
      </x:c>
      <x:c r="E1094" s="25" t="str">
        <x:v>R26, R51 (proposed)</x:v>
      </x:c>
      <x:c r="F1094" s="25" t="str">
        <x:v>gold.fact_provider_kpi_monthly</x:v>
      </x:c>
      <x:c r="G1094" s="25" t="str">
        <x:v>Latest saved definition; UAT pending</x:v>
      </x:c>
      <x:c r="H1094" s="25" t="str">
        <x:v>Assignment-cohort component based on qualifying offers/reasons. Not a message SLA, composite score or suitability rating.</x:v>
      </x:c>
      <x:c r="I1094" s="25" t="str">
        <x:v>DIVIDE (
				SUMX (
					'fact_provider_kpi_monthly',
					'fact_provider_kpi_monthly'[average_response_minutes]
						* 'fact_provider_kpi_monthly'[qualifying_response_count]
				),
				[Provider Qualifying Responses] * 60
			)
Full logic: KPI_LATEST_CALCULATIONS.md#business-provider-average-response-hours</x:v>
      </x:c>
    </x:row>
    <x:row r="1095" ht="111" customHeight="1">
      <x:c r="A1095" s="25" t="str">
        <x:v>GOLD-KPI-139</x:v>
      </x:c>
      <x:c r="B1095" s="25" t="str">
        <x:v>Provider performance</x:v>
      </x:c>
      <x:c r="C1095" s="25" t="str">
        <x:v>Provider Offer Conversion Rate</x:v>
      </x:c>
      <x:c r="D1095" s="25" t="str">
        <x:v>WIP addition</x:v>
      </x:c>
      <x:c r="E1095" s="25" t="str">
        <x:v>R26, R51 (proposed)</x:v>
      </x:c>
      <x:c r="F1095" s="25" t="str">
        <x:v>gold.fact_provider_kpi_monthly</x:v>
      </x:c>
      <x:c r="G1095" s="25" t="str">
        <x:v>Latest saved definition; UAT pending</x:v>
      </x:c>
      <x:c r="H1095" s="25" t="str">
        <x:v>Assignment-cohort component based on qualifying offers/reasons. Not a message SLA, composite score or suitability rating.</x:v>
      </x:c>
      <x:c r="I1095" s="25" t="str">
        <x:v>DIVIDE (
				SUM ( 'fact_provider_kpi_monthly'[accepted_offer_count] ),
				SUM ( 'fact_provider_kpi_monthly'[offers_submitted_count] )
			)
Full logic: KPI_LATEST_CALCULATIONS.md#business-provider-offer-conversion-rate</x:v>
      </x:c>
    </x:row>
    <x:row r="1096" ht="111" customHeight="1">
      <x:c r="A1096" s="25" t="str">
        <x:v>GOLD-KPI-140</x:v>
      </x:c>
      <x:c r="B1096" s="25" t="str">
        <x:v>Provider performance</x:v>
      </x:c>
      <x:c r="C1096" s="25" t="str">
        <x:v>Provider Target Placement Rate</x:v>
      </x:c>
      <x:c r="D1096" s="25" t="str">
        <x:v>WIP addition</x:v>
      </x:c>
      <x:c r="E1096" s="25" t="str">
        <x:v>R26, R51 (proposed)</x:v>
      </x:c>
      <x:c r="F1096" s="25" t="str">
        <x:v>gold.fact_provider_kpi_monthly</x:v>
      </x:c>
      <x:c r="G1096" s="25" t="str">
        <x:v>Latest saved definition; UAT pending</x:v>
      </x:c>
      <x:c r="H1096" s="25" t="str">
        <x:v>Assignment-cohort component based on qualifying offers/reasons. Not a message SLA, composite score or suitability rating.</x:v>
      </x:c>
      <x:c r="I1096" s="25" t="str">
        <x:v>DIVIDE (
				SUM ( 'fact_provider_kpi_monthly'[placed_by_target_count] ),
				SUM ( 'fact_provider_kpi_monthly'[successful_referral_count] )
			)
Full logic: KPI_LATEST_CALCULATIONS.md#business-provider-target-placement-rate</x:v>
      </x:c>
    </x:row>
    <x:row r="1097" ht="59" customHeight="1">
      <x:c r="A1097" s="25" t="str">
        <x:v>GOLD-KPI-141</x:v>
      </x:c>
      <x:c r="B1097" s="25" t="str">
        <x:v>Location coverage</x:v>
      </x:c>
      <x:c r="C1097" s="25" t="str">
        <x:v>Preferred-city distance coverage</x:v>
      </x:c>
      <x:c r="D1097" s="25" t="str">
        <x:v>WIP addition</x:v>
      </x:c>
      <x:c r="E1097" s="25" t="str">
        <x:v>R13, R51 (proposed)</x:v>
      </x:c>
      <x:c r="F1097" s="25" t="str">
        <x:v>gold.fact_offer</x:v>
      </x:c>
      <x:c r="G1097" s="25" t="str">
        <x:v>Latest saved definition; UAT pending</x:v>
      </x:c>
      <x:c r="H1097" s="25" t="str">
        <x:v>Share of offers with preference-city distance evidence. Missing coordinates are not zero distance.</x:v>
      </x:c>
      <x:c r="I1097" s="25" t="str">
        <x:v>DIVIDE([Offers with preferred-city distance],[Offers Submitted])
Full logic: KPI_LATEST_CALCULATIONS.md#business-preferred-city-distance-coverage</x:v>
      </x:c>
    </x:row>
    <x:row r="1098" ht="98" customHeight="1">
      <x:c r="A1098" s="25" t="str">
        <x:v>GOLD-KPI-142</x:v>
      </x:c>
      <x:c r="B1098" s="25" t="str">
        <x:v>Location distance</x:v>
      </x:c>
      <x:c r="C1098" s="25" t="str">
        <x:v>Median preferred-city distance km</x:v>
      </x:c>
      <x:c r="D1098" s="25" t="str">
        <x:v>WIP addition</x:v>
      </x:c>
      <x:c r="E1098" s="25" t="str">
        <x:v>R13, R51 (proposed)</x:v>
      </x:c>
      <x:c r="F1098" s="25" t="str">
        <x:v>gold.fact_offer</x:v>
      </x:c>
      <x:c r="G1098" s="25" t="str">
        <x:v>Latest saved definition; UAT pending</x:v>
      </x:c>
      <x:c r="H1098" s="25" t="str">
        <x:v>City-centroid to postcode straight-line estimate, not child-address or road distance; approved coordinates required.</x:v>
      </x:c>
      <x:c r="I1098" s="25" t="str">
        <x:v>MEDIANX(FILTER('fact_offer','fact_offer'[referral_to_home_distance_status]="APPROXIMATE_PREFERENCE_CITY" &amp;&amp; NOT ISBLANK('fact_offer'[referral_to_home_distance_km])),'fact_offer'[referral_to_home_distance_km])
Full logic: KPI_LATEST_CALCULATIONS.md#business-median-preferred-city-distance-km</x:v>
      </x:c>
    </x:row>
    <x:row r="1099" ht="111" customHeight="1">
      <x:c r="A1099" s="25" t="str">
        <x:v>GOLD-KPI-143</x:v>
      </x:c>
      <x:c r="B1099" s="25" t="str">
        <x:v>Placement supply</x:v>
      </x:c>
      <x:c r="C1099" s="25" t="str">
        <x:v>Homes Offered</x:v>
      </x:c>
      <x:c r="D1099" s="25" t="str">
        <x:v>WIP addition</x:v>
      </x:c>
      <x:c r="E1099" s="25" t="str">
        <x:v>R26, R51, R93 (proposed)</x:v>
      </x:c>
      <x:c r="F1099" s="25" t="str">
        <x:v>gold.fact_offer</x:v>
      </x:c>
      <x:c r="G1099" s="25" t="str">
        <x:v>Latest saved definition; UAT pending</x:v>
      </x:c>
      <x:c r="H1099" s="25" t="str">
        <x:v>Distinct offered homes in current context; not spare capacity or available beds.</x:v>
      </x:c>
      <x:c r="I1099" s="25" t="str">
        <x:v>CALCULATE ( DISTINCTCOUNT ( 'fact_offer'[provider_home_id] ),
			    KEEPFILTERS ( FILTER ( 'fact_offer', NOT ISBLANK ( 'fact_offer'[provider_home_id] ) &amp;&amp; 'fact_offer'[provider_home_id] &lt;&gt; "" ) ) )
Full logic: KPI_LATEST_CALCULATIONS.md#business-homes-offered</x:v>
      </x:c>
    </x:row>
    <x:row r="1100" ht="72" customHeight="1">
      <x:c r="A1100" s="25" t="str">
        <x:v>GOLD-KPI-144</x:v>
      </x:c>
      <x:c r="B1100" s="25" t="str">
        <x:v>Urgency</x:v>
      </x:c>
      <x:c r="C1100" s="25" t="str">
        <x:v>Critical Overdue Referrals</x:v>
      </x:c>
      <x:c r="D1100" s="25" t="str">
        <x:v>WIP addition</x:v>
      </x:c>
      <x:c r="E1100" s="25" t="str">
        <x:v>R16, R24 (proposed)</x:v>
      </x:c>
      <x:c r="F1100" s="25" t="str">
        <x:v>gold.fact_referral</x:v>
      </x:c>
      <x:c r="G1100" s="25" t="str">
        <x:v>Latest saved definition; UAT pending</x:v>
      </x:c>
      <x:c r="H1100" s="25" t="str">
        <x:v>Operational overdue/critical cohort; validate urgency rule with owner before escalation.</x:v>
      </x:c>
      <x:c r="I1100" s="25" t="str">
        <x:v>CALCULATE ( [Open Overdue Referrals],
			    KEEPFILTERS ( 'fact_referral'[placement_urgency_band] = "Critical" ) )
Full logic: KPI_LATEST_CALCULATIONS.md#business-critical-overdue-referrals</x:v>
      </x:c>
    </x:row>
    <x:row r="1101" ht="33" customHeight="1">
      <x:c r="A1101"/>
      <x:c r="B1101"/>
      <x:c r="C1101"/>
      <x:c r="D1101"/>
      <x:c r="E1101"/>
      <x:c r="F1101"/>
      <x:c r="G1101"/>
      <x:c r="H1101"/>
      <x:c r="I1101"/>
    </x:row>
    <x:row r="1102" ht="33" customHeight="1">
      <x:c r="A1102"/>
      <x:c r="B1102"/>
      <x:c r="C1102"/>
      <x:c r="D1102"/>
      <x:c r="E1102"/>
      <x:c r="F1102"/>
      <x:c r="G1102"/>
      <x:c r="H1102"/>
      <x:c r="I1102"/>
    </x:row>
    <x:row r="1103" ht="25" customHeight="1">
      <x:c r="A1103" s="22" t="str">
        <x:v>Latest model table inventories — business and operational</x:v>
      </x:c>
      <x:c r="B1103" s="22"/>
      <x:c r="C1103" s="22"/>
      <x:c r="D1103" s="22"/>
      <x:c r="E1103" s="22"/>
      <x:c r="F1103" s="22"/>
      <x:c r="G1103" s="22"/>
      <x:c r="H1103" s="22"/>
      <x:c r="I1103" s="22"/>
    </x:row>
    <x:row r="1104" ht="35" customHeight="1">
      <x:c r="A1104" s="35" t="str">
        <x:v>Model</x:v>
      </x:c>
      <x:c r="B1104" s="35" t="str">
        <x:v>Table</x:v>
      </x:c>
      <x:c r="C1104" s="35" t="str">
        <x:v>Kind</x:v>
      </x:c>
      <x:c r="D1104" s="35" t="str">
        <x:v>Physical source</x:v>
      </x:c>
      <x:c r="E1104" s="35" t="str">
        <x:v>Columns</x:v>
      </x:c>
      <x:c r="F1104" s="35" t="str">
        <x:v>Measures</x:v>
      </x:c>
      <x:c r="G1104" s="35" t="str">
        <x:v>Source</x:v>
      </x:c>
      <x:c r="H1104" s="35" t="str">
        <x:v>Verification</x:v>
      </x:c>
      <x:c r="I1104" s="35" t="str">
        <x:v>Boundary</x:v>
      </x:c>
    </x:row>
    <x:row r="1105" ht="33" customHeight="1">
      <x:c r="A1105" s="25" t="str">
        <x:v>business</x:v>
      </x:c>
      <x:c r="B1105" s="25" t="str">
        <x:v>Dashboard Metric Selector</x:v>
      </x:c>
      <x:c r="C1105" s="25" t="str">
        <x:v>Model/local/calculated</x:v>
      </x:c>
      <x:c r="D1105" s="25" t="str">
        <x:v>No direct physical source asserted</x:v>
      </x:c>
      <x:c r="E1105" s="25" t="n">
        <x:v>3</x:v>
      </x:c>
      <x:c r="F1105" s="25" t="n">
        <x:v>0</x:v>
      </x:c>
      <x:c r="G1105" s="25" t="str">
        <x:v>project X/reports/WIP/SM WMPP v16 updated WIP/SM_WMPP_v16.SemanticModel/definition/tables/Dashboard Metric Selector.tmdl</x:v>
      </x:c>
      <x:c r="H1105" s="25" t="str">
        <x:v>Saved source snapshot</x:v>
      </x:c>
      <x:c r="I1105" s="25" t="str">
        <x:v>Relationships and deployment not inferred</x:v>
      </x:c>
    </x:row>
    <x:row r="1106" ht="33" customHeight="1">
      <x:c r="A1106" s="25" t="str">
        <x:v>business</x:v>
      </x:c>
      <x:c r="B1106" s="25" t="str">
        <x:v>Days to Target</x:v>
      </x:c>
      <x:c r="C1106" s="25" t="str">
        <x:v>Model/local/calculated</x:v>
      </x:c>
      <x:c r="D1106" s="25" t="str">
        <x:v>No direct physical source asserted</x:v>
      </x:c>
      <x:c r="E1106" s="25" t="n">
        <x:v>2</x:v>
      </x:c>
      <x:c r="F1106" s="25" t="n">
        <x:v>0</x:v>
      </x:c>
      <x:c r="G1106" s="25" t="str">
        <x:v>project X/reports/WIP/SM WMPP v16 updated WIP/SM_WMPP_v16.SemanticModel/definition/tables/Days to Target.tmdl</x:v>
      </x:c>
      <x:c r="H1106" s="25" t="str">
        <x:v>Saved source snapshot</x:v>
      </x:c>
      <x:c r="I1106" s="25" t="str">
        <x:v>Relationships and deployment not inferred</x:v>
      </x:c>
    </x:row>
    <x:row r="1107" ht="33" customHeight="1">
      <x:c r="A1107" s="25" t="str">
        <x:v>business</x:v>
      </x:c>
      <x:c r="B1107" s="25" t="str">
        <x:v>Directory Summary Axis</x:v>
      </x:c>
      <x:c r="C1107" s="25" t="str">
        <x:v>Model/local/calculated</x:v>
      </x:c>
      <x:c r="D1107" s="25" t="str">
        <x:v>No direct physical source asserted</x:v>
      </x:c>
      <x:c r="E1107" s="25" t="n">
        <x:v>1</x:v>
      </x:c>
      <x:c r="F1107" s="25" t="n">
        <x:v>0</x:v>
      </x:c>
      <x:c r="G1107" s="25" t="str">
        <x:v>project X/reports/WIP/SM WMPP v16 updated WIP/SM_WMPP_v16.SemanticModel/definition/tables/Directory Summary Axis.tmdl</x:v>
      </x:c>
      <x:c r="H1107" s="25" t="str">
        <x:v>Saved source snapshot</x:v>
      </x:c>
      <x:c r="I1107" s="25" t="str">
        <x:v>Relationships and deployment not inferred</x:v>
      </x:c>
    </x:row>
    <x:row r="1108" ht="33" customHeight="1">
      <x:c r="A1108" s="25" t="str">
        <x:v>business</x:v>
      </x:c>
      <x:c r="B1108" s="25" t="str">
        <x:v>Draft Age Band Table</x:v>
      </x:c>
      <x:c r="C1108" s="25" t="str">
        <x:v>Model/local/calculated</x:v>
      </x:c>
      <x:c r="D1108" s="25" t="str">
        <x:v>No direct physical source asserted</x:v>
      </x:c>
      <x:c r="E1108" s="25" t="n">
        <x:v>2</x:v>
      </x:c>
      <x:c r="F1108" s="25" t="n">
        <x:v>0</x:v>
      </x:c>
      <x:c r="G1108" s="25" t="str">
        <x:v>project X/reports/WIP/SM WMPP v16 updated WIP/SM_WMPP_v16.SemanticModel/definition/tables/Draft Age Band Table.tmdl</x:v>
      </x:c>
      <x:c r="H1108" s="25" t="str">
        <x:v>Saved source snapshot</x:v>
      </x:c>
      <x:c r="I1108" s="25" t="str">
        <x:v>Relationships and deployment not inferred</x:v>
      </x:c>
    </x:row>
    <x:row r="1109" ht="33" customHeight="1">
      <x:c r="A1109" s="25" t="str">
        <x:v>business</x:v>
      </x:c>
      <x:c r="B1109" s="25" t="str">
        <x:v>Explorer Offer Activity</x:v>
      </x:c>
      <x:c r="C1109" s="25" t="str">
        <x:v>Model/local/calculated</x:v>
      </x:c>
      <x:c r="D1109" s="25" t="str">
        <x:v>No direct physical source asserted</x:v>
      </x:c>
      <x:c r="E1109" s="25" t="n">
        <x:v>1</x:v>
      </x:c>
      <x:c r="F1109" s="25" t="n">
        <x:v>0</x:v>
      </x:c>
      <x:c r="G1109" s="25" t="str">
        <x:v>project X/reports/WIP/SM WMPP v16 updated WIP/SM_WMPP_v16.SemanticModel/definition/tables/Explorer Offer Activity.tmdl</x:v>
      </x:c>
      <x:c r="H1109" s="25" t="str">
        <x:v>Saved source snapshot</x:v>
      </x:c>
      <x:c r="I1109" s="25" t="str">
        <x:v>Relationships and deployment not inferred</x:v>
      </x:c>
    </x:row>
    <x:row r="1110" ht="33" customHeight="1">
      <x:c r="A1110" s="25" t="str">
        <x:v>business</x:v>
      </x:c>
      <x:c r="B1110" s="25" t="str">
        <x:v>Explorer Offer Status</x:v>
      </x:c>
      <x:c r="C1110" s="25" t="str">
        <x:v>Model/local/calculated</x:v>
      </x:c>
      <x:c r="D1110" s="25" t="str">
        <x:v>No direct physical source asserted</x:v>
      </x:c>
      <x:c r="E1110" s="25" t="n">
        <x:v>1</x:v>
      </x:c>
      <x:c r="F1110" s="25" t="n">
        <x:v>0</x:v>
      </x:c>
      <x:c r="G1110" s="25" t="str">
        <x:v>project X/reports/WIP/SM WMPP v16 updated WIP/SM_WMPP_v16.SemanticModel/definition/tables/Explorer Offer Status.tmdl</x:v>
      </x:c>
      <x:c r="H1110" s="25" t="str">
        <x:v>Saved source snapshot</x:v>
      </x:c>
      <x:c r="I1110" s="25" t="str">
        <x:v>Relationships and deployment not inferred</x:v>
      </x:c>
    </x:row>
    <x:row r="1111" ht="33" customHeight="1">
      <x:c r="A1111" s="25" t="str">
        <x:v>business</x:v>
      </x:c>
      <x:c r="B1111" s="25" t="str">
        <x:v>Fostering Axis</x:v>
      </x:c>
      <x:c r="C1111" s="25" t="str">
        <x:v>Model/local/calculated</x:v>
      </x:c>
      <x:c r="D1111" s="25" t="str">
        <x:v>No direct physical source asserted</x:v>
      </x:c>
      <x:c r="E1111" s="25" t="n">
        <x:v>1</x:v>
      </x:c>
      <x:c r="F1111" s="25" t="n">
        <x:v>0</x:v>
      </x:c>
      <x:c r="G1111" s="25" t="str">
        <x:v>project X/reports/WIP/SM WMPP v16 updated WIP/SM_WMPP_v16.SemanticModel/definition/tables/Fostering Axis.tmdl</x:v>
      </x:c>
      <x:c r="H1111" s="25" t="str">
        <x:v>Saved source snapshot</x:v>
      </x:c>
      <x:c r="I1111" s="25" t="str">
        <x:v>Relationships and deployment not inferred</x:v>
      </x:c>
    </x:row>
    <x:row r="1112" ht="33" customHeight="1">
      <x:c r="A1112" s="25" t="str">
        <x:v>business</x:v>
      </x:c>
      <x:c r="B1112" s="25" t="str">
        <x:v>Journey Detail Selection</x:v>
      </x:c>
      <x:c r="C1112" s="25" t="str">
        <x:v>Model/local/calculated</x:v>
      </x:c>
      <x:c r="D1112" s="25" t="str">
        <x:v>No direct physical source asserted</x:v>
      </x:c>
      <x:c r="E1112" s="25" t="n">
        <x:v>2</x:v>
      </x:c>
      <x:c r="F1112" s="25" t="n">
        <x:v>0</x:v>
      </x:c>
      <x:c r="G1112" s="25" t="str">
        <x:v>project X/reports/WIP/SM WMPP v16 updated WIP/SM_WMPP_v16.SemanticModel/definition/tables/Journey Detail Selection.tmdl</x:v>
      </x:c>
      <x:c r="H1112" s="25" t="str">
        <x:v>Saved source snapshot</x:v>
      </x:c>
      <x:c r="I1112" s="25" t="str">
        <x:v>Relationships and deployment not inferred</x:v>
      </x:c>
    </x:row>
    <x:row r="1113" ht="33" customHeight="1">
      <x:c r="A1113" s="25" t="str">
        <x:v>business</x:v>
      </x:c>
      <x:c r="B1113" s="25" t="str">
        <x:v>Journey Provider Selection</x:v>
      </x:c>
      <x:c r="C1113" s="25" t="str">
        <x:v>Model/local/calculated</x:v>
      </x:c>
      <x:c r="D1113" s="25" t="str">
        <x:v>No direct physical source asserted</x:v>
      </x:c>
      <x:c r="E1113" s="25" t="n">
        <x:v>2</x:v>
      </x:c>
      <x:c r="F1113" s="25" t="n">
        <x:v>0</x:v>
      </x:c>
      <x:c r="G1113" s="25" t="str">
        <x:v>project X/reports/WIP/SM WMPP v16 updated WIP/SM_WMPP_v16.SemanticModel/definition/tables/Journey Provider Selection.tmdl</x:v>
      </x:c>
      <x:c r="H1113" s="25" t="str">
        <x:v>Saved source snapshot</x:v>
      </x:c>
      <x:c r="I1113" s="25" t="str">
        <x:v>Relationships and deployment not inferred</x:v>
      </x:c>
    </x:row>
    <x:row r="1114" ht="33" customHeight="1">
      <x:c r="A1114" s="25" t="str">
        <x:v>business</x:v>
      </x:c>
      <x:c r="B1114" s="25" t="str">
        <x:v>KPI Selector</x:v>
      </x:c>
      <x:c r="C1114" s="25" t="str">
        <x:v>Model/local/calculated</x:v>
      </x:c>
      <x:c r="D1114" s="25" t="str">
        <x:v>No direct physical source asserted</x:v>
      </x:c>
      <x:c r="E1114" s="25" t="n">
        <x:v>3</x:v>
      </x:c>
      <x:c r="F1114" s="25" t="n">
        <x:v>0</x:v>
      </x:c>
      <x:c r="G1114" s="25" t="str">
        <x:v>project X/reports/WIP/SM WMPP v16 updated WIP/SM_WMPP_v16.SemanticModel/definition/tables/KPI Selector.tmdl</x:v>
      </x:c>
      <x:c r="H1114" s="25" t="str">
        <x:v>Saved source snapshot</x:v>
      </x:c>
      <x:c r="I1114" s="25" t="str">
        <x:v>Relationships and deployment not inferred</x:v>
      </x:c>
    </x:row>
    <x:row r="1115" ht="33" customHeight="1">
      <x:c r="A1115" s="25" t="str">
        <x:v>business</x:v>
      </x:c>
      <x:c r="B1115" s="25" t="str">
        <x:v>Linked Provider Referrals</x:v>
      </x:c>
      <x:c r="C1115" s="25" t="str">
        <x:v>Model/local/calculated</x:v>
      </x:c>
      <x:c r="D1115" s="25" t="str">
        <x:v>No direct physical source asserted</x:v>
      </x:c>
      <x:c r="E1115" s="25" t="n">
        <x:v>4</x:v>
      </x:c>
      <x:c r="F1115" s="25" t="n">
        <x:v>8</x:v>
      </x:c>
      <x:c r="G1115" s="25" t="str">
        <x:v>project X/reports/WIP/SM WMPP v16 updated WIP/SM_WMPP_v16.SemanticModel/definition/tables/Linked Provider Referrals.tmdl</x:v>
      </x:c>
      <x:c r="H1115" s="25" t="str">
        <x:v>Saved source snapshot</x:v>
      </x:c>
      <x:c r="I1115" s="25" t="str">
        <x:v>Relationships and deployment not inferred</x:v>
      </x:c>
    </x:row>
    <x:row r="1116" ht="33" customHeight="1">
      <x:c r="A1116" s="25" t="str">
        <x:v>business</x:v>
      </x:c>
      <x:c r="B1116" s="25" t="str">
        <x:v>Offer Category</x:v>
      </x:c>
      <x:c r="C1116" s="25" t="str">
        <x:v>Model/local/calculated</x:v>
      </x:c>
      <x:c r="D1116" s="25" t="str">
        <x:v>No direct physical source asserted</x:v>
      </x:c>
      <x:c r="E1116" s="25" t="n">
        <x:v>3</x:v>
      </x:c>
      <x:c r="F1116" s="25" t="n">
        <x:v>0</x:v>
      </x:c>
      <x:c r="G1116" s="25" t="str">
        <x:v>project X/reports/WIP/SM WMPP v16 updated WIP/SM_WMPP_v16.SemanticModel/definition/tables/Offer Category.tmdl</x:v>
      </x:c>
      <x:c r="H1116" s="25" t="str">
        <x:v>Saved source snapshot</x:v>
      </x:c>
      <x:c r="I1116" s="25" t="str">
        <x:v>Relationships and deployment not inferred</x:v>
      </x:c>
    </x:row>
    <x:row r="1117" ht="33" customHeight="1">
      <x:c r="A1117" s="25" t="str">
        <x:v>business</x:v>
      </x:c>
      <x:c r="B1117" s="25" t="str">
        <x:v>Offer Journey Stage</x:v>
      </x:c>
      <x:c r="C1117" s="25" t="str">
        <x:v>Model/local/calculated</x:v>
      </x:c>
      <x:c r="D1117" s="25" t="str">
        <x:v>No direct physical source asserted</x:v>
      </x:c>
      <x:c r="E1117" s="25" t="n">
        <x:v>2</x:v>
      </x:c>
      <x:c r="F1117" s="25" t="n">
        <x:v>0</x:v>
      </x:c>
      <x:c r="G1117" s="25" t="str">
        <x:v>project X/reports/WIP/SM WMPP v16 updated WIP/SM_WMPP_v16.SemanticModel/definition/tables/Offer Journey Stage.tmdl</x:v>
      </x:c>
      <x:c r="H1117" s="25" t="str">
        <x:v>Saved source snapshot</x:v>
      </x:c>
      <x:c r="I1117" s="25" t="str">
        <x:v>Relationships and deployment not inferred</x:v>
      </x:c>
    </x:row>
    <x:row r="1118" ht="33" customHeight="1">
      <x:c r="A1118" s="25" t="str">
        <x:v>business</x:v>
      </x:c>
      <x:c r="B1118" s="25" t="str">
        <x:v>Offer Location Paths</x:v>
      </x:c>
      <x:c r="C1118" s="25" t="str">
        <x:v>Model/local/calculated</x:v>
      </x:c>
      <x:c r="D1118" s="25" t="str">
        <x:v>No direct physical source asserted</x:v>
      </x:c>
      <x:c r="E1118" s="25" t="n">
        <x:v>13</x:v>
      </x:c>
      <x:c r="F1118" s="25" t="n">
        <x:v>11</x:v>
      </x:c>
      <x:c r="G1118" s="25" t="str">
        <x:v>project X/reports/WIP/SM WMPP v16 updated WIP/SM_WMPP_v16.SemanticModel/definition/tables/Offer Location Paths.tmdl</x:v>
      </x:c>
      <x:c r="H1118" s="25" t="str">
        <x:v>Saved source snapshot</x:v>
      </x:c>
      <x:c r="I1118" s="25" t="str">
        <x:v>Relationships and deployment not inferred</x:v>
      </x:c>
    </x:row>
    <x:row r="1119" ht="33" customHeight="1">
      <x:c r="A1119" s="25" t="str">
        <x:v>business</x:v>
      </x:c>
      <x:c r="B1119" s="25" t="str">
        <x:v>Open Referral Age</x:v>
      </x:c>
      <x:c r="C1119" s="25" t="str">
        <x:v>Model/local/calculated</x:v>
      </x:c>
      <x:c r="D1119" s="25" t="str">
        <x:v>No direct physical source asserted</x:v>
      </x:c>
      <x:c r="E1119" s="25" t="n">
        <x:v>2</x:v>
      </x:c>
      <x:c r="F1119" s="25" t="n">
        <x:v>0</x:v>
      </x:c>
      <x:c r="G1119" s="25" t="str">
        <x:v>project X/reports/WIP/SM WMPP v16 updated WIP/SM_WMPP_v16.SemanticModel/definition/tables/Open Referral Age.tmdl</x:v>
      </x:c>
      <x:c r="H1119" s="25" t="str">
        <x:v>Saved source snapshot</x:v>
      </x:c>
      <x:c r="I1119" s="25" t="str">
        <x:v>Relationships and deployment not inferred</x:v>
      </x:c>
    </x:row>
    <x:row r="1120" ht="33" customHeight="1">
      <x:c r="A1120" s="25" t="str">
        <x:v>business</x:v>
      </x:c>
      <x:c r="B1120" s="25" t="str">
        <x:v>Placement Window</x:v>
      </x:c>
      <x:c r="C1120" s="25" t="str">
        <x:v>Model/local/calculated</x:v>
      </x:c>
      <x:c r="D1120" s="25" t="str">
        <x:v>No direct physical source asserted</x:v>
      </x:c>
      <x:c r="E1120" s="25" t="n">
        <x:v>2</x:v>
      </x:c>
      <x:c r="F1120" s="25" t="n">
        <x:v>0</x:v>
      </x:c>
      <x:c r="G1120" s="25" t="str">
        <x:v>project X/reports/WIP/SM WMPP v16 updated WIP/SM_WMPP_v16.SemanticModel/definition/tables/Placement Window.tmdl</x:v>
      </x:c>
      <x:c r="H1120" s="25" t="str">
        <x:v>Saved source snapshot</x:v>
      </x:c>
      <x:c r="I1120" s="25" t="str">
        <x:v>Relationships and deployment not inferred</x:v>
      </x:c>
    </x:row>
    <x:row r="1121" ht="33" customHeight="1">
      <x:c r="A1121" s="25" t="str">
        <x:v>business</x:v>
      </x:c>
      <x:c r="B1121" s="25" t="str">
        <x:v>Provider Explorer KPI</x:v>
      </x:c>
      <x:c r="C1121" s="25" t="str">
        <x:v>Model/local/calculated</x:v>
      </x:c>
      <x:c r="D1121" s="25" t="str">
        <x:v>No direct physical source asserted</x:v>
      </x:c>
      <x:c r="E1121" s="25" t="n">
        <x:v>4</x:v>
      </x:c>
      <x:c r="F1121" s="25" t="n">
        <x:v>0</x:v>
      </x:c>
      <x:c r="G1121" s="25" t="str">
        <x:v>project X/reports/WIP/SM WMPP v16 updated WIP/SM_WMPP_v16.SemanticModel/definition/tables/Provider Explorer KPI.tmdl</x:v>
      </x:c>
      <x:c r="H1121" s="25" t="str">
        <x:v>Saved source snapshot</x:v>
      </x:c>
      <x:c r="I1121" s="25" t="str">
        <x:v>Relationships and deployment not inferred</x:v>
      </x:c>
    </x:row>
    <x:row r="1122" ht="33" customHeight="1">
      <x:c r="A1122" s="25" t="str">
        <x:v>business</x:v>
      </x:c>
      <x:c r="B1122" s="25" t="str">
        <x:v>Provider Offer Status</x:v>
      </x:c>
      <x:c r="C1122" s="25" t="str">
        <x:v>Model/local/calculated</x:v>
      </x:c>
      <x:c r="D1122" s="25" t="str">
        <x:v>No direct physical source asserted</x:v>
      </x:c>
      <x:c r="E1122" s="25" t="n">
        <x:v>1</x:v>
      </x:c>
      <x:c r="F1122" s="25" t="n">
        <x:v>0</x:v>
      </x:c>
      <x:c r="G1122" s="25" t="str">
        <x:v>project X/reports/WIP/SM WMPP v16 updated WIP/SM_WMPP_v16.SemanticModel/definition/tables/Provider Offer Status.tmdl</x:v>
      </x:c>
      <x:c r="H1122" s="25" t="str">
        <x:v>Saved source snapshot</x:v>
      </x:c>
      <x:c r="I1122" s="25" t="str">
        <x:v>Relationships and deployment not inferred</x:v>
      </x:c>
    </x:row>
    <x:row r="1123" ht="33" customHeight="1">
      <x:c r="A1123" s="25" t="str">
        <x:v>business</x:v>
      </x:c>
      <x:c r="B1123" s="25" t="str">
        <x:v>Provider Scoring Evidence</x:v>
      </x:c>
      <x:c r="C1123" s="25" t="str">
        <x:v>Model/local/calculated</x:v>
      </x:c>
      <x:c r="D1123" s="25" t="str">
        <x:v>No direct physical source asserted</x:v>
      </x:c>
      <x:c r="E1123" s="25" t="n">
        <x:v>4</x:v>
      </x:c>
      <x:c r="F1123" s="25" t="n">
        <x:v>0</x:v>
      </x:c>
      <x:c r="G1123" s="25" t="str">
        <x:v>project X/reports/WIP/SM WMPP v16 updated WIP/SM_WMPP_v16.SemanticModel/definition/tables/Provider Scoring Evidence.tmdl</x:v>
      </x:c>
      <x:c r="H1123" s="25" t="str">
        <x:v>Saved source snapshot</x:v>
      </x:c>
      <x:c r="I1123" s="25" t="str">
        <x:v>Relationships and deployment not inferred</x:v>
      </x:c>
    </x:row>
    <x:row r="1124" ht="33" customHeight="1">
      <x:c r="A1124" s="25" t="str">
        <x:v>business</x:v>
      </x:c>
      <x:c r="B1124" s="25" t="str">
        <x:v>Referral Breakdown</x:v>
      </x:c>
      <x:c r="C1124" s="25" t="str">
        <x:v>Model/local/calculated</x:v>
      </x:c>
      <x:c r="D1124" s="25" t="str">
        <x:v>No direct physical source asserted</x:v>
      </x:c>
      <x:c r="E1124" s="25" t="n">
        <x:v>3</x:v>
      </x:c>
      <x:c r="F1124" s="25" t="n">
        <x:v>0</x:v>
      </x:c>
      <x:c r="G1124" s="25" t="str">
        <x:v>project X/reports/WIP/SM WMPP v16 updated WIP/SM_WMPP_v16.SemanticModel/definition/tables/Referral Breakdown.tmdl</x:v>
      </x:c>
      <x:c r="H1124" s="25" t="str">
        <x:v>Saved source snapshot</x:v>
      </x:c>
      <x:c r="I1124" s="25" t="str">
        <x:v>Relationships and deployment not inferred</x:v>
      </x:c>
    </x:row>
    <x:row r="1125" ht="33" customHeight="1">
      <x:c r="A1125" s="25" t="str">
        <x:v>business</x:v>
      </x:c>
      <x:c r="B1125" s="25" t="str">
        <x:v>Referral Category</x:v>
      </x:c>
      <x:c r="C1125" s="25" t="str">
        <x:v>Model/local/calculated</x:v>
      </x:c>
      <x:c r="D1125" s="25" t="str">
        <x:v>No direct physical source asserted</x:v>
      </x:c>
      <x:c r="E1125" s="25" t="n">
        <x:v>3</x:v>
      </x:c>
      <x:c r="F1125" s="25" t="n">
        <x:v>0</x:v>
      </x:c>
      <x:c r="G1125" s="25" t="str">
        <x:v>project X/reports/WIP/SM WMPP v16 updated WIP/SM_WMPP_v16.SemanticModel/definition/tables/Referral Category.tmdl</x:v>
      </x:c>
      <x:c r="H1125" s="25" t="str">
        <x:v>Saved source snapshot</x:v>
      </x:c>
      <x:c r="I1125" s="25" t="str">
        <x:v>Relationships and deployment not inferred</x:v>
      </x:c>
    </x:row>
    <x:row r="1126" ht="33" customHeight="1">
      <x:c r="A1126" s="25" t="str">
        <x:v>business</x:v>
      </x:c>
      <x:c r="B1126" s="25" t="str">
        <x:v>Referral Explorer KPI</x:v>
      </x:c>
      <x:c r="C1126" s="25" t="str">
        <x:v>Model/local/calculated</x:v>
      </x:c>
      <x:c r="D1126" s="25" t="str">
        <x:v>No direct physical source asserted</x:v>
      </x:c>
      <x:c r="E1126" s="25" t="n">
        <x:v>4</x:v>
      </x:c>
      <x:c r="F1126" s="25" t="n">
        <x:v>0</x:v>
      </x:c>
      <x:c r="G1126" s="25" t="str">
        <x:v>project X/reports/WIP/SM WMPP v16 updated WIP/SM_WMPP_v16.SemanticModel/definition/tables/Referral Explorer KPI.tmdl</x:v>
      </x:c>
      <x:c r="H1126" s="25" t="str">
        <x:v>Saved source snapshot</x:v>
      </x:c>
      <x:c r="I1126" s="25" t="str">
        <x:v>Relationships and deployment not inferred</x:v>
      </x:c>
    </x:row>
    <x:row r="1127" ht="33" customHeight="1">
      <x:c r="A1127" s="25" t="str">
        <x:v>business</x:v>
      </x:c>
      <x:c r="B1127" s="25" t="str">
        <x:v>Referral Map Points</x:v>
      </x:c>
      <x:c r="C1127" s="25" t="str">
        <x:v>Model/local/calculated</x:v>
      </x:c>
      <x:c r="D1127" s="25" t="str">
        <x:v>No direct physical source asserted</x:v>
      </x:c>
      <x:c r="E1127" s="25" t="n">
        <x:v>8</x:v>
      </x:c>
      <x:c r="F1127" s="25" t="n">
        <x:v>0</x:v>
      </x:c>
      <x:c r="G1127" s="25" t="str">
        <x:v>project X/reports/WIP/SM WMPP v16 updated WIP/SM_WMPP_v16.SemanticModel/definition/tables/Referral Map Points.tmdl</x:v>
      </x:c>
      <x:c r="H1127" s="25" t="str">
        <x:v>Saved source snapshot</x:v>
      </x:c>
      <x:c r="I1127" s="25" t="str">
        <x:v>Relationships and deployment not inferred</x:v>
      </x:c>
    </x:row>
    <x:row r="1128" ht="33" customHeight="1">
      <x:c r="A1128" s="25" t="str">
        <x:v>business</x:v>
      </x:c>
      <x:c r="B1128" s="25" t="str">
        <x:v>Referral Metric</x:v>
      </x:c>
      <x:c r="C1128" s="25" t="str">
        <x:v>Model/local/calculated</x:v>
      </x:c>
      <x:c r="D1128" s="25" t="str">
        <x:v>No direct physical source asserted</x:v>
      </x:c>
      <x:c r="E1128" s="25" t="n">
        <x:v>3</x:v>
      </x:c>
      <x:c r="F1128" s="25" t="n">
        <x:v>0</x:v>
      </x:c>
      <x:c r="G1128" s="25" t="str">
        <x:v>project X/reports/WIP/SM WMPP v16 updated WIP/SM_WMPP_v16.SemanticModel/definition/tables/Referral Metric.tmdl</x:v>
      </x:c>
      <x:c r="H1128" s="25" t="str">
        <x:v>Saved source snapshot</x:v>
      </x:c>
      <x:c r="I1128" s="25" t="str">
        <x:v>Relationships and deployment not inferred</x:v>
      </x:c>
    </x:row>
    <x:row r="1129" ht="33" customHeight="1">
      <x:c r="A1129" s="25" t="str">
        <x:v>business</x:v>
      </x:c>
      <x:c r="B1129" s="25" t="str">
        <x:v>Report Settings</x:v>
      </x:c>
      <x:c r="C1129" s="25" t="str">
        <x:v>Model/local/calculated</x:v>
      </x:c>
      <x:c r="D1129" s="25" t="str">
        <x:v>No direct physical source asserted</x:v>
      </x:c>
      <x:c r="E1129" s="25" t="n">
        <x:v>1</x:v>
      </x:c>
      <x:c r="F1129" s="25" t="n">
        <x:v>1</x:v>
      </x:c>
      <x:c r="G1129" s="25" t="str">
        <x:v>project X/reports/WIP/SM WMPP v16 updated WIP/SM_WMPP_v16.SemanticModel/definition/tables/Report Settings.tmdl</x:v>
      </x:c>
      <x:c r="H1129" s="25" t="str">
        <x:v>Saved source snapshot</x:v>
      </x:c>
      <x:c r="I1129" s="25" t="str">
        <x:v>Relationships and deployment not inferred</x:v>
      </x:c>
    </x:row>
    <x:row r="1130" ht="33" customHeight="1">
      <x:c r="A1130" s="25" t="str">
        <x:v>business</x:v>
      </x:c>
      <x:c r="B1130" s="25" t="str">
        <x:v>Snapshot Window</x:v>
      </x:c>
      <x:c r="C1130" s="25" t="str">
        <x:v>Model/local/calculated</x:v>
      </x:c>
      <x:c r="D1130" s="25" t="str">
        <x:v>No direct physical source asserted</x:v>
      </x:c>
      <x:c r="E1130" s="25" t="n">
        <x:v>2</x:v>
      </x:c>
      <x:c r="F1130" s="25" t="n">
        <x:v>0</x:v>
      </x:c>
      <x:c r="G1130" s="25" t="str">
        <x:v>project X/reports/WIP/SM WMPP v16 updated WIP/SM_WMPP_v16.SemanticModel/definition/tables/Snapshot Window.tmdl</x:v>
      </x:c>
      <x:c r="H1130" s="25" t="str">
        <x:v>Saved source snapshot</x:v>
      </x:c>
      <x:c r="I1130" s="25" t="str">
        <x:v>Relationships and deployment not inferred</x:v>
      </x:c>
    </x:row>
    <x:row r="1131" ht="33" customHeight="1">
      <x:c r="A1131" s="25" t="str">
        <x:v>business</x:v>
      </x:c>
      <x:c r="B1131" s="25" t="str">
        <x:v>Target Status</x:v>
      </x:c>
      <x:c r="C1131" s="25" t="str">
        <x:v>Model/local/calculated</x:v>
      </x:c>
      <x:c r="D1131" s="25" t="str">
        <x:v>No direct physical source asserted</x:v>
      </x:c>
      <x:c r="E1131" s="25" t="n">
        <x:v>3</x:v>
      </x:c>
      <x:c r="F1131" s="25" t="n">
        <x:v>0</x:v>
      </x:c>
      <x:c r="G1131" s="25" t="str">
        <x:v>project X/reports/WIP/SM WMPP v16 updated WIP/SM_WMPP_v16.SemanticModel/definition/tables/Target Status.tmdl</x:v>
      </x:c>
      <x:c r="H1131" s="25" t="str">
        <x:v>Saved source snapshot</x:v>
      </x:c>
      <x:c r="I1131" s="25" t="str">
        <x:v>Relationships and deployment not inferred</x:v>
      </x:c>
    </x:row>
    <x:row r="1132" ht="33" customHeight="1">
      <x:c r="A1132" s="25" t="str">
        <x:v>business</x:v>
      </x:c>
      <x:c r="B1132" s="25" t="str">
        <x:v>_Design Measures</x:v>
      </x:c>
      <x:c r="C1132" s="25" t="str">
        <x:v>Model/local/calculated</x:v>
      </x:c>
      <x:c r="D1132" s="25" t="str">
        <x:v>No direct physical source asserted</x:v>
      </x:c>
      <x:c r="E1132" s="25" t="n">
        <x:v>0</x:v>
      </x:c>
      <x:c r="F1132" s="25" t="n">
        <x:v>18</x:v>
      </x:c>
      <x:c r="G1132" s="25" t="str">
        <x:v>project X/reports/WIP/SM WMPP v16 updated WIP/SM_WMPP_v16.SemanticModel/definition/tables/_Design Measures.tmdl</x:v>
      </x:c>
      <x:c r="H1132" s="25" t="str">
        <x:v>Saved source snapshot</x:v>
      </x:c>
      <x:c r="I1132" s="25" t="str">
        <x:v>Relationships and deployment not inferred</x:v>
      </x:c>
    </x:row>
    <x:row r="1133" ht="33" customHeight="1">
      <x:c r="A1133" s="25" t="str">
        <x:v>business</x:v>
      </x:c>
      <x:c r="B1133" s="25" t="str">
        <x:v>_Explore Measures</x:v>
      </x:c>
      <x:c r="C1133" s="25" t="str">
        <x:v>Model/local/calculated</x:v>
      </x:c>
      <x:c r="D1133" s="25" t="str">
        <x:v>No direct physical source asserted</x:v>
      </x:c>
      <x:c r="E1133" s="25" t="n">
        <x:v>0</x:v>
      </x:c>
      <x:c r="F1133" s="25" t="n">
        <x:v>13</x:v>
      </x:c>
      <x:c r="G1133" s="25" t="str">
        <x:v>project X/reports/WIP/SM WMPP v16 updated WIP/SM_WMPP_v16.SemanticModel/definition/tables/_Explore Measures.tmdl</x:v>
      </x:c>
      <x:c r="H1133" s="25" t="str">
        <x:v>Saved source snapshot</x:v>
      </x:c>
      <x:c r="I1133" s="25" t="str">
        <x:v>Relationships and deployment not inferred</x:v>
      </x:c>
    </x:row>
    <x:row r="1134" ht="33" customHeight="1">
      <x:c r="A1134" s="25" t="str">
        <x:v>business</x:v>
      </x:c>
      <x:c r="B1134" s="25" t="str">
        <x:v>_Explorer KPI Measures</x:v>
      </x:c>
      <x:c r="C1134" s="25" t="str">
        <x:v>Model/local/calculated</x:v>
      </x:c>
      <x:c r="D1134" s="25" t="str">
        <x:v>No direct physical source asserted</x:v>
      </x:c>
      <x:c r="E1134" s="25" t="n">
        <x:v>0</x:v>
      </x:c>
      <x:c r="F1134" s="25" t="n">
        <x:v>70</x:v>
      </x:c>
      <x:c r="G1134" s="25" t="str">
        <x:v>project X/reports/WIP/SM WMPP v16 updated WIP/SM_WMPP_v16.SemanticModel/definition/tables/_Explorer KPI Measures.tmdl</x:v>
      </x:c>
      <x:c r="H1134" s="25" t="str">
        <x:v>Saved source snapshot</x:v>
      </x:c>
      <x:c r="I1134" s="25" t="str">
        <x:v>Relationships and deployment not inferred</x:v>
      </x:c>
    </x:row>
    <x:row r="1135" ht="33" customHeight="1">
      <x:c r="A1135" s="25" t="str">
        <x:v>business</x:v>
      </x:c>
      <x:c r="B1135" s="25" t="str">
        <x:v>_Journey Interaction</x:v>
      </x:c>
      <x:c r="C1135" s="25" t="str">
        <x:v>Model/local/calculated</x:v>
      </x:c>
      <x:c r="D1135" s="25" t="str">
        <x:v>No direct physical source asserted</x:v>
      </x:c>
      <x:c r="E1135" s="25" t="n">
        <x:v>0</x:v>
      </x:c>
      <x:c r="F1135" s="25" t="n">
        <x:v>23</x:v>
      </x:c>
      <x:c r="G1135" s="25" t="str">
        <x:v>project X/reports/WIP/SM WMPP v16 updated WIP/SM_WMPP_v16.SemanticModel/definition/tables/_Journey Interaction.tmdl</x:v>
      </x:c>
      <x:c r="H1135" s="25" t="str">
        <x:v>Saved source snapshot</x:v>
      </x:c>
      <x:c r="I1135" s="25" t="str">
        <x:v>Relationships and deployment not inferred</x:v>
      </x:c>
    </x:row>
    <x:row r="1136" ht="33" customHeight="1">
      <x:c r="A1136" s="25" t="str">
        <x:v>business</x:v>
      </x:c>
      <x:c r="B1136" s="25" t="str">
        <x:v>_Journey Measures</x:v>
      </x:c>
      <x:c r="C1136" s="25" t="str">
        <x:v>Model/local/calculated</x:v>
      </x:c>
      <x:c r="D1136" s="25" t="str">
        <x:v>No direct physical source asserted</x:v>
      </x:c>
      <x:c r="E1136" s="25" t="n">
        <x:v>0</x:v>
      </x:c>
      <x:c r="F1136" s="25" t="n">
        <x:v>42</x:v>
      </x:c>
      <x:c r="G1136" s="25" t="str">
        <x:v>project X/reports/WIP/SM WMPP v16 updated WIP/SM_WMPP_v16.SemanticModel/definition/tables/_Journey Measures.tmdl</x:v>
      </x:c>
      <x:c r="H1136" s="25" t="str">
        <x:v>Saved source snapshot</x:v>
      </x:c>
      <x:c r="I1136" s="25" t="str">
        <x:v>Relationships and deployment not inferred</x:v>
      </x:c>
    </x:row>
    <x:row r="1137" ht="33" customHeight="1">
      <x:c r="A1137" s="25" t="str">
        <x:v>business</x:v>
      </x:c>
      <x:c r="B1137" s="25" t="str">
        <x:v>_Measures</x:v>
      </x:c>
      <x:c r="C1137" s="25" t="str">
        <x:v>Model/local/calculated</x:v>
      </x:c>
      <x:c r="D1137" s="25" t="str">
        <x:v>No direct physical source asserted</x:v>
      </x:c>
      <x:c r="E1137" s="25" t="n">
        <x:v>0</x:v>
      </x:c>
      <x:c r="F1137" s="25" t="n">
        <x:v>264</x:v>
      </x:c>
      <x:c r="G1137" s="25" t="str">
        <x:v>project X/reports/WIP/SM WMPP v16 updated WIP/SM_WMPP_v16.SemanticModel/definition/tables/_Measures.tmdl</x:v>
      </x:c>
      <x:c r="H1137" s="25" t="str">
        <x:v>Saved source snapshot</x:v>
      </x:c>
      <x:c r="I1137" s="25" t="str">
        <x:v>Relationships and deployment not inferred</x:v>
      </x:c>
    </x:row>
    <x:row r="1138" ht="33" customHeight="1">
      <x:c r="A1138" s="25" t="str">
        <x:v>business</x:v>
      </x:c>
      <x:c r="B1138" s="25" t="str">
        <x:v>_Provider Detail Measures</x:v>
      </x:c>
      <x:c r="C1138" s="25" t="str">
        <x:v>Model/local/calculated</x:v>
      </x:c>
      <x:c r="D1138" s="25" t="str">
        <x:v>No direct physical source asserted</x:v>
      </x:c>
      <x:c r="E1138" s="25" t="n">
        <x:v>0</x:v>
      </x:c>
      <x:c r="F1138" s="25" t="n">
        <x:v>6</x:v>
      </x:c>
      <x:c r="G1138" s="25" t="str">
        <x:v>project X/reports/WIP/SM WMPP v16 updated WIP/SM_WMPP_v16.SemanticModel/definition/tables/_Provider Detail Measures.tmdl</x:v>
      </x:c>
      <x:c r="H1138" s="25" t="str">
        <x:v>Saved source snapshot</x:v>
      </x:c>
      <x:c r="I1138" s="25" t="str">
        <x:v>Relationships and deployment not inferred</x:v>
      </x:c>
    </x:row>
    <x:row r="1139" ht="33" customHeight="1">
      <x:c r="A1139" s="25" t="str">
        <x:v>business</x:v>
      </x:c>
      <x:c r="B1139" s="25" t="str">
        <x:v>_Report Journey Measures</x:v>
      </x:c>
      <x:c r="C1139" s="25" t="str">
        <x:v>Model/local/calculated</x:v>
      </x:c>
      <x:c r="D1139" s="25" t="str">
        <x:v>No direct physical source asserted</x:v>
      </x:c>
      <x:c r="E1139" s="25" t="n">
        <x:v>0</x:v>
      </x:c>
      <x:c r="F1139" s="25" t="n">
        <x:v>35</x:v>
      </x:c>
      <x:c r="G1139" s="25" t="str">
        <x:v>project X/reports/WIP/SM WMPP v16 updated WIP/SM_WMPP_v16.SemanticModel/definition/tables/_Report Journey Measures.tmdl</x:v>
      </x:c>
      <x:c r="H1139" s="25" t="str">
        <x:v>Saved source snapshot</x:v>
      </x:c>
      <x:c r="I1139" s="25" t="str">
        <x:v>Relationships and deployment not inferred</x:v>
      </x:c>
    </x:row>
    <x:row r="1140" ht="33" customHeight="1">
      <x:c r="A1140" s="25" t="str">
        <x:v>business</x:v>
      </x:c>
      <x:c r="B1140" s="25" t="str">
        <x:v>_Story Measures</x:v>
      </x:c>
      <x:c r="C1140" s="25" t="str">
        <x:v>Model/local/calculated</x:v>
      </x:c>
      <x:c r="D1140" s="25" t="str">
        <x:v>No direct physical source asserted</x:v>
      </x:c>
      <x:c r="E1140" s="25" t="n">
        <x:v>0</x:v>
      </x:c>
      <x:c r="F1140" s="25" t="n">
        <x:v>8</x:v>
      </x:c>
      <x:c r="G1140" s="25" t="str">
        <x:v>project X/reports/WIP/SM WMPP v16 updated WIP/SM_WMPP_v16.SemanticModel/definition/tables/_Story Measures.tmdl</x:v>
      </x:c>
      <x:c r="H1140" s="25" t="str">
        <x:v>Saved source snapshot</x:v>
      </x:c>
      <x:c r="I1140" s="25" t="str">
        <x:v>Relationships and deployment not inferred</x:v>
      </x:c>
    </x:row>
    <x:row r="1141" ht="33" customHeight="1">
      <x:c r="A1141" s="25" t="str">
        <x:v>business</x:v>
      </x:c>
      <x:c r="B1141" s="25" t="str">
        <x:v>bridge_provider_framework</x:v>
      </x:c>
      <x:c r="C1141" s="25" t="str">
        <x:v>Physical import</x:v>
      </x:c>
      <x:c r="D1141" s="25" t="str">
        <x:v>gold.bridge_provider_framework</x:v>
      </x:c>
      <x:c r="E1141" s="25" t="n">
        <x:v>7</x:v>
      </x:c>
      <x:c r="F1141" s="25" t="n">
        <x:v>0</x:v>
      </x:c>
      <x:c r="G1141" s="25" t="str">
        <x:v>project X/reports/WIP/SM WMPP v16 updated WIP/SM_WMPP_v16.SemanticModel/definition/tables/bridge_provider_framework.tmdl</x:v>
      </x:c>
      <x:c r="H1141" s="25" t="str">
        <x:v>Saved source snapshot</x:v>
      </x:c>
      <x:c r="I1141" s="25" t="str">
        <x:v>Relationships and deployment not inferred</x:v>
      </x:c>
    </x:row>
    <x:row r="1142" ht="33" customHeight="1">
      <x:c r="A1142" s="25" t="str">
        <x:v>business</x:v>
      </x:c>
      <x:c r="B1142" s="25" t="str">
        <x:v>bridge_provider_home_framework_category</x:v>
      </x:c>
      <x:c r="C1142" s="25" t="str">
        <x:v>Physical import</x:v>
      </x:c>
      <x:c r="D1142" s="25" t="str">
        <x:v>gold.bridge_provider_home_framework_category</x:v>
      </x:c>
      <x:c r="E1142" s="25" t="n">
        <x:v>6</x:v>
      </x:c>
      <x:c r="F1142" s="25" t="n">
        <x:v>0</x:v>
      </x:c>
      <x:c r="G1142" s="25" t="str">
        <x:v>project X/reports/WIP/SM WMPP v16 updated WIP/SM_WMPP_v16.SemanticModel/definition/tables/bridge_provider_home_framework_category.tmdl</x:v>
      </x:c>
      <x:c r="H1142" s="25" t="str">
        <x:v>Saved source snapshot</x:v>
      </x:c>
      <x:c r="I1142" s="25" t="str">
        <x:v>Relationships and deployment not inferred</x:v>
      </x:c>
    </x:row>
    <x:row r="1143" ht="33" customHeight="1">
      <x:c r="A1143" s="25" t="str">
        <x:v>business</x:v>
      </x:c>
      <x:c r="B1143" s="25" t="str">
        <x:v>bridge_provider_sic_code</x:v>
      </x:c>
      <x:c r="C1143" s="25" t="str">
        <x:v>Physical import</x:v>
      </x:c>
      <x:c r="D1143" s="25" t="str">
        <x:v>gold.bridge_provider_sic_code</x:v>
      </x:c>
      <x:c r="E1143" s="25" t="n">
        <x:v>5</x:v>
      </x:c>
      <x:c r="F1143" s="25" t="n">
        <x:v>0</x:v>
      </x:c>
      <x:c r="G1143" s="25" t="str">
        <x:v>project X/reports/WIP/SM WMPP v16 updated WIP/SM_WMPP_v16.SemanticModel/definition/tables/bridge_provider_sic_code.tmdl</x:v>
      </x:c>
      <x:c r="H1143" s="25" t="str">
        <x:v>Saved source snapshot</x:v>
      </x:c>
      <x:c r="I1143" s="25" t="str">
        <x:v>Relationships and deployment not inferred</x:v>
      </x:c>
    </x:row>
    <x:row r="1144" ht="33" customHeight="1">
      <x:c r="A1144" s="25" t="str">
        <x:v>business</x:v>
      </x:c>
      <x:c r="B1144" s="25" t="str">
        <x:v>bridge_referral_framework_category</x:v>
      </x:c>
      <x:c r="C1144" s="25" t="str">
        <x:v>Physical import</x:v>
      </x:c>
      <x:c r="D1144" s="25" t="str">
        <x:v>gold.bridge_referral_framework_category</x:v>
      </x:c>
      <x:c r="E1144" s="25" t="n">
        <x:v>5</x:v>
      </x:c>
      <x:c r="F1144" s="25" t="n">
        <x:v>0</x:v>
      </x:c>
      <x:c r="G1144" s="25" t="str">
        <x:v>project X/reports/WIP/SM WMPP v16 updated WIP/SM_WMPP_v16.SemanticModel/definition/tables/bridge_referral_framework_category.tmdl</x:v>
      </x:c>
      <x:c r="H1144" s="25" t="str">
        <x:v>Saved source snapshot</x:v>
      </x:c>
      <x:c r="I1144" s="25" t="str">
        <x:v>Relationships and deployment not inferred</x:v>
      </x:c>
    </x:row>
    <x:row r="1145" ht="33" customHeight="1">
      <x:c r="A1145" s="25" t="str">
        <x:v>business</x:v>
      </x:c>
      <x:c r="B1145" s="25" t="str">
        <x:v>bridge_referral_scope</x:v>
      </x:c>
      <x:c r="C1145" s="25" t="str">
        <x:v>Physical import</x:v>
      </x:c>
      <x:c r="D1145" s="25" t="str">
        <x:v>gold.bridge_referral_scope</x:v>
      </x:c>
      <x:c r="E1145" s="25" t="n">
        <x:v>9</x:v>
      </x:c>
      <x:c r="F1145" s="25" t="n">
        <x:v>0</x:v>
      </x:c>
      <x:c r="G1145" s="25" t="str">
        <x:v>project X/reports/WIP/SM WMPP v16 updated WIP/SM_WMPP_v16.SemanticModel/definition/tables/bridge_referral_scope.tmdl</x:v>
      </x:c>
      <x:c r="H1145" s="25" t="str">
        <x:v>Saved source snapshot</x:v>
      </x:c>
      <x:c r="I1145" s="25" t="str">
        <x:v>Relationships and deployment not inferred</x:v>
      </x:c>
    </x:row>
    <x:row r="1146" ht="33" customHeight="1">
      <x:c r="A1146" s="25" t="str">
        <x:v>business</x:v>
      </x:c>
      <x:c r="B1146" s="25" t="str">
        <x:v>dim_category</x:v>
      </x:c>
      <x:c r="C1146" s="25" t="str">
        <x:v>Physical import</x:v>
      </x:c>
      <x:c r="D1146" s="25" t="str">
        <x:v>gold.dim_framework_category</x:v>
      </x:c>
      <x:c r="E1146" s="25" t="n">
        <x:v>11</x:v>
      </x:c>
      <x:c r="F1146" s="25" t="n">
        <x:v>0</x:v>
      </x:c>
      <x:c r="G1146" s="25" t="str">
        <x:v>project X/reports/WIP/SM WMPP v16 updated WIP/SM_WMPP_v16.SemanticModel/definition/tables/dim_category.tmdl</x:v>
      </x:c>
      <x:c r="H1146" s="25" t="str">
        <x:v>Saved source snapshot</x:v>
      </x:c>
      <x:c r="I1146" s="25" t="str">
        <x:v>Relationships and deployment not inferred</x:v>
      </x:c>
    </x:row>
    <x:row r="1147" ht="33" customHeight="1">
      <x:c r="A1147" s="25" t="str">
        <x:v>business</x:v>
      </x:c>
      <x:c r="B1147" s="25" t="str">
        <x:v>dim_date</x:v>
      </x:c>
      <x:c r="C1147" s="25" t="str">
        <x:v>Physical import</x:v>
      </x:c>
      <x:c r="D1147" s="25" t="str">
        <x:v>gold.dim_date</x:v>
      </x:c>
      <x:c r="E1147" s="25" t="n">
        <x:v>13</x:v>
      </x:c>
      <x:c r="F1147" s="25" t="n">
        <x:v>0</x:v>
      </x:c>
      <x:c r="G1147" s="25" t="str">
        <x:v>project X/reports/WIP/SM WMPP v16 updated WIP/SM_WMPP_v16.SemanticModel/definition/tables/dim_date.tmdl</x:v>
      </x:c>
      <x:c r="H1147" s="25" t="str">
        <x:v>Saved source snapshot</x:v>
      </x:c>
      <x:c r="I1147" s="25" t="str">
        <x:v>Relationships and deployment not inferred</x:v>
      </x:c>
    </x:row>
    <x:row r="1148" ht="33" customHeight="1">
      <x:c r="A1148" s="25" t="str">
        <x:v>business</x:v>
      </x:c>
      <x:c r="B1148" s="25" t="str">
        <x:v>dim_framework</x:v>
      </x:c>
      <x:c r="C1148" s="25" t="str">
        <x:v>Physical import</x:v>
      </x:c>
      <x:c r="D1148" s="25" t="str">
        <x:v>gold.dim_framework</x:v>
      </x:c>
      <x:c r="E1148" s="25" t="n">
        <x:v>9</x:v>
      </x:c>
      <x:c r="F1148" s="25" t="n">
        <x:v>0</x:v>
      </x:c>
      <x:c r="G1148" s="25" t="str">
        <x:v>project X/reports/WIP/SM WMPP v16 updated WIP/SM_WMPP_v16.SemanticModel/definition/tables/dim_framework.tmdl</x:v>
      </x:c>
      <x:c r="H1148" s="25" t="str">
        <x:v>Saved source snapshot</x:v>
      </x:c>
      <x:c r="I1148" s="25" t="str">
        <x:v>Relationships and deployment not inferred</x:v>
      </x:c>
    </x:row>
    <x:row r="1149" ht="33" customHeight="1">
      <x:c r="A1149" s="25" t="str">
        <x:v>business</x:v>
      </x:c>
      <x:c r="B1149" s="25" t="str">
        <x:v>dim_framework_category</x:v>
      </x:c>
      <x:c r="C1149" s="25" t="str">
        <x:v>Physical import</x:v>
      </x:c>
      <x:c r="D1149" s="25" t="str">
        <x:v>gold.dim_framework_category</x:v>
      </x:c>
      <x:c r="E1149" s="25" t="n">
        <x:v>6</x:v>
      </x:c>
      <x:c r="F1149" s="25" t="n">
        <x:v>0</x:v>
      </x:c>
      <x:c r="G1149" s="25" t="str">
        <x:v>project X/reports/WIP/SM WMPP v16 updated WIP/SM_WMPP_v16.SemanticModel/definition/tables/dim_framework_category.tmdl</x:v>
      </x:c>
      <x:c r="H1149" s="25" t="str">
        <x:v>Saved source snapshot</x:v>
      </x:c>
      <x:c r="I1149" s="25" t="str">
        <x:v>Relationships and deployment not inferred</x:v>
      </x:c>
    </x:row>
    <x:row r="1150" ht="33" customHeight="1">
      <x:c r="A1150" s="25" t="str">
        <x:v>business</x:v>
      </x:c>
      <x:c r="B1150" s="25" t="str">
        <x:v>dim_offer_status</x:v>
      </x:c>
      <x:c r="C1150" s="25" t="str">
        <x:v>Physical import</x:v>
      </x:c>
      <x:c r="D1150" s="25" t="str">
        <x:v>gold.dim_offer_status</x:v>
      </x:c>
      <x:c r="E1150" s="25" t="n">
        <x:v>9</x:v>
      </x:c>
      <x:c r="F1150" s="25" t="n">
        <x:v>0</x:v>
      </x:c>
      <x:c r="G1150" s="25" t="str">
        <x:v>project X/reports/WIP/SM WMPP v16 updated WIP/SM_WMPP_v16.SemanticModel/definition/tables/dim_offer_status.tmdl</x:v>
      </x:c>
      <x:c r="H1150" s="25" t="str">
        <x:v>Saved source snapshot</x:v>
      </x:c>
      <x:c r="I1150" s="25" t="str">
        <x:v>Relationships and deployment not inferred</x:v>
      </x:c>
    </x:row>
    <x:row r="1151" ht="33" customHeight="1">
      <x:c r="A1151" s="25" t="str">
        <x:v>business</x:v>
      </x:c>
      <x:c r="B1151" s="25" t="str">
        <x:v>dim_person</x:v>
      </x:c>
      <x:c r="C1151" s="25" t="str">
        <x:v>Physical import</x:v>
      </x:c>
      <x:c r="D1151" s="25" t="str">
        <x:v>gold.dim_person</x:v>
      </x:c>
      <x:c r="E1151" s="25" t="n">
        <x:v>15</x:v>
      </x:c>
      <x:c r="F1151" s="25" t="n">
        <x:v>0</x:v>
      </x:c>
      <x:c r="G1151" s="25" t="str">
        <x:v>project X/reports/WIP/SM WMPP v16 updated WIP/SM_WMPP_v16.SemanticModel/definition/tables/dim_person.tmdl</x:v>
      </x:c>
      <x:c r="H1151" s="25" t="str">
        <x:v>Saved source snapshot</x:v>
      </x:c>
      <x:c r="I1151" s="25" t="str">
        <x:v>Relationships and deployment not inferred</x:v>
      </x:c>
    </x:row>
    <x:row r="1152" ht="33" customHeight="1">
      <x:c r="A1152" s="25" t="str">
        <x:v>business</x:v>
      </x:c>
      <x:c r="B1152" s="25" t="str">
        <x:v>dim_placement_type</x:v>
      </x:c>
      <x:c r="C1152" s="25" t="str">
        <x:v>Physical import</x:v>
      </x:c>
      <x:c r="D1152" s="25" t="str">
        <x:v>gold.dim_placement_type</x:v>
      </x:c>
      <x:c r="E1152" s="25" t="n">
        <x:v>4</x:v>
      </x:c>
      <x:c r="F1152" s="25" t="n">
        <x:v>0</x:v>
      </x:c>
      <x:c r="G1152" s="25" t="str">
        <x:v>project X/reports/WIP/SM WMPP v16 updated WIP/SM_WMPP_v16.SemanticModel/definition/tables/dim_placement_type.tmdl</x:v>
      </x:c>
      <x:c r="H1152" s="25" t="str">
        <x:v>Saved source snapshot</x:v>
      </x:c>
      <x:c r="I1152" s="25" t="str">
        <x:v>Relationships and deployment not inferred</x:v>
      </x:c>
    </x:row>
    <x:row r="1153" ht="33" customHeight="1">
      <x:c r="A1153" s="25" t="str">
        <x:v>business</x:v>
      </x:c>
      <x:c r="B1153" s="25" t="str">
        <x:v>dim_provider</x:v>
      </x:c>
      <x:c r="C1153" s="25" t="str">
        <x:v>Physical import</x:v>
      </x:c>
      <x:c r="D1153" s="25" t="str">
        <x:v>gold.dim_provider</x:v>
      </x:c>
      <x:c r="E1153" s="25" t="n">
        <x:v>12</x:v>
      </x:c>
      <x:c r="F1153" s="25" t="n">
        <x:v>0</x:v>
      </x:c>
      <x:c r="G1153" s="25" t="str">
        <x:v>project X/reports/WIP/SM WMPP v16 updated WIP/SM_WMPP_v16.SemanticModel/definition/tables/dim_provider.tmdl</x:v>
      </x:c>
      <x:c r="H1153" s="25" t="str">
        <x:v>Saved source snapshot</x:v>
      </x:c>
      <x:c r="I1153" s="25" t="str">
        <x:v>Relationships and deployment not inferred</x:v>
      </x:c>
    </x:row>
    <x:row r="1154" ht="33" customHeight="1">
      <x:c r="A1154" s="25" t="str">
        <x:v>business</x:v>
      </x:c>
      <x:c r="B1154" s="25" t="str">
        <x:v>dim_provider (offer)</x:v>
      </x:c>
      <x:c r="C1154" s="25" t="str">
        <x:v>Physical import</x:v>
      </x:c>
      <x:c r="D1154" s="25" t="str">
        <x:v>gold.dim_provider</x:v>
      </x:c>
      <x:c r="E1154" s="25" t="n">
        <x:v>12</x:v>
      </x:c>
      <x:c r="F1154" s="25" t="n">
        <x:v>0</x:v>
      </x:c>
      <x:c r="G1154" s="25" t="str">
        <x:v>project X/reports/WIP/SM WMPP v16 updated WIP/SM_WMPP_v16.SemanticModel/definition/tables/dim_provider (offer).tmdl</x:v>
      </x:c>
      <x:c r="H1154" s="25" t="str">
        <x:v>Saved source snapshot</x:v>
      </x:c>
      <x:c r="I1154" s="25" t="str">
        <x:v>Relationships and deployment not inferred</x:v>
      </x:c>
    </x:row>
    <x:row r="1155" ht="33" customHeight="1">
      <x:c r="A1155" s="25" t="str">
        <x:v>business</x:v>
      </x:c>
      <x:c r="B1155" s="25" t="str">
        <x:v>dim_provider_home</x:v>
      </x:c>
      <x:c r="C1155" s="25" t="str">
        <x:v>Physical import</x:v>
      </x:c>
      <x:c r="D1155" s="25" t="str">
        <x:v>gold.dim_provider_home</x:v>
      </x:c>
      <x:c r="E1155" s="25" t="n">
        <x:v>15</x:v>
      </x:c>
      <x:c r="F1155" s="25" t="n">
        <x:v>0</x:v>
      </x:c>
      <x:c r="G1155" s="25" t="str">
        <x:v>project X/reports/WIP/SM WMPP v16 updated WIP/SM_WMPP_v16.SemanticModel/definition/tables/dim_provider_home.tmdl</x:v>
      </x:c>
      <x:c r="H1155" s="25" t="str">
        <x:v>Saved source snapshot</x:v>
      </x:c>
      <x:c r="I1155" s="25" t="str">
        <x:v>Relationships and deployment not inferred</x:v>
      </x:c>
    </x:row>
    <x:row r="1156" ht="33" customHeight="1">
      <x:c r="A1156" s="25" t="str">
        <x:v>business</x:v>
      </x:c>
      <x:c r="B1156" s="25" t="str">
        <x:v>dim_provider_home (offer)</x:v>
      </x:c>
      <x:c r="C1156" s="25" t="str">
        <x:v>Physical import</x:v>
      </x:c>
      <x:c r="D1156" s="25" t="str">
        <x:v>gold.dim_provider_home</x:v>
      </x:c>
      <x:c r="E1156" s="25" t="n">
        <x:v>15</x:v>
      </x:c>
      <x:c r="F1156" s="25" t="n">
        <x:v>0</x:v>
      </x:c>
      <x:c r="G1156" s="25" t="str">
        <x:v>project X/reports/WIP/SM WMPP v16 updated WIP/SM_WMPP_v16.SemanticModel/definition/tables/dim_provider_home (offer).tmdl</x:v>
      </x:c>
      <x:c r="H1156" s="25" t="str">
        <x:v>Saved source snapshot</x:v>
      </x:c>
      <x:c r="I1156" s="25" t="str">
        <x:v>Relationships and deployment not inferred</x:v>
      </x:c>
    </x:row>
    <x:row r="1157" ht="33" customHeight="1">
      <x:c r="A1157" s="25" t="str">
        <x:v>business</x:v>
      </x:c>
      <x:c r="B1157" s="25" t="str">
        <x:v>dim_provider_submission_document</x:v>
      </x:c>
      <x:c r="C1157" s="25" t="str">
        <x:v>Physical import</x:v>
      </x:c>
      <x:c r="D1157" s="25" t="str">
        <x:v>gold.dim_provider_submission_document</x:v>
      </x:c>
      <x:c r="E1157" s="25" t="n">
        <x:v>14</x:v>
      </x:c>
      <x:c r="F1157" s="25" t="n">
        <x:v>0</x:v>
      </x:c>
      <x:c r="G1157" s="25" t="str">
        <x:v>project X/reports/WIP/SM WMPP v16 updated WIP/SM_WMPP_v16.SemanticModel/definition/tables/dim_provider_submission_document.tmdl</x:v>
      </x:c>
      <x:c r="H1157" s="25" t="str">
        <x:v>Saved source snapshot</x:v>
      </x:c>
      <x:c r="I1157" s="25" t="str">
        <x:v>Relationships and deployment not inferred</x:v>
      </x:c>
    </x:row>
    <x:row r="1158" ht="33" customHeight="1">
      <x:c r="A1158" s="25" t="str">
        <x:v>business</x:v>
      </x:c>
      <x:c r="B1158" s="25" t="str">
        <x:v>dim_referral_provider_message</x:v>
      </x:c>
      <x:c r="C1158" s="25" t="str">
        <x:v>Physical import</x:v>
      </x:c>
      <x:c r="D1158" s="25" t="str">
        <x:v>gold.dim_referral_provider_message</x:v>
      </x:c>
      <x:c r="E1158" s="25" t="n">
        <x:v>10</x:v>
      </x:c>
      <x:c r="F1158" s="25" t="n">
        <x:v>0</x:v>
      </x:c>
      <x:c r="G1158" s="25" t="str">
        <x:v>project X/reports/WIP/SM WMPP v16 updated WIP/SM_WMPP_v16.SemanticModel/definition/tables/dim_referral_provider_message.tmdl</x:v>
      </x:c>
      <x:c r="H1158" s="25" t="str">
        <x:v>Saved source snapshot</x:v>
      </x:c>
      <x:c r="I1158" s="25" t="str">
        <x:v>Relationships and deployment not inferred</x:v>
      </x:c>
    </x:row>
    <x:row r="1159" ht="33" customHeight="1">
      <x:c r="A1159" s="25" t="str">
        <x:v>business</x:v>
      </x:c>
      <x:c r="B1159" s="25" t="str">
        <x:v>dim_referral_provider_reject_reason</x:v>
      </x:c>
      <x:c r="C1159" s="25" t="str">
        <x:v>Physical import</x:v>
      </x:c>
      <x:c r="D1159" s="25" t="str">
        <x:v>gold.dim_referral_provider_reject_reason</x:v>
      </x:c>
      <x:c r="E1159" s="25" t="n">
        <x:v>15</x:v>
      </x:c>
      <x:c r="F1159" s="25" t="n">
        <x:v>0</x:v>
      </x:c>
      <x:c r="G1159" s="25" t="str">
        <x:v>project X/reports/WIP/SM WMPP v16 updated WIP/SM_WMPP_v16.SemanticModel/definition/tables/dim_referral_provider_reject_reason.tmdl</x:v>
      </x:c>
      <x:c r="H1159" s="25" t="str">
        <x:v>Saved source snapshot</x:v>
      </x:c>
      <x:c r="I1159" s="25" t="str">
        <x:v>Relationships and deployment not inferred</x:v>
      </x:c>
    </x:row>
    <x:row r="1160" ht="33" customHeight="1">
      <x:c r="A1160" s="25" t="str">
        <x:v>business</x:v>
      </x:c>
      <x:c r="B1160" s="25" t="str">
        <x:v>dim_security_scope</x:v>
      </x:c>
      <x:c r="C1160" s="25" t="str">
        <x:v>Physical import</x:v>
      </x:c>
      <x:c r="D1160" s="25" t="str">
        <x:v>gold.dim_security_scope</x:v>
      </x:c>
      <x:c r="E1160" s="25" t="n">
        <x:v>11</x:v>
      </x:c>
      <x:c r="F1160" s="25" t="n">
        <x:v>0</x:v>
      </x:c>
      <x:c r="G1160" s="25" t="str">
        <x:v>project X/reports/WIP/SM WMPP v16 updated WIP/SM_WMPP_v16.SemanticModel/definition/tables/dim_security_scope.tmdl</x:v>
      </x:c>
      <x:c r="H1160" s="25" t="str">
        <x:v>Saved source snapshot</x:v>
      </x:c>
      <x:c r="I1160" s="25" t="str">
        <x:v>Relationships and deployment not inferred</x:v>
      </x:c>
    </x:row>
    <x:row r="1161" ht="33" customHeight="1">
      <x:c r="A1161" s="25" t="str">
        <x:v>business</x:v>
      </x:c>
      <x:c r="B1161" s="25" t="str">
        <x:v>dim_snapshot_month</x:v>
      </x:c>
      <x:c r="C1161" s="25" t="str">
        <x:v>Physical import</x:v>
      </x:c>
      <x:c r="D1161" s="25" t="str">
        <x:v>gold.dim_snapshot_month</x:v>
      </x:c>
      <x:c r="E1161" s="25" t="n">
        <x:v>9</x:v>
      </x:c>
      <x:c r="F1161" s="25" t="n">
        <x:v>0</x:v>
      </x:c>
      <x:c r="G1161" s="25" t="str">
        <x:v>project X/reports/WIP/SM WMPP v16 updated WIP/SM_WMPP_v16.SemanticModel/definition/tables/dim_snapshot_month.tmdl</x:v>
      </x:c>
      <x:c r="H1161" s="25" t="str">
        <x:v>Saved source snapshot</x:v>
      </x:c>
      <x:c r="I1161" s="25" t="str">
        <x:v>Relationships and deployment not inferred</x:v>
      </x:c>
    </x:row>
    <x:row r="1162" ht="33" customHeight="1">
      <x:c r="A1162" s="25" t="str">
        <x:v>business</x:v>
      </x:c>
      <x:c r="B1162" s="25" t="str">
        <x:v>fact_ipa</x:v>
      </x:c>
      <x:c r="C1162" s="25" t="str">
        <x:v>Physical import</x:v>
      </x:c>
      <x:c r="D1162" s="25" t="str">
        <x:v>gold.fact_ipa</x:v>
      </x:c>
      <x:c r="E1162" s="25" t="n">
        <x:v>25</x:v>
      </x:c>
      <x:c r="F1162" s="25" t="n">
        <x:v>0</x:v>
      </x:c>
      <x:c r="G1162" s="25" t="str">
        <x:v>project X/reports/WIP/SM WMPP v16 updated WIP/SM_WMPP_v16.SemanticModel/definition/tables/fact_ipa.tmdl</x:v>
      </x:c>
      <x:c r="H1162" s="25" t="str">
        <x:v>Saved source snapshot</x:v>
      </x:c>
      <x:c r="I1162" s="25" t="str">
        <x:v>Relationships and deployment not inferred</x:v>
      </x:c>
    </x:row>
    <x:row r="1163" ht="33" customHeight="1">
      <x:c r="A1163" s="25" t="str">
        <x:v>business</x:v>
      </x:c>
      <x:c r="B1163" s="25" t="str">
        <x:v>fact_offer</x:v>
      </x:c>
      <x:c r="C1163" s="25" t="str">
        <x:v>Physical import</x:v>
      </x:c>
      <x:c r="D1163" s="25" t="str">
        <x:v>gold.fact_offer</x:v>
      </x:c>
      <x:c r="E1163" s="25" t="n">
        <x:v>59</x:v>
      </x:c>
      <x:c r="F1163" s="25" t="n">
        <x:v>0</x:v>
      </x:c>
      <x:c r="G1163" s="25" t="str">
        <x:v>project X/reports/WIP/SM WMPP v16 updated WIP/SM_WMPP_v16.SemanticModel/definition/tables/fact_offer.tmdl</x:v>
      </x:c>
      <x:c r="H1163" s="25" t="str">
        <x:v>Saved source snapshot</x:v>
      </x:c>
      <x:c r="I1163" s="25" t="str">
        <x:v>Relationships and deployment not inferred</x:v>
      </x:c>
    </x:row>
    <x:row r="1164" ht="33" customHeight="1">
      <x:c r="A1164" s="25" t="str">
        <x:v>business</x:v>
      </x:c>
      <x:c r="B1164" s="25" t="str">
        <x:v>fact_provider_kpi_monthly</x:v>
      </x:c>
      <x:c r="C1164" s="25" t="str">
        <x:v>Physical import</x:v>
      </x:c>
      <x:c r="D1164" s="25" t="str">
        <x:v>gold.fact_provider_kpi_monthly</x:v>
      </x:c>
      <x:c r="E1164" s="25" t="n">
        <x:v>14</x:v>
      </x:c>
      <x:c r="F1164" s="25" t="n">
        <x:v>0</x:v>
      </x:c>
      <x:c r="G1164" s="25" t="str">
        <x:v>project X/reports/WIP/SM WMPP v16 updated WIP/SM_WMPP_v16.SemanticModel/definition/tables/fact_provider_kpi_monthly.tmdl</x:v>
      </x:c>
      <x:c r="H1164" s="25" t="str">
        <x:v>Saved source snapshot</x:v>
      </x:c>
      <x:c r="I1164" s="25" t="str">
        <x:v>Relationships and deployment not inferred</x:v>
      </x:c>
    </x:row>
    <x:row r="1165" ht="33" customHeight="1">
      <x:c r="A1165" s="25" t="str">
        <x:v>business</x:v>
      </x:c>
      <x:c r="B1165" s="25" t="str">
        <x:v>fact_referral</x:v>
      </x:c>
      <x:c r="C1165" s="25" t="str">
        <x:v>Physical import</x:v>
      </x:c>
      <x:c r="D1165" s="25" t="str">
        <x:v>gold.fact_referral</x:v>
      </x:c>
      <x:c r="E1165" s="25" t="n">
        <x:v>69</x:v>
      </x:c>
      <x:c r="F1165" s="25" t="n">
        <x:v>0</x:v>
      </x:c>
      <x:c r="G1165" s="25" t="str">
        <x:v>project X/reports/WIP/SM WMPP v16 updated WIP/SM_WMPP_v16.SemanticModel/definition/tables/fact_referral.tmdl</x:v>
      </x:c>
      <x:c r="H1165" s="25" t="str">
        <x:v>Saved source snapshot</x:v>
      </x:c>
      <x:c r="I1165" s="25" t="str">
        <x:v>Relationships and deployment not inferred</x:v>
      </x:c>
    </x:row>
    <x:row r="1166" ht="33" customHeight="1">
      <x:c r="A1166" s="25" t="str">
        <x:v>business</x:v>
      </x:c>
      <x:c r="B1166" s="25" t="str">
        <x:v>fact_referral_global_summary</x:v>
      </x:c>
      <x:c r="C1166" s="25" t="str">
        <x:v>Physical import</x:v>
      </x:c>
      <x:c r="D1166" s="25" t="str">
        <x:v>gold.fact_referral_global_summary</x:v>
      </x:c>
      <x:c r="E1166" s="25" t="n">
        <x:v>18</x:v>
      </x:c>
      <x:c r="F1166" s="25" t="n">
        <x:v>0</x:v>
      </x:c>
      <x:c r="G1166" s="25" t="str">
        <x:v>project X/reports/WIP/SM WMPP v16 updated WIP/SM_WMPP_v16.SemanticModel/definition/tables/fact_referral_global_summary.tmdl</x:v>
      </x:c>
      <x:c r="H1166" s="25" t="str">
        <x:v>Saved source snapshot</x:v>
      </x:c>
      <x:c r="I1166" s="25" t="str">
        <x:v>Relationships and deployment not inferred</x:v>
      </x:c>
    </x:row>
    <x:row r="1167" ht="33" customHeight="1">
      <x:c r="A1167" s="25" t="str">
        <x:v>business</x:v>
      </x:c>
      <x:c r="B1167" s="25" t="str">
        <x:v>fact_referral_lifecycle_event</x:v>
      </x:c>
      <x:c r="C1167" s="25" t="str">
        <x:v>Physical import</x:v>
      </x:c>
      <x:c r="D1167" s="25" t="str">
        <x:v>gold.fact_referral_lifecycle_event</x:v>
      </x:c>
      <x:c r="E1167" s="25" t="n">
        <x:v>8</x:v>
      </x:c>
      <x:c r="F1167" s="25" t="n">
        <x:v>0</x:v>
      </x:c>
      <x:c r="G1167" s="25" t="str">
        <x:v>project X/reports/WIP/SM WMPP v16 updated WIP/SM_WMPP_v16.SemanticModel/definition/tables/fact_referral_lifecycle_event.tmdl</x:v>
      </x:c>
      <x:c r="H1167" s="25" t="str">
        <x:v>Saved source snapshot</x:v>
      </x:c>
      <x:c r="I1167" s="25" t="str">
        <x:v>Relationships and deployment not inferred</x:v>
      </x:c>
    </x:row>
    <x:row r="1168" ht="33" customHeight="1">
      <x:c r="A1168" s="25" t="str">
        <x:v>business</x:v>
      </x:c>
      <x:c r="B1168" s="25" t="str">
        <x:v>fact_referral_provider</x:v>
      </x:c>
      <x:c r="C1168" s="25" t="str">
        <x:v>Physical import</x:v>
      </x:c>
      <x:c r="D1168" s="25" t="str">
        <x:v>gold.fact_referral_provider</x:v>
      </x:c>
      <x:c r="E1168" s="25" t="n">
        <x:v>21</x:v>
      </x:c>
      <x:c r="F1168" s="25" t="n">
        <x:v>0</x:v>
      </x:c>
      <x:c r="G1168" s="25" t="str">
        <x:v>project X/reports/WIP/SM WMPP v16 updated WIP/SM_WMPP_v16.SemanticModel/definition/tables/fact_referral_provider.tmdl</x:v>
      </x:c>
      <x:c r="H1168" s="25" t="str">
        <x:v>Saved source snapshot</x:v>
      </x:c>
      <x:c r="I1168" s="25" t="str">
        <x:v>Relationships and deployment not inferred</x:v>
      </x:c>
    </x:row>
    <x:row r="1169" ht="33" customHeight="1">
      <x:c r="A1169" s="25" t="str">
        <x:v>business</x:v>
      </x:c>
      <x:c r="B1169" s="25" t="str">
        <x:v>fact_referral_snapshot</x:v>
      </x:c>
      <x:c r="C1169" s="25" t="str">
        <x:v>Physical import</x:v>
      </x:c>
      <x:c r="D1169" s="25" t="str">
        <x:v>gold.fact_referral_snapshot</x:v>
      </x:c>
      <x:c r="E1169" s="25" t="n">
        <x:v>58</x:v>
      </x:c>
      <x:c r="F1169" s="25" t="n">
        <x:v>0</x:v>
      </x:c>
      <x:c r="G1169" s="25" t="str">
        <x:v>project X/reports/WIP/SM WMPP v16 updated WIP/SM_WMPP_v16.SemanticModel/definition/tables/fact_referral_snapshot.tmdl</x:v>
      </x:c>
      <x:c r="H1169" s="25" t="str">
        <x:v>Saved source snapshot</x:v>
      </x:c>
      <x:c r="I1169" s="25" t="str">
        <x:v>Relationships and deployment not inferred</x:v>
      </x:c>
    </x:row>
    <x:row r="1170" ht="33" customHeight="1">
      <x:c r="A1170" s="25" t="str">
        <x:v>business</x:v>
      </x:c>
      <x:c r="B1170" s="25" t="str">
        <x:v>gold referral_journey_flow</x:v>
      </x:c>
      <x:c r="C1170" s="25" t="str">
        <x:v>Physical import</x:v>
      </x:c>
      <x:c r="D1170" s="25" t="str">
        <x:v>gold.referral_journey_flow</x:v>
      </x:c>
      <x:c r="E1170" s="25" t="n">
        <x:v>14</x:v>
      </x:c>
      <x:c r="F1170" s="25" t="n">
        <x:v>0</x:v>
      </x:c>
      <x:c r="G1170" s="25" t="str">
        <x:v>project X/reports/WIP/SM WMPP v16 updated WIP/SM_WMPP_v16.SemanticModel/definition/tables/gold referral_journey_flow.tmdl</x:v>
      </x:c>
      <x:c r="H1170" s="25" t="str">
        <x:v>Saved source snapshot</x:v>
      </x:c>
      <x:c r="I1170" s="25" t="str">
        <x:v>Relationships and deployment not inferred</x:v>
      </x:c>
    </x:row>
    <x:row r="1171" ht="33" customHeight="1">
      <x:c r="A1171" s="25" t="str">
        <x:v>business</x:v>
      </x:c>
      <x:c r="B1171" s="25" t="str">
        <x:v>gold rpt_kpi_referral_board_summary</x:v>
      </x:c>
      <x:c r="C1171" s="25" t="str">
        <x:v>Physical import</x:v>
      </x:c>
      <x:c r="D1171" s="25" t="str">
        <x:v>gold.rpt_kpi_referral_board_summary</x:v>
      </x:c>
      <x:c r="E1171" s="25" t="n">
        <x:v>10</x:v>
      </x:c>
      <x:c r="F1171" s="25" t="n">
        <x:v>0</x:v>
      </x:c>
      <x:c r="G1171" s="25" t="str">
        <x:v>project X/reports/WIP/SM WMPP v16 updated WIP/SM_WMPP_v16.SemanticModel/definition/tables/gold rpt_kpi_referral_board_summary.tmdl</x:v>
      </x:c>
      <x:c r="H1171" s="25" t="str">
        <x:v>Saved source snapshot</x:v>
      </x:c>
      <x:c r="I1171" s="25" t="str">
        <x:v>Relationships and deployment not inferred</x:v>
      </x:c>
    </x:row>
    <x:row r="1172" ht="33" customHeight="1">
      <x:c r="A1172" s="25" t="str">
        <x:v>business</x:v>
      </x:c>
      <x:c r="B1172" s="25" t="str">
        <x:v>ref_KPI</x:v>
      </x:c>
      <x:c r="C1172" s="25" t="str">
        <x:v>Model/local/calculated</x:v>
      </x:c>
      <x:c r="D1172" s="25" t="str">
        <x:v>No direct physical source asserted</x:v>
      </x:c>
      <x:c r="E1172" s="25" t="n">
        <x:v>8</x:v>
      </x:c>
      <x:c r="F1172" s="25" t="n">
        <x:v>0</x:v>
      </x:c>
      <x:c r="G1172" s="25" t="str">
        <x:v>project X/reports/WIP/SM WMPP v16 updated WIP/SM_WMPP_v16.SemanticModel/definition/tables/ref_KPI.tmdl</x:v>
      </x:c>
      <x:c r="H1172" s="25" t="str">
        <x:v>Saved source snapshot</x:v>
      </x:c>
      <x:c r="I1172" s="25" t="str">
        <x:v>Relationships and deployment not inferred</x:v>
      </x:c>
    </x:row>
    <x:row r="1173" ht="33" customHeight="1">
      <x:c r="A1173" s="25" t="str">
        <x:v>business</x:v>
      </x:c>
      <x:c r="B1173" s="25" t="str">
        <x:v>ref_KPI_RID_Linkage</x:v>
      </x:c>
      <x:c r="C1173" s="25" t="str">
        <x:v>Model/local/calculated</x:v>
      </x:c>
      <x:c r="D1173" s="25" t="str">
        <x:v>No direct physical source asserted</x:v>
      </x:c>
      <x:c r="E1173" s="25" t="n">
        <x:v>2</x:v>
      </x:c>
      <x:c r="F1173" s="25" t="n">
        <x:v>0</x:v>
      </x:c>
      <x:c r="G1173" s="25" t="str">
        <x:v>project X/reports/WIP/SM WMPP v16 updated WIP/SM_WMPP_v16.SemanticModel/definition/tables/ref_KPI_RID_Linkage.tmdl</x:v>
      </x:c>
      <x:c r="H1173" s="25" t="str">
        <x:v>Saved source snapshot</x:v>
      </x:c>
      <x:c r="I1173" s="25" t="str">
        <x:v>Relationships and deployment not inferred</x:v>
      </x:c>
    </x:row>
    <x:row r="1174" ht="33" customHeight="1">
      <x:c r="A1174" s="25" t="str">
        <x:v>business</x:v>
      </x:c>
      <x:c r="B1174" s="25" t="str">
        <x:v>ref_RID</x:v>
      </x:c>
      <x:c r="C1174" s="25" t="str">
        <x:v>Model/local/calculated</x:v>
      </x:c>
      <x:c r="D1174" s="25" t="str">
        <x:v>No direct physical source asserted</x:v>
      </x:c>
      <x:c r="E1174" s="25" t="n">
        <x:v>7</x:v>
      </x:c>
      <x:c r="F1174" s="25" t="n">
        <x:v>0</x:v>
      </x:c>
      <x:c r="G1174" s="25" t="str">
        <x:v>project X/reports/WIP/SM WMPP v16 updated WIP/SM_WMPP_v16.SemanticModel/definition/tables/ref_RID.tmdl</x:v>
      </x:c>
      <x:c r="H1174" s="25" t="str">
        <x:v>Saved source snapshot</x:v>
      </x:c>
      <x:c r="I1174" s="25" t="str">
        <x:v>Relationships and deployment not inferred</x:v>
      </x:c>
    </x:row>
    <x:row r="1175" ht="33" customHeight="1">
      <x:c r="A1175" s="25" t="str">
        <x:v>business</x:v>
      </x:c>
      <x:c r="B1175" s="25" t="str">
        <x:v>rpt_provider_registry</x:v>
      </x:c>
      <x:c r="C1175" s="25" t="str">
        <x:v>Physical import</x:v>
      </x:c>
      <x:c r="D1175" s="25" t="str">
        <x:v>gold.rpt_provider_registry</x:v>
      </x:c>
      <x:c r="E1175" s="25" t="n">
        <x:v>71</x:v>
      </x:c>
      <x:c r="F1175" s="25" t="n">
        <x:v>0</x:v>
      </x:c>
      <x:c r="G1175" s="25" t="str">
        <x:v>project X/reports/WIP/SM WMPP v16 updated WIP/SM_WMPP_v16.SemanticModel/definition/tables/rpt_provider_registry.tmdl</x:v>
      </x:c>
      <x:c r="H1175" s="25" t="str">
        <x:v>Saved source snapshot</x:v>
      </x:c>
      <x:c r="I1175" s="25" t="str">
        <x:v>Relationships and deployment not inferred</x:v>
      </x:c>
    </x:row>
    <x:row r="1176" ht="33" customHeight="1">
      <x:c r="A1176" s="25" t="str">
        <x:v>business</x:v>
      </x:c>
      <x:c r="B1176" s="25" t="str">
        <x:v>sec_user_scope_access</x:v>
      </x:c>
      <x:c r="C1176" s="25" t="str">
        <x:v>Physical import</x:v>
      </x:c>
      <x:c r="D1176" s="25" t="str">
        <x:v>gold.sec_user_scope_access</x:v>
      </x:c>
      <x:c r="E1176" s="25" t="n">
        <x:v>9</x:v>
      </x:c>
      <x:c r="F1176" s="25" t="n">
        <x:v>0</x:v>
      </x:c>
      <x:c r="G1176" s="25" t="str">
        <x:v>project X/reports/WIP/SM WMPP v16 updated WIP/SM_WMPP_v16.SemanticModel/definition/tables/sec_user_scope_access.tmdl</x:v>
      </x:c>
      <x:c r="H1176" s="25" t="str">
        <x:v>Saved source snapshot</x:v>
      </x:c>
      <x:c r="I1176" s="25" t="str">
        <x:v>Relationships and deployment not inferred</x:v>
      </x:c>
    </x:row>
    <x:row r="1177" ht="33" customHeight="1">
      <x:c r="A1177" s="25" t="str">
        <x:v>mission</x:v>
      </x:c>
      <x:c r="B1177" s="25" t="str">
        <x:v>Discovery Job Runs</x:v>
      </x:c>
      <x:c r="C1177" s="25" t="str">
        <x:v>Physical import</x:v>
      </x:c>
      <x:c r="D1177" s="25" t="str">
        <x:v>monitoring.cfg_job_run</x:v>
      </x:c>
      <x:c r="E1177" s="25" t="n">
        <x:v>7</x:v>
      </x:c>
      <x:c r="F1177" s="25" t="n">
        <x:v>0</x:v>
      </x:c>
      <x:c r="G1177" s="25" t="str">
        <x:v>project X/reports/WIP/SM WMPP Mission Control/SM WMPP Mission Control.SemanticModel/definition/tables/Discovery Job Runs.tmdl</x:v>
      </x:c>
      <x:c r="H1177" s="25" t="str">
        <x:v>Saved source snapshot</x:v>
      </x:c>
      <x:c r="I1177" s="25" t="str">
        <x:v>Relationships and deployment not inferred</x:v>
      </x:c>
    </x:row>
    <x:row r="1178" ht="33" customHeight="1">
      <x:c r="A1178" s="25" t="str">
        <x:v>mission</x:v>
      </x:c>
      <x:c r="B1178" s="25" t="str">
        <x:v>Domain History View</x:v>
      </x:c>
      <x:c r="C1178" s="25" t="str">
        <x:v>Model/local/calculated</x:v>
      </x:c>
      <x:c r="D1178" s="25" t="str">
        <x:v>No direct physical source asserted</x:v>
      </x:c>
      <x:c r="E1178" s="25" t="n">
        <x:v>1</x:v>
      </x:c>
      <x:c r="F1178" s="25" t="n">
        <x:v>0</x:v>
      </x:c>
      <x:c r="G1178" s="25" t="str">
        <x:v>project X/reports/WIP/SM WMPP Mission Control/SM WMPP Mission Control.SemanticModel/definition/tables/Domain History View.tmdl</x:v>
      </x:c>
      <x:c r="H1178" s="25" t="str">
        <x:v>Saved source snapshot</x:v>
      </x:c>
      <x:c r="I1178" s="25" t="str">
        <x:v>Relationships and deployment not inferred</x:v>
      </x:c>
    </x:row>
    <x:row r="1179" ht="33" customHeight="1">
      <x:c r="A1179" s="25" t="str">
        <x:v>mission</x:v>
      </x:c>
      <x:c r="B1179" s="25" t="str">
        <x:v>Load Calendar</x:v>
      </x:c>
      <x:c r="C1179" s="25" t="str">
        <x:v>Model/local/calculated</x:v>
      </x:c>
      <x:c r="D1179" s="25" t="str">
        <x:v>No direct physical source asserted</x:v>
      </x:c>
      <x:c r="E1179" s="25" t="n">
        <x:v>6</x:v>
      </x:c>
      <x:c r="F1179" s="25" t="n">
        <x:v>0</x:v>
      </x:c>
      <x:c r="G1179" s="25" t="str">
        <x:v>project X/reports/WIP/SM WMPP Mission Control/SM WMPP Mission Control.SemanticModel/definition/tables/Load Calendar.tmdl</x:v>
      </x:c>
      <x:c r="H1179" s="25" t="str">
        <x:v>Saved source snapshot</x:v>
      </x:c>
      <x:c r="I1179" s="25" t="str">
        <x:v>Relationships and deployment not inferred</x:v>
      </x:c>
    </x:row>
    <x:row r="1180" ht="33" customHeight="1">
      <x:c r="A1180" s="25" t="str">
        <x:v>mission</x:v>
      </x:c>
      <x:c r="B1180" s="25" t="str">
        <x:v>_Load Experience</x:v>
      </x:c>
      <x:c r="C1180" s="25" t="str">
        <x:v>Model/local/calculated</x:v>
      </x:c>
      <x:c r="D1180" s="25" t="str">
        <x:v>No direct physical source asserted</x:v>
      </x:c>
      <x:c r="E1180" s="25" t="n">
        <x:v>0</x:v>
      </x:c>
      <x:c r="F1180" s="25" t="n">
        <x:v>10</x:v>
      </x:c>
      <x:c r="G1180" s="25" t="str">
        <x:v>project X/reports/WIP/SM WMPP Mission Control/SM WMPP Mission Control.SemanticModel/definition/tables/_Load Experience.tmdl</x:v>
      </x:c>
      <x:c r="H1180" s="25" t="str">
        <x:v>Saved source snapshot</x:v>
      </x:c>
      <x:c r="I1180" s="25" t="str">
        <x:v>Relationships and deployment not inferred</x:v>
      </x:c>
    </x:row>
    <x:row r="1181" ht="33" customHeight="1">
      <x:c r="A1181" s="25" t="str">
        <x:v>mission</x:v>
      </x:c>
      <x:c r="B1181" s="25" t="str">
        <x:v>_MissionControl_Measures</x:v>
      </x:c>
      <x:c r="C1181" s="25" t="str">
        <x:v>Model/local/calculated</x:v>
      </x:c>
      <x:c r="D1181" s="25" t="str">
        <x:v>No direct physical source asserted</x:v>
      </x:c>
      <x:c r="E1181" s="25" t="n">
        <x:v>0</x:v>
      </x:c>
      <x:c r="F1181" s="25" t="n">
        <x:v>326</x:v>
      </x:c>
      <x:c r="G1181" s="25" t="str">
        <x:v>project X/reports/WIP/SM WMPP Mission Control/SM WMPP Mission Control.SemanticModel/definition/tables/_MissionControl_Measures.tmdl</x:v>
      </x:c>
      <x:c r="H1181" s="25" t="str">
        <x:v>Saved source snapshot</x:v>
      </x:c>
      <x:c r="I1181" s="25" t="str">
        <x:v>Relationships and deployment not inferred</x:v>
      </x:c>
    </x:row>
    <x:row r="1182" ht="33" customHeight="1">
      <x:c r="A1182" s="25" t="str">
        <x:v>mission</x:v>
      </x:c>
      <x:c r="B1182" s="25" t="str">
        <x:v>_Run Benchmarks</x:v>
      </x:c>
      <x:c r="C1182" s="25" t="str">
        <x:v>Model/local/calculated</x:v>
      </x:c>
      <x:c r="D1182" s="25" t="str">
        <x:v>No direct physical source asserted</x:v>
      </x:c>
      <x:c r="E1182" s="25" t="n">
        <x:v>0</x:v>
      </x:c>
      <x:c r="F1182" s="25" t="n">
        <x:v>15</x:v>
      </x:c>
      <x:c r="G1182" s="25" t="str">
        <x:v>project X/reports/WIP/SM WMPP Mission Control/SM WMPP Mission Control.SemanticModel/definition/tables/_Run Benchmarks.tmdl</x:v>
      </x:c>
      <x:c r="H1182" s="25" t="str">
        <x:v>Saved source snapshot</x:v>
      </x:c>
      <x:c r="I1182" s="25" t="str">
        <x:v>Relationships and deployment not inferred</x:v>
      </x:c>
    </x:row>
    <x:row r="1183" ht="33" customHeight="1">
      <x:c r="A1183" s="25" t="str">
        <x:v>mission</x:v>
      </x:c>
      <x:c r="B1183" s="25" t="str">
        <x:v>cfg_archive_file_load</x:v>
      </x:c>
      <x:c r="C1183" s="25" t="str">
        <x:v>Physical import</x:v>
      </x:c>
      <x:c r="D1183" s="25" t="str">
        <x:v>monitoring.cfg_archive_file_load</x:v>
      </x:c>
      <x:c r="E1183" s="25" t="n">
        <x:v>16</x:v>
      </x:c>
      <x:c r="F1183" s="25" t="n">
        <x:v>0</x:v>
      </x:c>
      <x:c r="G1183" s="25" t="str">
        <x:v>project X/reports/WIP/SM WMPP Mission Control/SM WMPP Mission Control.SemanticModel/definition/tables/cfg_archive_file_load.tmdl</x:v>
      </x:c>
      <x:c r="H1183" s="25" t="str">
        <x:v>Saved source snapshot</x:v>
      </x:c>
      <x:c r="I1183" s="25" t="str">
        <x:v>Relationships and deployment not inferred</x:v>
      </x:c>
    </x:row>
    <x:row r="1184" ht="33" customHeight="1">
      <x:c r="A1184" s="25" t="str">
        <x:v>mission</x:v>
      </x:c>
      <x:c r="B1184" s="25" t="str">
        <x:v>cfg_archive_table_export_load</x:v>
      </x:c>
      <x:c r="C1184" s="25" t="str">
        <x:v>Physical import</x:v>
      </x:c>
      <x:c r="D1184" s="25" t="str">
        <x:v>monitoring.cfg_archive_table_export_load</x:v>
      </x:c>
      <x:c r="E1184" s="25" t="n">
        <x:v>10</x:v>
      </x:c>
      <x:c r="F1184" s="25" t="n">
        <x:v>0</x:v>
      </x:c>
      <x:c r="G1184" s="25" t="str">
        <x:v>project X/reports/WIP/SM WMPP Mission Control/SM WMPP Mission Control.SemanticModel/definition/tables/cfg_archive_table_export_load.tmdl</x:v>
      </x:c>
      <x:c r="H1184" s="25" t="str">
        <x:v>Saved source snapshot</x:v>
      </x:c>
      <x:c r="I1184" s="25" t="str">
        <x:v>Relationships and deployment not inferred</x:v>
      </x:c>
    </x:row>
    <x:row r="1185" ht="33" customHeight="1">
      <x:c r="A1185" s="25" t="str">
        <x:v>mission</x:v>
      </x:c>
      <x:c r="B1185" s="25" t="str">
        <x:v>cfg_archive_zip_load</x:v>
      </x:c>
      <x:c r="C1185" s="25" t="str">
        <x:v>Physical import</x:v>
      </x:c>
      <x:c r="D1185" s="25" t="str">
        <x:v>monitoring.cfg_archive_zip_load</x:v>
      </x:c>
      <x:c r="E1185" s="25" t="n">
        <x:v>13</x:v>
      </x:c>
      <x:c r="F1185" s="25" t="n">
        <x:v>0</x:v>
      </x:c>
      <x:c r="G1185" s="25" t="str">
        <x:v>project X/reports/WIP/SM WMPP Mission Control/SM WMPP Mission Control.SemanticModel/definition/tables/cfg_archive_zip_load.tmdl</x:v>
      </x:c>
      <x:c r="H1185" s="25" t="str">
        <x:v>Saved source snapshot</x:v>
      </x:c>
      <x:c r="I1185" s="25" t="str">
        <x:v>Relationships and deployment not inferred</x:v>
      </x:c>
    </x:row>
    <x:row r="1186" ht="33" customHeight="1">
      <x:c r="A1186" s="25" t="str">
        <x:v>mission</x:v>
      </x:c>
      <x:c r="B1186" s="25" t="str">
        <x:v>cfg_archived_schema_live</x:v>
      </x:c>
      <x:c r="C1186" s="25" t="str">
        <x:v>Physical import</x:v>
      </x:c>
      <x:c r="D1186" s="25" t="str">
        <x:v>monitoring.cfg_archived_schema_live</x:v>
      </x:c>
      <x:c r="E1186" s="25" t="n">
        <x:v>7</x:v>
      </x:c>
      <x:c r="F1186" s="25" t="n">
        <x:v>0</x:v>
      </x:c>
      <x:c r="G1186" s="25" t="str">
        <x:v>project X/reports/WIP/SM WMPP Mission Control/SM WMPP Mission Control.SemanticModel/definition/tables/cfg_archived_schema_live.tmdl</x:v>
      </x:c>
      <x:c r="H1186" s="25" t="str">
        <x:v>Saved source snapshot</x:v>
      </x:c>
      <x:c r="I1186" s="25" t="str">
        <x:v>Relationships and deployment not inferred</x:v>
      </x:c>
    </x:row>
    <x:row r="1187" ht="33" customHeight="1">
      <x:c r="A1187" s="25" t="str">
        <x:v>mission</x:v>
      </x:c>
      <x:c r="B1187" s="25" t="str">
        <x:v>cfg_bronze_schema_live</x:v>
      </x:c>
      <x:c r="C1187" s="25" t="str">
        <x:v>Physical import</x:v>
      </x:c>
      <x:c r="D1187" s="25" t="str">
        <x:v>monitoring.cfg_bronze_schema_live</x:v>
      </x:c>
      <x:c r="E1187" s="25" t="n">
        <x:v>8</x:v>
      </x:c>
      <x:c r="F1187" s="25" t="n">
        <x:v>0</x:v>
      </x:c>
      <x:c r="G1187" s="25" t="str">
        <x:v>project X/reports/WIP/SM WMPP Mission Control/SM WMPP Mission Control.SemanticModel/definition/tables/cfg_bronze_schema_live.tmdl</x:v>
      </x:c>
      <x:c r="H1187" s="25" t="str">
        <x:v>Saved source snapshot</x:v>
      </x:c>
      <x:c r="I1187" s="25" t="str">
        <x:v>Relationships and deployment not inferred</x:v>
      </x:c>
    </x:row>
    <x:row r="1188" ht="33" customHeight="1">
      <x:c r="A1188" s="25" t="str">
        <x:v>mission</x:v>
      </x:c>
      <x:c r="B1188" s="25" t="str">
        <x:v>cfg_data_domain</x:v>
      </x:c>
      <x:c r="C1188" s="25" t="str">
        <x:v>Physical import</x:v>
      </x:c>
      <x:c r="D1188" s="25" t="str">
        <x:v>monitoring.cfg_data_domain</x:v>
      </x:c>
      <x:c r="E1188" s="25" t="n">
        <x:v>16</x:v>
      </x:c>
      <x:c r="F1188" s="25" t="n">
        <x:v>0</x:v>
      </x:c>
      <x:c r="G1188" s="25" t="str">
        <x:v>project X/reports/WIP/SM WMPP Mission Control/SM WMPP Mission Control.SemanticModel/definition/tables/cfg_data_domain.tmdl</x:v>
      </x:c>
      <x:c r="H1188" s="25" t="str">
        <x:v>Saved source snapshot</x:v>
      </x:c>
      <x:c r="I1188" s="25" t="str">
        <x:v>Relationships and deployment not inferred</x:v>
      </x:c>
    </x:row>
    <x:row r="1189" ht="33" customHeight="1">
      <x:c r="A1189" s="25" t="str">
        <x:v>mission</x:v>
      </x:c>
      <x:c r="B1189" s="25" t="str">
        <x:v>cfg_data_quality_result</x:v>
      </x:c>
      <x:c r="C1189" s="25" t="str">
        <x:v>Physical import</x:v>
      </x:c>
      <x:c r="D1189" s="25" t="str">
        <x:v>monitoring.cfg_data_quality_result</x:v>
      </x:c>
      <x:c r="E1189" s="25" t="n">
        <x:v>14</x:v>
      </x:c>
      <x:c r="F1189" s="25" t="n">
        <x:v>0</x:v>
      </x:c>
      <x:c r="G1189" s="25" t="str">
        <x:v>project X/reports/WIP/SM WMPP Mission Control/SM WMPP Mission Control.SemanticModel/definition/tables/cfg_data_quality_result.tmdl</x:v>
      </x:c>
      <x:c r="H1189" s="25" t="str">
        <x:v>Saved source snapshot</x:v>
      </x:c>
      <x:c r="I1189" s="25" t="str">
        <x:v>Relationships and deployment not inferred</x:v>
      </x:c>
    </x:row>
    <x:row r="1190" ht="33" customHeight="1">
      <x:c r="A1190" s="25" t="str">
        <x:v>mission</x:v>
      </x:c>
      <x:c r="B1190" s="25" t="str">
        <x:v>cfg_data_quality_rule</x:v>
      </x:c>
      <x:c r="C1190" s="25" t="str">
        <x:v>Physical import</x:v>
      </x:c>
      <x:c r="D1190" s="25" t="str">
        <x:v>monitoring.cfg_data_quality_rule</x:v>
      </x:c>
      <x:c r="E1190" s="25" t="n">
        <x:v>14</x:v>
      </x:c>
      <x:c r="F1190" s="25" t="n">
        <x:v>0</x:v>
      </x:c>
      <x:c r="G1190" s="25" t="str">
        <x:v>project X/reports/WIP/SM WMPP Mission Control/SM WMPP Mission Control.SemanticModel/definition/tables/cfg_data_quality_rule.tmdl</x:v>
      </x:c>
      <x:c r="H1190" s="25" t="str">
        <x:v>Saved source snapshot</x:v>
      </x:c>
      <x:c r="I1190" s="25" t="str">
        <x:v>Relationships and deployment not inferred</x:v>
      </x:c>
    </x:row>
    <x:row r="1191" ht="33" customHeight="1">
      <x:c r="A1191" s="25" t="str">
        <x:v>mission</x:v>
      </x:c>
      <x:c r="B1191" s="25" t="str">
        <x:v>cfg_gold_lineage_mapping</x:v>
      </x:c>
      <x:c r="C1191" s="25" t="str">
        <x:v>Physical import</x:v>
      </x:c>
      <x:c r="D1191" s="25" t="str">
        <x:v>monitoring.cfg_gold_lineage_mapping</x:v>
      </x:c>
      <x:c r="E1191" s="25" t="n">
        <x:v>7</x:v>
      </x:c>
      <x:c r="F1191" s="25" t="n">
        <x:v>0</x:v>
      </x:c>
      <x:c r="G1191" s="25" t="str">
        <x:v>project X/reports/WIP/SM WMPP Mission Control/SM WMPP Mission Control.SemanticModel/definition/tables/cfg_gold_lineage_mapping.tmdl</x:v>
      </x:c>
      <x:c r="H1191" s="25" t="str">
        <x:v>Saved source snapshot</x:v>
      </x:c>
      <x:c r="I1191" s="25" t="str">
        <x:v>Relationships and deployment not inferred</x:v>
      </x:c>
    </x:row>
    <x:row r="1192" ht="33" customHeight="1">
      <x:c r="A1192" s="25" t="str">
        <x:v>mission</x:v>
      </x:c>
      <x:c r="B1192" s="25" t="str">
        <x:v>cfg_location_coordinate</x:v>
      </x:c>
      <x:c r="C1192" s="25" t="str">
        <x:v>Physical import</x:v>
      </x:c>
      <x:c r="D1192" s="25" t="str">
        <x:v>monitoring.cfg_location_coordinate</x:v>
      </x:c>
      <x:c r="E1192" s="25" t="n">
        <x:v>6</x:v>
      </x:c>
      <x:c r="F1192" s="25" t="n">
        <x:v>0</x:v>
      </x:c>
      <x:c r="G1192" s="25" t="str">
        <x:v>project X/reports/WIP/SM WMPP Mission Control/SM WMPP Mission Control.SemanticModel/definition/tables/cfg_location_coordinate.tmdl</x:v>
      </x:c>
      <x:c r="H1192" s="25" t="str">
        <x:v>Saved source snapshot</x:v>
      </x:c>
      <x:c r="I1192" s="25" t="str">
        <x:v>Relationships and deployment not inferred</x:v>
      </x:c>
    </x:row>
    <x:row r="1193" ht="33" customHeight="1">
      <x:c r="A1193" s="25" t="str">
        <x:v>mission</x:v>
      </x:c>
      <x:c r="B1193" s="25" t="str">
        <x:v>cfg_month_end_gold_run</x:v>
      </x:c>
      <x:c r="C1193" s="25" t="str">
        <x:v>Physical import</x:v>
      </x:c>
      <x:c r="D1193" s="25" t="str">
        <x:v>monitoring.cfg_month_end_gold_run</x:v>
      </x:c>
      <x:c r="E1193" s="25" t="n">
        <x:v>11</x:v>
      </x:c>
      <x:c r="F1193" s="25" t="n">
        <x:v>0</x:v>
      </x:c>
      <x:c r="G1193" s="25" t="str">
        <x:v>project X/reports/WIP/SM WMPP Mission Control/SM WMPP Mission Control.SemanticModel/definition/tables/cfg_month_end_gold_run.tmdl</x:v>
      </x:c>
      <x:c r="H1193" s="25" t="str">
        <x:v>Saved source snapshot</x:v>
      </x:c>
      <x:c r="I1193" s="25" t="str">
        <x:v>Relationships and deployment not inferred</x:v>
      </x:c>
    </x:row>
    <x:row r="1194" ht="33" customHeight="1">
      <x:c r="A1194" s="25" t="str">
        <x:v>mission</x:v>
      </x:c>
      <x:c r="B1194" s="25" t="str">
        <x:v>cfg_pipeline_run</x:v>
      </x:c>
      <x:c r="C1194" s="25" t="str">
        <x:v>Physical import</x:v>
      </x:c>
      <x:c r="D1194" s="25" t="str">
        <x:v>monitoring.cfg_pipeline_run</x:v>
      </x:c>
      <x:c r="E1194" s="25" t="n">
        <x:v>13</x:v>
      </x:c>
      <x:c r="F1194" s="25" t="n">
        <x:v>0</x:v>
      </x:c>
      <x:c r="G1194" s="25" t="str">
        <x:v>project X/reports/WIP/SM WMPP Mission Control/SM WMPP Mission Control.SemanticModel/definition/tables/cfg_pipeline_run.tmdl</x:v>
      </x:c>
      <x:c r="H1194" s="25" t="str">
        <x:v>Saved source snapshot</x:v>
      </x:c>
      <x:c r="I1194" s="25" t="str">
        <x:v>Relationships and deployment not inferred</x:v>
      </x:c>
    </x:row>
    <x:row r="1195" ht="33" customHeight="1">
      <x:c r="A1195" s="25" t="str">
        <x:v>mission</x:v>
      </x:c>
      <x:c r="B1195" s="25" t="str">
        <x:v>cfg_referential_exception</x:v>
      </x:c>
      <x:c r="C1195" s="25" t="str">
        <x:v>Physical import</x:v>
      </x:c>
      <x:c r="D1195" s="25" t="str">
        <x:v>monitoring.cfg_referential_exception</x:v>
      </x:c>
      <x:c r="E1195" s="25" t="n">
        <x:v>9</x:v>
      </x:c>
      <x:c r="F1195" s="25" t="n">
        <x:v>0</x:v>
      </x:c>
      <x:c r="G1195" s="25" t="str">
        <x:v>project X/reports/WIP/SM WMPP Mission Control/SM WMPP Mission Control.SemanticModel/definition/tables/cfg_referential_exception.tmdl</x:v>
      </x:c>
      <x:c r="H1195" s="25" t="str">
        <x:v>Saved source snapshot</x:v>
      </x:c>
      <x:c r="I1195" s="25" t="str">
        <x:v>Relationships and deployment not inferred</x:v>
      </x:c>
    </x:row>
    <x:row r="1196" ht="33" customHeight="1">
      <x:c r="A1196" s="25" t="str">
        <x:v>mission</x:v>
      </x:c>
      <x:c r="B1196" s="25" t="str">
        <x:v>cfg_rejected_row</x:v>
      </x:c>
      <x:c r="C1196" s="25" t="str">
        <x:v>Physical import</x:v>
      </x:c>
      <x:c r="D1196" s="25" t="str">
        <x:v>monitoring.cfg_rejected_row</x:v>
      </x:c>
      <x:c r="E1196" s="25" t="n">
        <x:v>7</x:v>
      </x:c>
      <x:c r="F1196" s="25" t="n">
        <x:v>0</x:v>
      </x:c>
      <x:c r="G1196" s="25" t="str">
        <x:v>project X/reports/WIP/SM WMPP Mission Control/SM WMPP Mission Control.SemanticModel/definition/tables/cfg_rejected_row.tmdl</x:v>
      </x:c>
      <x:c r="H1196" s="25" t="str">
        <x:v>Saved source snapshot</x:v>
      </x:c>
      <x:c r="I1196" s="25" t="str">
        <x:v>Relationships and deployment not inferred</x:v>
      </x:c>
    </x:row>
    <x:row r="1197" ht="33" customHeight="1">
      <x:c r="A1197" s="25" t="str">
        <x:v>mission</x:v>
      </x:c>
      <x:c r="B1197" s="25" t="str">
        <x:v>cfg_schema_contract_column</x:v>
      </x:c>
      <x:c r="C1197" s="25" t="str">
        <x:v>Physical import</x:v>
      </x:c>
      <x:c r="D1197" s="25" t="str">
        <x:v>monitoring.cfg_schema_contract_column</x:v>
      </x:c>
      <x:c r="E1197" s="25" t="n">
        <x:v>17</x:v>
      </x:c>
      <x:c r="F1197" s="25" t="n">
        <x:v>0</x:v>
      </x:c>
      <x:c r="G1197" s="25" t="str">
        <x:v>project X/reports/WIP/SM WMPP Mission Control/SM WMPP Mission Control.SemanticModel/definition/tables/cfg_schema_contract_column.tmdl</x:v>
      </x:c>
      <x:c r="H1197" s="25" t="str">
        <x:v>Saved source snapshot</x:v>
      </x:c>
      <x:c r="I1197" s="25" t="str">
        <x:v>Relationships and deployment not inferred</x:v>
      </x:c>
    </x:row>
    <x:row r="1198" ht="33" customHeight="1">
      <x:c r="A1198" s="25" t="str">
        <x:v>mission</x:v>
      </x:c>
      <x:c r="B1198" s="25" t="str">
        <x:v>cfg_schema_definition_candidate</x:v>
      </x:c>
      <x:c r="C1198" s="25" t="str">
        <x:v>Physical import</x:v>
      </x:c>
      <x:c r="D1198" s="25" t="str">
        <x:v>monitoring.cfg_schema_definition_candidate</x:v>
      </x:c>
      <x:c r="E1198" s="25" t="n">
        <x:v>14</x:v>
      </x:c>
      <x:c r="F1198" s="25" t="n">
        <x:v>0</x:v>
      </x:c>
      <x:c r="G1198" s="25" t="str">
        <x:v>project X/reports/WIP/SM WMPP Mission Control/SM WMPP Mission Control.SemanticModel/definition/tables/cfg_schema_definition_candidate.tmdl</x:v>
      </x:c>
      <x:c r="H1198" s="25" t="str">
        <x:v>Saved source snapshot</x:v>
      </x:c>
      <x:c r="I1198" s="25" t="str">
        <x:v>Relationships and deployment not inferred</x:v>
      </x:c>
    </x:row>
    <x:row r="1199" ht="33" customHeight="1">
      <x:c r="A1199" s="25" t="str">
        <x:v>mission</x:v>
      </x:c>
      <x:c r="B1199" s="25" t="str">
        <x:v>cfg_schema_drift_definition</x:v>
      </x:c>
      <x:c r="C1199" s="25" t="str">
        <x:v>Physical import</x:v>
      </x:c>
      <x:c r="D1199" s="25" t="str">
        <x:v>monitoring.cfg_schema_drift_definition</x:v>
      </x:c>
      <x:c r="E1199" s="25" t="n">
        <x:v>18</x:v>
      </x:c>
      <x:c r="F1199" s="25" t="n">
        <x:v>0</x:v>
      </x:c>
      <x:c r="G1199" s="25" t="str">
        <x:v>project X/reports/WIP/SM WMPP Mission Control/SM WMPP Mission Control.SemanticModel/definition/tables/cfg_schema_drift_definition.tmdl</x:v>
      </x:c>
      <x:c r="H1199" s="25" t="str">
        <x:v>Saved source snapshot</x:v>
      </x:c>
      <x:c r="I1199" s="25" t="str">
        <x:v>Relationships and deployment not inferred</x:v>
      </x:c>
    </x:row>
    <x:row r="1200" ht="33" customHeight="1">
      <x:c r="A1200" s="25" t="str">
        <x:v>mission</x:v>
      </x:c>
      <x:c r="B1200" s="25" t="str">
        <x:v>cfg_schema_drift_event</x:v>
      </x:c>
      <x:c r="C1200" s="25" t="str">
        <x:v>Physical import</x:v>
      </x:c>
      <x:c r="D1200" s="25" t="str">
        <x:v>monitoring.cfg_schema_drift_event</x:v>
      </x:c>
      <x:c r="E1200" s="25" t="n">
        <x:v>18</x:v>
      </x:c>
      <x:c r="F1200" s="25" t="n">
        <x:v>0</x:v>
      </x:c>
      <x:c r="G1200" s="25" t="str">
        <x:v>project X/reports/WIP/SM WMPP Mission Control/SM WMPP Mission Control.SemanticModel/definition/tables/cfg_schema_drift_event.tmdl</x:v>
      </x:c>
      <x:c r="H1200" s="25" t="str">
        <x:v>Saved source snapshot</x:v>
      </x:c>
      <x:c r="I1200" s="25" t="str">
        <x:v>Relationships and deployment not inferred</x:v>
      </x:c>
    </x:row>
    <x:row r="1201" ht="33" customHeight="1">
      <x:c r="A1201" s="25" t="str">
        <x:v>mission</x:v>
      </x:c>
      <x:c r="B1201" s="25" t="str">
        <x:v>cfg_silver_export_load</x:v>
      </x:c>
      <x:c r="C1201" s="25" t="str">
        <x:v>Physical import</x:v>
      </x:c>
      <x:c r="D1201" s="25" t="str">
        <x:v>monitoring.cfg_silver_export_load</x:v>
      </x:c>
      <x:c r="E1201" s="25" t="n">
        <x:v>17</x:v>
      </x:c>
      <x:c r="F1201" s="25" t="n">
        <x:v>0</x:v>
      </x:c>
      <x:c r="G1201" s="25" t="str">
        <x:v>project X/reports/WIP/SM WMPP Mission Control/SM WMPP Mission Control.SemanticModel/definition/tables/cfg_silver_export_load.tmdl</x:v>
      </x:c>
      <x:c r="H1201" s="25" t="str">
        <x:v>Saved source snapshot</x:v>
      </x:c>
      <x:c r="I1201" s="25" t="str">
        <x:v>Relationships and deployment not inferred</x:v>
      </x:c>
    </x:row>
    <x:row r="1202" ht="33" customHeight="1">
      <x:c r="A1202" s="25" t="str">
        <x:v>mission</x:v>
      </x:c>
      <x:c r="B1202" s="25" t="str">
        <x:v>cfg_silver_load_control</x:v>
      </x:c>
      <x:c r="C1202" s="25" t="str">
        <x:v>Physical import</x:v>
      </x:c>
      <x:c r="D1202" s="25" t="str">
        <x:v>monitoring.cfg_silver_load_control</x:v>
      </x:c>
      <x:c r="E1202" s="25" t="n">
        <x:v>14</x:v>
      </x:c>
      <x:c r="F1202" s="25" t="n">
        <x:v>0</x:v>
      </x:c>
      <x:c r="G1202" s="25" t="str">
        <x:v>project X/reports/WIP/SM WMPP Mission Control/SM WMPP Mission Control.SemanticModel/definition/tables/cfg_silver_load_control.tmdl</x:v>
      </x:c>
      <x:c r="H1202" s="25" t="str">
        <x:v>Saved source snapshot</x:v>
      </x:c>
      <x:c r="I1202" s="25" t="str">
        <x:v>Relationships and deployment not inferred</x:v>
      </x:c>
    </x:row>
    <x:row r="1203" ht="33" customHeight="1">
      <x:c r="A1203" s="25" t="str">
        <x:v>mission</x:v>
      </x:c>
      <x:c r="B1203" s="25" t="str">
        <x:v>cfg_table_load_metric</x:v>
      </x:c>
      <x:c r="C1203" s="25" t="str">
        <x:v>Physical import</x:v>
      </x:c>
      <x:c r="D1203" s="25" t="str">
        <x:v>monitoring.cfg_table_load_metric</x:v>
      </x:c>
      <x:c r="E1203" s="25" t="n">
        <x:v>11</x:v>
      </x:c>
      <x:c r="F1203" s="25" t="n">
        <x:v>0</x:v>
      </x:c>
      <x:c r="G1203" s="25" t="str">
        <x:v>project X/reports/WIP/SM WMPP Mission Control/SM WMPP Mission Control.SemanticModel/definition/tables/cfg_table_load_metric.tmdl</x:v>
      </x:c>
      <x:c r="H1203" s="25" t="str">
        <x:v>Saved source snapshot</x:v>
      </x:c>
      <x:c r="I1203" s="25" t="str">
        <x:v>Relationships and deployment not inferred</x:v>
      </x:c>
    </x:row>
    <x:row r="1204" ht="33" customHeight="1">
      <x:c r="A1204" s="25" t="str">
        <x:v>mission</x:v>
      </x:c>
      <x:c r="B1204" s="25" t="str">
        <x:v>monitoring_database</x:v>
      </x:c>
      <x:c r="C1204" s="25" t="str">
        <x:v>Model/local/calculated</x:v>
      </x:c>
      <x:c r="D1204" s="25" t="str">
        <x:v>No direct physical source asserted</x:v>
      </x:c>
      <x:c r="E1204" s="25" t="n">
        <x:v>5</x:v>
      </x:c>
      <x:c r="F1204" s="25" t="n">
        <x:v>0</x:v>
      </x:c>
      <x:c r="G1204" s="25" t="str">
        <x:v>project X/reports/WIP/SM WMPP Mission Control/SM WMPP Mission Control.SemanticModel/definition/tables/monitoring_database.tmdl</x:v>
      </x:c>
      <x:c r="H1204" s="25" t="str">
        <x:v>Saved source snapshot</x:v>
      </x:c>
      <x:c r="I1204" s="25" t="str">
        <x:v>Relationships and deployment not inferred</x:v>
      </x:c>
    </x:row>
    <x:row r="1205" ht="33" customHeight="1">
      <x:c r="A1205" s="25" t="str">
        <x:v>mission</x:v>
      </x:c>
      <x:c r="B1205" s="25" t="str">
        <x:v>rpt_job_data_quality</x:v>
      </x:c>
      <x:c r="C1205" s="25" t="str">
        <x:v>Physical import</x:v>
      </x:c>
      <x:c r="D1205" s="25" t="str">
        <x:v>monitoring.rpt_job_data_quality</x:v>
      </x:c>
      <x:c r="E1205" s="25" t="n">
        <x:v>16</x:v>
      </x:c>
      <x:c r="F1205" s="25" t="n">
        <x:v>0</x:v>
      </x:c>
      <x:c r="G1205" s="25" t="str">
        <x:v>project X/reports/WIP/SM WMPP Mission Control/SM WMPP Mission Control.SemanticModel/definition/tables/rpt_job_data_quality.tmdl</x:v>
      </x:c>
      <x:c r="H1205" s="25" t="str">
        <x:v>Saved source snapshot</x:v>
      </x:c>
      <x:c r="I1205" s="25" t="str">
        <x:v>Relationships and deployment not inferred</x:v>
      </x:c>
    </x:row>
    <x:row r="1206" ht="33" customHeight="1">
      <x:c r="A1206" s="25" t="str">
        <x:v>mission</x:v>
      </x:c>
      <x:c r="B1206" s="25" t="str">
        <x:v>rpt_job_layer_lineage</x:v>
      </x:c>
      <x:c r="C1206" s="25" t="str">
        <x:v>Physical import</x:v>
      </x:c>
      <x:c r="D1206" s="25" t="str">
        <x:v>monitoring.rpt_job_layer_lineage</x:v>
      </x:c>
      <x:c r="E1206" s="25" t="n">
        <x:v>12</x:v>
      </x:c>
      <x:c r="F1206" s="25" t="n">
        <x:v>0</x:v>
      </x:c>
      <x:c r="G1206" s="25" t="str">
        <x:v>project X/reports/WIP/SM WMPP Mission Control/SM WMPP Mission Control.SemanticModel/definition/tables/rpt_job_layer_lineage.tmdl</x:v>
      </x:c>
      <x:c r="H1206" s="25" t="str">
        <x:v>Saved source snapshot</x:v>
      </x:c>
      <x:c r="I1206" s="25" t="str">
        <x:v>Relationships and deployment not inferred</x:v>
      </x:c>
    </x:row>
    <x:row r="1207" ht="33" customHeight="1">
      <x:c r="A1207" s="25" t="str">
        <x:v>mission</x:v>
      </x:c>
      <x:c r="B1207" s="25" t="str">
        <x:v>rpt_job_run_summary</x:v>
      </x:c>
      <x:c r="C1207" s="25" t="str">
        <x:v>Physical import</x:v>
      </x:c>
      <x:c r="D1207" s="25" t="str">
        <x:v>monitoring.rpt_job_run_summary</x:v>
      </x:c>
      <x:c r="E1207" s="25" t="n">
        <x:v>21</x:v>
      </x:c>
      <x:c r="F1207" s="25" t="n">
        <x:v>0</x:v>
      </x:c>
      <x:c r="G1207" s="25" t="str">
        <x:v>project X/reports/WIP/SM WMPP Mission Control/SM WMPP Mission Control.SemanticModel/definition/tables/rpt_job_run_summary.tmdl</x:v>
      </x:c>
      <x:c r="H1207" s="25" t="str">
        <x:v>Saved source snapshot</x:v>
      </x:c>
      <x:c r="I1207" s="25" t="str">
        <x:v>Relationships and deployment not inferred</x:v>
      </x:c>
    </x:row>
    <x:row r="1208" ht="33" customHeight="1">
      <x:c r="A1208" s="25" t="str">
        <x:v>mission</x:v>
      </x:c>
      <x:c r="B1208" s="25" t="str">
        <x:v>rpt_job_schema_drift</x:v>
      </x:c>
      <x:c r="C1208" s="25" t="str">
        <x:v>Physical import</x:v>
      </x:c>
      <x:c r="D1208" s="25" t="str">
        <x:v>monitoring.rpt_job_schema_drift</x:v>
      </x:c>
      <x:c r="E1208" s="25" t="n">
        <x:v>20</x:v>
      </x:c>
      <x:c r="F1208" s="25" t="n">
        <x:v>0</x:v>
      </x:c>
      <x:c r="G1208" s="25" t="str">
        <x:v>project X/reports/WIP/SM WMPP Mission Control/SM WMPP Mission Control.SemanticModel/definition/tables/rpt_job_schema_drift.tmdl</x:v>
      </x:c>
      <x:c r="H1208" s="25" t="str">
        <x:v>Saved source snapshot</x:v>
      </x:c>
      <x:c r="I1208" s="25" t="str">
        <x:v>Relationships and deployment not inferred</x:v>
      </x:c>
    </x:row>
    <x:row r="1209" ht="33" customHeight="1">
      <x:c r="A1209" s="25" t="str">
        <x:v>mission</x:v>
      </x:c>
      <x:c r="B1209" s="25" t="str">
        <x:v>rpt_job_step_summary</x:v>
      </x:c>
      <x:c r="C1209" s="25" t="str">
        <x:v>Physical import</x:v>
      </x:c>
      <x:c r="D1209" s="25" t="str">
        <x:v>monitoring.rpt_job_step_summary</x:v>
      </x:c>
      <x:c r="E1209" s="25" t="n">
        <x:v>26</x:v>
      </x:c>
      <x:c r="F1209" s="25" t="n">
        <x:v>0</x:v>
      </x:c>
      <x:c r="G1209" s="25" t="str">
        <x:v>project X/reports/WIP/SM WMPP Mission Control/SM WMPP Mission Control.SemanticModel/definition/tables/rpt_job_step_summary.tmdl</x:v>
      </x:c>
      <x:c r="H1209" s="25" t="str">
        <x:v>Saved source snapshot</x:v>
      </x:c>
      <x:c r="I1209" s="25" t="str">
        <x:v>Relationships and deployment not inferred</x:v>
      </x:c>
    </x:row>
    <x:row r="1210" ht="33" customHeight="1">
      <x:c r="A1210" s="25" t="str">
        <x:v>mission</x:v>
      </x:c>
      <x:c r="B1210" s="25" t="str">
        <x:v>rpt_job_step_timing</x:v>
      </x:c>
      <x:c r="C1210" s="25" t="str">
        <x:v>Physical import</x:v>
      </x:c>
      <x:c r="D1210" s="25" t="str">
        <x:v>monitoring.rpt_job_step_timing</x:v>
      </x:c>
      <x:c r="E1210" s="25" t="n">
        <x:v>13</x:v>
      </x:c>
      <x:c r="F1210" s="25" t="n">
        <x:v>0</x:v>
      </x:c>
      <x:c r="G1210" s="25" t="str">
        <x:v>project X/reports/WIP/SM WMPP Mission Control/SM WMPP Mission Control.SemanticModel/definition/tables/rpt_job_step_timing.tmdl</x:v>
      </x:c>
      <x:c r="H1210" s="25" t="str">
        <x:v>Saved source snapshot</x:v>
      </x:c>
      <x:c r="I1210" s="25" t="str">
        <x:v>Relationships and deployment not inferred</x:v>
      </x:c>
    </x:row>
    <x:row r="1211" ht="33" customHeight="1">
      <x:c r="A1211" s="25" t="str">
        <x:v>business</x:v>
      </x:c>
      <x:c r="B1211" s="25" t="str">
        <x:v>Requirement KPI Monitor</x:v>
      </x:c>
      <x:c r="C1211" s="25" t="str">
        <x:v>Model/local/calculated</x:v>
      </x:c>
      <x:c r="D1211" s="25" t="str">
        <x:v>No physical fact; requirement metadata</x:v>
      </x:c>
      <x:c r="E1211" s="25" t="n">
        <x:v>6</x:v>
      </x:c>
      <x:c r="F1211" s="25" t="n">
        <x:v>2</x:v>
      </x:c>
      <x:c r="G1211" s="25" t="str">
        <x:v>project X/reports/WIP/SM WMPP v16 updated WIP/SM_WMPP_v16.SemanticModel/definition/tables/Requirement KPI Monitor.tmdl</x:v>
      </x:c>
      <x:c r="H1211" s="25" t="str">
        <x:v>Native TMDL parsed; refresh pending</x:v>
      </x:c>
      <x:c r="I1211" s="25" t="str">
        <x:v>Disconnected selector; existing measure/RLS paths retained</x:v>
      </x:c>
    </x:row>
    <x:row r="1212" ht="33" customHeight="1">
      <x:c r="A1212"/>
      <x:c r="B1212"/>
      <x:c r="C1212"/>
      <x:c r="D1212"/>
      <x:c r="E1212"/>
      <x:c r="F1212"/>
      <x:c r="G1212"/>
      <x:c r="H1212"/>
      <x:c r="I1212"/>
    </x:row>
    <x:row r="1213" ht="33" customHeight="1">
      <x:c r="A1213"/>
      <x:c r="B1213"/>
      <x:c r="C1213"/>
      <x:c r="D1213"/>
      <x:c r="E1213"/>
      <x:c r="F1213"/>
      <x:c r="G1213"/>
      <x:c r="H1213"/>
      <x:c r="I1213"/>
    </x:row>
    <x:row r="1214" ht="25" customHeight="1">
      <x:c r="A1214" s="22" t="str">
        <x:v>Retained historical gaps — not silently closed</x:v>
      </x:c>
      <x:c r="B1214" s="22"/>
      <x:c r="C1214" s="22"/>
      <x:c r="D1214" s="22"/>
      <x:c r="E1214" s="22"/>
      <x:c r="F1214" s="22"/>
      <x:c r="G1214" s="22"/>
      <x:c r="H1214" s="22"/>
      <x:c r="I1214" s="22"/>
    </x:row>
    <x:row r="1215" ht="35" customHeight="1">
      <x:c r="A1215" s="35" t="str">
        <x:v>Gap ID</x:v>
      </x:c>
      <x:c r="B1215" s="35" t="str">
        <x:v>Business area</x:v>
      </x:c>
      <x:c r="C1215" s="35" t="str">
        <x:v>KPI / capability</x:v>
      </x:c>
      <x:c r="D1215" s="35" t="str">
        <x:v>Legacy KPI mapping</x:v>
      </x:c>
      <x:c r="E1215" s="35" t="str">
        <x:v>Requirement IDs</x:v>
      </x:c>
      <x:c r="F1215" s="35" t="str">
        <x:v>Status</x:v>
      </x:c>
      <x:c r="G1215" s="35" t="str">
        <x:v>Reason / next Gold-model change</x:v>
      </x:c>
      <x:c r="H1215" s="35" t="str">
        <x:v>Review</x:v>
      </x:c>
      <x:c r="I1215" s="35" t="str">
        <x:v>Acceptance</x:v>
      </x:c>
    </x:row>
    <x:row r="1216" ht="33" customHeight="1">
      <x:c r="A1216" s="25" t="str">
        <x:v>GOLD-GAP-001</x:v>
      </x:c>
      <x:c r="B1216" s="25" t="str">
        <x:v>Child demographics</x:v>
      </x:c>
      <x:c r="C1216" s="25" t="str">
        <x:v>Gender and person attributes</x:v>
      </x:c>
      <x:c r="D1216" s="25" t="str">
        <x:v>KPI-04–07</x:v>
      </x:c>
      <x:c r="E1216" s="25" t="str">
        <x:v>R51</x:v>
      </x:c>
      <x:c r="F1216" s="25" t="str">
        <x:v>Built; UAT pending</x:v>
      </x:c>
      <x:c r="G1216" s="25" t="str">
        <x:v>dim_person and gender measures exist. Validate person linkage, unknown values and role access.</x:v>
      </x:c>
      <x:c r="H1216" s="25"/>
      <x:c r="I1216" s="25"/>
    </x:row>
    <x:row r="1217" ht="33" customHeight="1">
      <x:c r="A1217" s="25" t="str">
        <x:v>GOLD-GAP-002</x:v>
      </x:c>
      <x:c r="B1217" s="25" t="str">
        <x:v>IPA signatures</x:v>
      </x:c>
      <x:c r="C1217" s="25" t="str">
        <x:v>IPA-level completion and signature flags</x:v>
      </x:c>
      <x:c r="D1217" s="25" t="str">
        <x:v>KPI-77–86, 114</x:v>
      </x:c>
      <x:c r="E1217" s="25" t="str">
        <x:v>R15, R20, R35</x:v>
      </x:c>
      <x:c r="F1217" s="25" t="str">
        <x:v>Built; UAT pending</x:v>
      </x:c>
      <x:c r="G1217" s="25" t="str">
        <x:v>fact_ipa now has both signature flags and completion/pending fields. Exact signature event history remains separate.</x:v>
      </x:c>
      <x:c r="H1217" s="25"/>
      <x:c r="I1217" s="25"/>
    </x:row>
    <x:row r="1218" ht="33" customHeight="1">
      <x:c r="A1218" s="25" t="str">
        <x:v>GOLD-GAP-003</x:v>
      </x:c>
      <x:c r="B1218" s="25" t="str">
        <x:v>Geography</x:v>
      </x:c>
      <x:c r="C1218" s="25" t="str">
        <x:v>Out-of-region referral/placement rate</x:v>
      </x:c>
      <x:c r="D1218" s="25" t="str">
        <x:v>KPI-95–96</x:v>
      </x:c>
      <x:c r="E1218" s="25" t="str">
        <x:v>R22</x:v>
      </x:c>
      <x:c r="F1218" s="25" t="str">
        <x:v>Open data gap</x:v>
      </x:c>
      <x:c r="G1218" s="25" t="str">
        <x:v>No governed origin/destination region. Maps and preferred-city distance do not close this gap.</x:v>
      </x:c>
      <x:c r="H1218" s="25"/>
      <x:c r="I1218" s="25"/>
    </x:row>
    <x:row r="1219" ht="24" customHeight="1">
      <x:c r="A1219" s="25" t="str">
        <x:v>GOLD-GAP-004</x:v>
      </x:c>
      <x:c r="B1219" s="25" t="str">
        <x:v>QA detail</x:v>
      </x:c>
      <x:c r="C1219" s="25" t="str">
        <x:v>QA flag-type history</x:v>
      </x:c>
      <x:c r="D1219" s="25" t="str">
        <x:v>KPI-98</x:v>
      </x:c>
      <x:c r="E1219" s="25" t="str">
        <x:v>R41, R94</x:v>
      </x:c>
      <x:c r="F1219" s="25" t="str">
        <x:v>Open data gap</x:v>
      </x:c>
      <x:c r="G1219" s="25" t="str">
        <x:v>Current flags exist; historic flag types and changes remain unsupported.</x:v>
      </x:c>
      <x:c r="H1219" s="25"/>
      <x:c r="I1219" s="25"/>
    </x:row>
    <x:row r="1220" ht="33" customHeight="1">
      <x:c r="A1220" s="25" t="str">
        <x:v>GOLD-GAP-005</x:v>
      </x:c>
      <x:c r="B1220" s="25" t="str">
        <x:v>Document compliance</x:v>
      </x:c>
      <x:c r="C1220" s="25" t="str">
        <x:v>Expected-document compliance and blocking</x:v>
      </x:c>
      <x:c r="D1220" s="25" t="str">
        <x:v>KPI-102–103</x:v>
      </x:c>
      <x:c r="E1220" s="25" t="str">
        <x:v>R48</x:v>
      </x:c>
      <x:c r="F1220" s="25" t="str">
        <x:v>Open data gap</x:v>
      </x:c>
      <x:c r="G1220" s="25" t="str">
        <x:v>Expected-document policy and blocked-provider outcomes are absent. Expiry dates do not prove compliance.</x:v>
      </x:c>
      <x:c r="H1220" s="25"/>
      <x:c r="I1220" s="25"/>
    </x:row>
    <x:row r="1221" ht="33" customHeight="1">
      <x:c r="A1221" s="25" t="str">
        <x:v>GOLD-GAP-006</x:v>
      </x:c>
      <x:c r="B1221" s="25" t="str">
        <x:v>Decline/framework history</x:v>
      </x:c>
      <x:c r="C1221" s="25" t="str">
        <x:v>Reason detail and framework-change history</x:v>
      </x:c>
      <x:c r="D1221" s="25" t="str">
        <x:v>KPI-105–106</x:v>
      </x:c>
      <x:c r="E1221" s="25" t="str">
        <x:v>R54, R58</x:v>
      </x:c>
      <x:c r="F1221" s="25" t="str">
        <x:v>Partially built</x:v>
      </x:c>
      <x:c r="G1221" s="25" t="str">
        <x:v>Current assignment decline/cancellation lookup exists; immutable reason history, attribution and effective-dated framework change remain open.</x:v>
      </x:c>
      <x:c r="H1221" s="25"/>
      <x:c r="I1221" s="25"/>
    </x:row>
    <x:row r="1222" ht="33" customHeight="1">
      <x:c r="A1222" s="25" t="str">
        <x:v>GOLD-GAP-007</x:v>
      </x:c>
      <x:c r="B1222" s="25" t="str">
        <x:v>Payments</x:v>
      </x:c>
      <x:c r="C1222" s="25" t="str">
        <x:v>Payment method and IPA payment status</x:v>
      </x:c>
      <x:c r="D1222" s="25" t="str">
        <x:v>KPI-108–109</x:v>
      </x:c>
      <x:c r="E1222" s="25" t="str">
        <x:v>R62</x:v>
      </x:c>
      <x:c r="F1222" s="25" t="str">
        <x:v>Open data gap</x:v>
      </x:c>
      <x:c r="G1222" s="25" t="str">
        <x:v>Payment/invoice facts absent. Weekly/lifetime cost calculations are estimates, not actual spend.</x:v>
      </x:c>
      <x:c r="H1222" s="25"/>
      <x:c r="I1222" s="25"/>
    </x:row>
    <x:row r="1223" ht="33" customHeight="1">
      <x:c r="A1223" s="25" t="str">
        <x:v>GOLD-GAP-008</x:v>
      </x:c>
      <x:c r="B1223" s="25" t="str">
        <x:v>Provider messages</x:v>
      </x:c>
      <x:c r="C1223" s="25" t="str">
        <x:v>Paired response-time and unread-priority KPIs</x:v>
      </x:c>
      <x:c r="D1223" s="25" t="str">
        <x:v>KPI-111–112</x:v>
      </x:c>
      <x:c r="E1223" s="25" t="str">
        <x:v>R14</x:v>
      </x:c>
      <x:c r="F1223" s="25" t="str">
        <x:v>Partially built</x:v>
      </x:c>
      <x:c r="G1223" s="25" t="str">
        <x:v>Detailed message/read fields exist; author-role classification, paired responses, priority and unread semantics remain open.</x:v>
      </x:c>
      <x:c r="H1223" s="25"/>
      <x:c r="I1223" s="25"/>
    </x:row>
    <x:row r="1224" ht="33" customHeight="1">
      <x:c r="A1224" s="25" t="str">
        <x:v>GOLD-GAP-009</x:v>
      </x:c>
      <x:c r="B1224" s="25" t="str">
        <x:v>Referral updates</x:v>
      </x:c>
      <x:c r="C1224" s="25" t="str">
        <x:v>Durable updates and notification delivery</x:v>
      </x:c>
      <x:c r="D1224" s="25" t="str">
        <x:v>KPI-115</x:v>
      </x:c>
      <x:c r="E1224" s="25" t="str">
        <x:v>R19</x:v>
      </x:c>
      <x:c r="F1224" s="25" t="str">
        <x:v>Proxy only</x:v>
      </x:c>
      <x:c r="G1224" s="25" t="str">
        <x:v>Derived lifecycle events exist; full update audit history and notification outcomes are not proven.</x:v>
      </x:c>
      <x:c r="H1224" s="25"/>
      <x:c r="I1224" s="25"/>
    </x:row>
    <x:row r="1225" ht="33" customHeight="1">
      <x:c r="A1225" s="25" t="str">
        <x:v>GOLD-GAP-010</x:v>
      </x:c>
      <x:c r="B1225" s="25" t="str">
        <x:v>Categories/support needs</x:v>
      </x:c>
      <x:c r="C1225" s="25" t="str">
        <x:v>Category membership and support needs</x:v>
      </x:c>
      <x:c r="D1225" s="25" t="str">
        <x:v>WIP addition</x:v>
      </x:c>
      <x:c r="E1225" s="25" t="str">
        <x:v>R13, R26, R51</x:v>
      </x:c>
      <x:c r="F1225" s="25" t="str">
        <x:v>Partially built</x:v>
      </x:c>
      <x:c r="G1225" s="25" t="str">
        <x:v>Current referral/home category bridges exist. Person support-needs bridge and historical membership are absent from WIP.</x:v>
      </x:c>
      <x:c r="H1225" s="25"/>
      <x:c r="I1225" s="25"/>
    </x:row>
  </x:sheetData>
  <x:mergeCells>
    <x:mergeCell ref="A1:I1"/>
    <x:mergeCell ref="A2:I2"/>
    <x:mergeCell ref="A4:I4"/>
    <x:mergeCell ref="A11:I11"/>
    <x:mergeCell ref="A95:I95"/>
    <x:mergeCell ref="A600:I600"/>
    <x:mergeCell ref="A955:I955"/>
    <x:mergeCell ref="A1103:I1103"/>
    <x:mergeCell ref="A1214:I1214"/>
  </x:mergeCells>
  <x:pageMargins left="0.7" right="0.7" top="0.75" bottom="0.75" header="0.3" footer="0.3"/>
  <x:tableParts count="7">
    <x:tablePart xmlns:r="http://schemas.openxmlformats.org/officeDocument/2006/relationships" r:id="R5650fd4dd53a40fe"/>
    <x:tablePart xmlns:r="http://schemas.openxmlformats.org/officeDocument/2006/relationships" r:id="R7c973548103e49ac"/>
    <x:tablePart xmlns:r="http://schemas.openxmlformats.org/officeDocument/2006/relationships" r:id="R850aeb40c6454563"/>
    <x:tablePart xmlns:r="http://schemas.openxmlformats.org/officeDocument/2006/relationships" r:id="R7e0122d8e89845c3"/>
    <x:tablePart xmlns:r="http://schemas.openxmlformats.org/officeDocument/2006/relationships" r:id="Re302f0739c3c46df"/>
    <x:tablePart xmlns:r="http://schemas.openxmlformats.org/officeDocument/2006/relationships" r:id="Rbb2db437ac924ef3"/>
    <x:tablePart xmlns:r="http://schemas.openxmlformats.org/officeDocument/2006/relationships" r:id="Rf232a4a2693e4019"/>
  </x:tableParts>
</x:worksheet>
</file>