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minghamcitycouncil.sharepoint.com/sites/PRJ0048180-WMPPProject/Shared Documents/General/Phase 2/Dashboard &amp; Reporting Documents/Phase 2/"/>
    </mc:Choice>
  </mc:AlternateContent>
  <xr:revisionPtr revIDLastSave="33" documentId="8_{26C3AA2F-D1DC-499A-BE58-BBFB2FDC34A6}" xr6:coauthVersionLast="47" xr6:coauthVersionMax="47" xr10:uidLastSave="{F17F8402-366E-4CD5-A0C6-84089D3F2B28}"/>
  <bookViews>
    <workbookView xWindow="19090" yWindow="-110" windowWidth="19420" windowHeight="11500" activeTab="2" xr2:uid="{86068FEC-0679-4345-9035-727DE1C108D2}"/>
  </bookViews>
  <sheets>
    <sheet name="RID" sheetId="1" r:id="rId1"/>
    <sheet name="Table Definition" sheetId="2" r:id="rId2"/>
    <sheet name="KPI Definition" sheetId="4" r:id="rId3"/>
  </sheets>
  <definedNames>
    <definedName name="_xlnm._FilterDatabase" localSheetId="2" hidden="1">'KPI Definition'!$A$1:$H$118</definedName>
    <definedName name="_xlnm._FilterDatabase" localSheetId="0" hidden="1">RID!$A$1:$K$81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1" i="1" l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<sst xmlns="http://schemas.openxmlformats.org/spreadsheetml/2006/main" count="1569" uniqueCount="869">
  <si>
    <t>Oiriginal ID</t>
  </si>
  <si>
    <t>Req ID</t>
  </si>
  <si>
    <t>Requirement</t>
  </si>
  <si>
    <t>Stakeholder</t>
  </si>
  <si>
    <t>Priority</t>
  </si>
  <si>
    <t>KPI(s)</t>
  </si>
  <si>
    <t>Status</t>
  </si>
  <si>
    <t>Gap / Notes</t>
  </si>
  <si>
    <t>Suggested Action</t>
  </si>
  <si>
    <t>Notes 30072026</t>
  </si>
  <si>
    <t>R1</t>
  </si>
  <si>
    <t>Place children with complex care needs</t>
  </si>
  <si>
    <t>Placement Officer</t>
  </si>
  <si>
    <t>High</t>
  </si>
  <si>
    <t>KPI-01, KPI-08</t>
  </si>
  <si>
    <t>✅ Implemented</t>
  </si>
  <si>
    <t>R2</t>
  </si>
  <si>
    <t>Consider current incumbent solution</t>
  </si>
  <si>
    <t>All</t>
  </si>
  <si>
    <t>Low</t>
  </si>
  <si>
    <t>—</t>
  </si>
  <si>
    <t>ℹ️ Non-functional</t>
  </si>
  <si>
    <t>Design constraint, no KPI required</t>
  </si>
  <si>
    <t>R3</t>
  </si>
  <si>
    <t>Single regional platform (cross-boundary)</t>
  </si>
  <si>
    <t>Architecture constraint, no direct KPI</t>
  </si>
  <si>
    <t>R4</t>
  </si>
  <si>
    <t>Open source suitability</t>
  </si>
  <si>
    <t>R5</t>
  </si>
  <si>
    <t>Agile / MVP / backlog</t>
  </si>
  <si>
    <t>R6</t>
  </si>
  <si>
    <t>COTS preferred over bespoke</t>
  </si>
  <si>
    <t>R7</t>
  </si>
  <si>
    <t>APIs across WM IT ecosystem</t>
  </si>
  <si>
    <t>R8</t>
  </si>
  <si>
    <t>Open-source API compliance</t>
  </si>
  <si>
    <t>R9</t>
  </si>
  <si>
    <t>Form pre-population (referral, OFSTED, auth)</t>
  </si>
  <si>
    <t>Medium</t>
  </si>
  <si>
    <t>ℹ️ Feature</t>
  </si>
  <si>
    <t>Data quality benefit, no dedicated KPI</t>
  </si>
  <si>
    <t>R11</t>
  </si>
  <si>
    <t>Publish placement requirements to providers</t>
  </si>
  <si>
    <t>R12</t>
  </si>
  <si>
    <t>GDPR / DPA 2018 compliance for vulnerable-child data</t>
  </si>
  <si>
    <t>ℹ️ Security</t>
  </si>
  <si>
    <t>No dedicated KPI; covered by RLS (R55)</t>
  </si>
  <si>
    <t>R13</t>
  </si>
  <si>
    <t>Filter by specialisms, placement type, placement status</t>
  </si>
  <si>
    <t>KPI-26, KPI-34</t>
  </si>
  <si>
    <t>R14</t>
  </si>
  <si>
    <t>In-system messaging (auditable, prioritised, urgent)</t>
  </si>
  <si>
    <t>Medium-&gt;Low</t>
  </si>
  <si>
    <t>KPI-110, KPI-111, KPI-112</t>
  </si>
  <si>
    <t>❌ Missing</t>
  </si>
  <si>
    <t>Message table exists (fact_provider_message) but no KPI for volume, response time, or priority handling</t>
  </si>
  <si>
    <t>Add Messages Sent, Avg Response Time, Priority Messages Unread measures</t>
  </si>
  <si>
    <t>data is available.</t>
  </si>
  <si>
    <t>R15</t>
  </si>
  <si>
    <t>Digital info &amp; signatures for IPA</t>
  </si>
  <si>
    <t>KPI-73, KPI-76, KPI-77</t>
  </si>
  <si>
    <t>R16</t>
  </si>
  <si>
    <t>Priority information flagged in placement requests</t>
  </si>
  <si>
    <t>Visual flag, no dedicated measure</t>
  </si>
  <si>
    <t>R17</t>
  </si>
  <si>
    <t>Placement info immediately available on accept</t>
  </si>
  <si>
    <t>KPI-75</t>
  </si>
  <si>
    <t>R18</t>
  </si>
  <si>
    <t>Emergency placements: same-day, distinct ID, separate reporting &amp; finance</t>
  </si>
  <si>
    <t>KPI-91, KPI-92, KPI-94</t>
  </si>
  <si>
    <t>No KPI distinguishes emergency from planned/spot. is_spot ≠ emergency. Statutory compliance risk.</t>
  </si>
  <si>
    <t>Add Emergency Referrals and Emergency Placement Rate measures. Add is_emergency flag to dim_referral.</t>
  </si>
  <si>
    <t>R19</t>
  </si>
  <si>
    <t>Update referrals; auto-notify providers</t>
  </si>
  <si>
    <t>KPI-115</t>
  </si>
  <si>
    <t>No KPI for referral update frequency or notification delivery</t>
  </si>
  <si>
    <t>Add Referral Updates per Day measure from referral audit trail</t>
  </si>
  <si>
    <t>R20</t>
  </si>
  <si>
    <t>Full audit tracking (placements, IPA, signatures, approvals, negotiations)</t>
  </si>
  <si>
    <t>Commissioner</t>
  </si>
  <si>
    <t>KPI-113, KPI-114</t>
  </si>
  <si>
    <t>No audit trail KPIs exist</t>
  </si>
  <si>
    <t>Add Audit Events by Type and IPA Signature Completion Rate measures</t>
  </si>
  <si>
    <t>NEC responsiblility to provide this Feature</t>
  </si>
  <si>
    <t>R21</t>
  </si>
  <si>
    <t>Auto-notify unsuccessful providers; optional rejection feedback</t>
  </si>
  <si>
    <t>Notification feature, no dedicated KPI</t>
  </si>
  <si>
    <t>R22</t>
  </si>
  <si>
    <t>Out-of-region placements tagged; finance informed</t>
  </si>
  <si>
    <t>High-&gt;Medium</t>
  </si>
  <si>
    <t>KPI-90 (partial), KPI-95, KPI-96</t>
  </si>
  <si>
    <t>Overlap Referrals measure exists but unclear if it tracks external (non-WM) placements</t>
  </si>
  <si>
    <t>Add Out-of-Region Referrals measure with geographic tagging</t>
  </si>
  <si>
    <t>the overlap referral is not related to this requirment</t>
  </si>
  <si>
    <t>R24</t>
  </si>
  <si>
    <t>Dashboard: status overview, provider updates, task mgmt, quick updates</t>
  </si>
  <si>
    <t>KPI-01–KPI-89 (85 measures)</t>
  </si>
  <si>
    <t>R25</t>
  </si>
  <si>
    <t>Quickly review detailed placement requests</t>
  </si>
  <si>
    <t>Provider</t>
  </si>
  <si>
    <t>KPI-11, KPI-12</t>
  </si>
  <si>
    <t>R26</t>
  </si>
  <si>
    <t>Prioritise by match suitability, SOP, existing placements</t>
  </si>
  <si>
    <t>KPI-19, KPI-20, KPI-37</t>
  </si>
  <si>
    <t>R27</t>
  </si>
  <si>
    <t>Request additional info, raise queries, see responses</t>
  </si>
  <si>
    <t>Communication feature, no dedicated KPI</t>
  </si>
  <si>
    <t>R28</t>
  </si>
  <si>
    <t>Accept / reject / request further info</t>
  </si>
  <si>
    <t>KPI-15, KPI-16, KPI-75</t>
  </si>
  <si>
    <t>R29</t>
  </si>
  <si>
    <t>Streamlined offer process</t>
  </si>
  <si>
    <t>Process efficiency, no dedicated KPI</t>
  </si>
  <si>
    <t>R31</t>
  </si>
  <si>
    <t>Resolved requests auto-removed from provider views</t>
  </si>
  <si>
    <t>No measure tracking resolved-but-not-hidden requests</t>
  </si>
  <si>
    <t>Add Resolved Requests Visible measure for data quality</t>
  </si>
  <si>
    <t>email notify feature… not considered pfor phase 2</t>
  </si>
  <si>
    <t>R32</t>
  </si>
  <si>
    <t>Matching by SOP and care specialisms</t>
  </si>
  <si>
    <t>Matching algorithm, no dedicated KPI</t>
  </si>
  <si>
    <t>R33</t>
  </si>
  <si>
    <t>Upload and manage placement documentation</t>
  </si>
  <si>
    <t>Document management, no dedicated KPI</t>
  </si>
  <si>
    <t>R34</t>
  </si>
  <si>
    <t>Emergency referrals identifiable and prioritised</t>
  </si>
  <si>
    <t>KPI-91, KPI-94</t>
  </si>
  <si>
    <t>Same as R18 — emergency not distinguishable</t>
  </si>
  <si>
    <t>See R18 action</t>
  </si>
  <si>
    <t>might be a status field (planned or emergency)</t>
  </si>
  <si>
    <t>R35</t>
  </si>
  <si>
    <t>Digitised IPA (review, approvals, signing, audit)</t>
  </si>
  <si>
    <t>KPI-73–KPI-86</t>
  </si>
  <si>
    <t>R36</t>
  </si>
  <si>
    <t>Dedicated view: referrals with outstanding offers / open offers</t>
  </si>
  <si>
    <t>KPI-10, KPI-29</t>
  </si>
  <si>
    <t>R38</t>
  </si>
  <si>
    <t>Record QA assessment outcomes against providers</t>
  </si>
  <si>
    <t>QA Officer</t>
  </si>
  <si>
    <t>ℹ️ Data entry</t>
  </si>
  <si>
    <t>Assessment recording, no dedicated KPI</t>
  </si>
  <si>
    <t>R39</t>
  </si>
  <si>
    <t>Desk-based research; identify missing documentation</t>
  </si>
  <si>
    <t>Research workflow, no dedicated KPI</t>
  </si>
  <si>
    <t>R41</t>
  </si>
  <si>
    <t>Apply advisory notices and flags (information notices, safeguarding)</t>
  </si>
  <si>
    <t>KPI-97, KPI-98, KPI-99</t>
  </si>
  <si>
    <t>No KPI shows flagged provider counts or flag types</t>
  </si>
  <si>
    <t>Add Providers with QA Flags, QA Flag Type Breakdown measures</t>
  </si>
  <si>
    <t>Flags against homes not Provider… should be in a text label</t>
  </si>
  <si>
    <t>R45</t>
  </si>
  <si>
    <t>SPOT providers upload registration documentation</t>
  </si>
  <si>
    <t>Document upload, no dedicated KPI</t>
  </si>
  <si>
    <t>R46</t>
  </si>
  <si>
    <t>QA intelligence for non-framework providers shared appropriately</t>
  </si>
  <si>
    <t>KPI-46, KPI-47</t>
  </si>
  <si>
    <t>R47</t>
  </si>
  <si>
    <t>Monitor documentation expiry; send reminders; highlight missing</t>
  </si>
  <si>
    <t>KPI-100, KPI-101</t>
  </si>
  <si>
    <t>No KPI for documents nearing expiry or already expired</t>
  </si>
  <si>
    <t>Add Documents Expiring (30 Days) and Documents Expired measures</t>
  </si>
  <si>
    <t>documentation will be useful</t>
  </si>
  <si>
    <t>R48</t>
  </si>
  <si>
    <t>Providers with incomplete docs excluded from referrals</t>
  </si>
  <si>
    <t>KPI-102, KPI-103</t>
  </si>
  <si>
    <t>No measure showing providers blocked due to incomplete docs</t>
  </si>
  <si>
    <t>Add Providers Blocked (Incomplete Docs) and Document Compliance Rate measures</t>
  </si>
  <si>
    <t>R49</t>
  </si>
  <si>
    <t>Easily identify provider due diligence status</t>
  </si>
  <si>
    <t>KPI-104</t>
  </si>
  <si>
    <t>No KPI for due diligence status</t>
  </si>
  <si>
    <t>Add Providers by Due Diligence Status measure</t>
  </si>
  <si>
    <t>R51</t>
  </si>
  <si>
    <t>Robust data model: placement records, market intelligence, value analysis</t>
  </si>
  <si>
    <t>KPI-01–KPI-10, KPI-13, KPI-14, KPI-20</t>
  </si>
  <si>
    <t>R52</t>
  </si>
  <si>
    <t>Accurate and customisable reporting</t>
  </si>
  <si>
    <t>KPI-23, KPI-24</t>
  </si>
  <si>
    <t>R53</t>
  </si>
  <si>
    <t>Data consistent, exportable, supports bespoke analysis</t>
  </si>
  <si>
    <t>KPI-88</t>
  </si>
  <si>
    <t>R54</t>
  </si>
  <si>
    <t>Capture reasons for declined placements</t>
  </si>
  <si>
    <t>KPI-34 (partial), KPI-105</t>
  </si>
  <si>
    <t>⚠️ Partial</t>
  </si>
  <si>
    <t>Closed Referrals (by Reason) only covers offer-level decline codes, not full referral-level decline reasons</t>
  </si>
  <si>
    <t>Expand to include referral_provider_decline_reason data</t>
  </si>
  <si>
    <t>R55</t>
  </si>
  <si>
    <t>RBAC: commissioners access regional data, market-wide trends</t>
  </si>
  <si>
    <t>RLS requirement, not a measure. Verify RLS configured</t>
  </si>
  <si>
    <t>Verify RLS configuration in semantic model</t>
  </si>
  <si>
    <t>R57</t>
  </si>
  <si>
    <t>Emergency and planned placements separately reportable</t>
  </si>
  <si>
    <t>KPI-91, KPI-93, KPI-94</t>
  </si>
  <si>
    <t>Same as R18 — emergency vs planned not splittable</t>
  </si>
  <si>
    <t>Similar to R18</t>
  </si>
  <si>
    <t>R58</t>
  </si>
  <si>
    <t>Alert when framework changes during active referrals</t>
  </si>
  <si>
    <t>KPI-106</t>
  </si>
  <si>
    <t>No KPI for framework change tracking during active referrals</t>
  </si>
  <si>
    <t>Add Framework Changes During Active Referrals measure</t>
  </si>
  <si>
    <t>***spot proivder are those that arent on the framework…</t>
  </si>
  <si>
    <t>R59</t>
  </si>
  <si>
    <t>Bulk provider onboarding supported</t>
  </si>
  <si>
    <t>KPI-116, KPI-117</t>
  </si>
  <si>
    <t>No KPI for onboarding pipeline</t>
  </si>
  <si>
    <t>Add Providers in Onboarding Pipeline and Bulk Onboarding Success Rate measures</t>
  </si>
  <si>
    <t>R62</t>
  </si>
  <si>
    <t>View completed placements, access IPAs, extract payment info</t>
  </si>
  <si>
    <t>Finance Officer</t>
  </si>
  <si>
    <t>KPI-107, KPI-108, KPI-109</t>
  </si>
  <si>
    <t>IPA funnel exists but no finance-specific views (weekly fees, payment methods, invoice details)</t>
  </si>
  <si>
    <t>Add Total Weekly Fee Liability, Payment Method Breakdown, IPA Payment Status measures</t>
  </si>
  <si>
    <t>Only completed IPA where both signatures… or completed IPA with 1 signature… IPA with no signatures</t>
  </si>
  <si>
    <t>R67</t>
  </si>
  <si>
    <t>Support adding new frameworks</t>
  </si>
  <si>
    <t>KPI-25, KPI-38</t>
  </si>
  <si>
    <t>R68</t>
  </si>
  <si>
    <t>Frameworks configurable: display, hide, isolate by region</t>
  </si>
  <si>
    <t>R69</t>
  </si>
  <si>
    <t>Robust analytical data model</t>
  </si>
  <si>
    <t>Architecture constraint, no dedicated KPI</t>
  </si>
  <si>
    <t>R70</t>
  </si>
  <si>
    <t>Auto-save across workflows</t>
  </si>
  <si>
    <t>R71</t>
  </si>
  <si>
    <t>Digitised IPA: review, approvals, signing, full audit</t>
  </si>
  <si>
    <t>R72</t>
  </si>
  <si>
    <t>Digitise paper processes: workflow, auditable, trackable, lifecycle</t>
  </si>
  <si>
    <t>Process digitisation, no dedicated KPI</t>
  </si>
  <si>
    <t>R73</t>
  </si>
  <si>
    <t>Support future enhancements and Agile delivery</t>
  </si>
  <si>
    <t>R74</t>
  </si>
  <si>
    <t>COTS preferred</t>
  </si>
  <si>
    <t>R75</t>
  </si>
  <si>
    <t>High availability, scalability, fault tolerance, DR</t>
  </si>
  <si>
    <t>R76</t>
  </si>
  <si>
    <t>Access restricted to authorised users</t>
  </si>
  <si>
    <t>R77</t>
  </si>
  <si>
    <t>Admin: user management, org onboarding, ownership transfer</t>
  </si>
  <si>
    <t>R78</t>
  </si>
  <si>
    <t>RBAC and full auditing mandatory</t>
  </si>
  <si>
    <t>R79</t>
  </si>
  <si>
    <t>Break-glass access: controlled, auditable, emergency</t>
  </si>
  <si>
    <t>R80</t>
  </si>
  <si>
    <t>Fast document upload/retrieval, RBAC-protected access</t>
  </si>
  <si>
    <t>R81</t>
  </si>
  <si>
    <t>WCAG 2.0/2.1/2.2 compliance</t>
  </si>
  <si>
    <t>R82</t>
  </si>
  <si>
    <t>Fast response times, scalability, performance reporting</t>
  </si>
  <si>
    <t>KPI-87</t>
  </si>
  <si>
    <t>R83</t>
  </si>
  <si>
    <t>Migrate placements, purchases, providers, OFSTED, frameworks, active placements</t>
  </si>
  <si>
    <t>Data migration, no dedicated KPI</t>
  </si>
  <si>
    <t>R84</t>
  </si>
  <si>
    <t>Data integrity, retention, export, configurable policies</t>
  </si>
  <si>
    <t>R85</t>
  </si>
  <si>
    <t>Deployment: FAQs, user guides, demos, support materials</t>
  </si>
  <si>
    <t>R86</t>
  </si>
  <si>
    <t>Device agnostic, browser compatible, mobile friendly</t>
  </si>
  <si>
    <t>R87</t>
  </si>
  <si>
    <t>Incident management, issue reporting, SLAs</t>
  </si>
  <si>
    <t>R88</t>
  </si>
  <si>
    <t>Modular growth, controlled change, product roadmaps</t>
  </si>
  <si>
    <t>R89</t>
  </si>
  <si>
    <t>Stakeholder demos, UAT, formal sign-off</t>
  </si>
  <si>
    <t>R90</t>
  </si>
  <si>
    <t>Hosting options, deployment models, cloud strategy</t>
  </si>
  <si>
    <t>R91</t>
  </si>
  <si>
    <t>Provider registration: company, services, homes, docs</t>
  </si>
  <si>
    <t>KPI-40, KPI-41</t>
  </si>
  <si>
    <t>R92</t>
  </si>
  <si>
    <t>LA review and approve/reject registrations</t>
  </si>
  <si>
    <t>R93</t>
  </si>
  <si>
    <t>Placement officer: provider directory, services, homes, docs</t>
  </si>
  <si>
    <t>KPI-40–KPI-52</t>
  </si>
  <si>
    <t>R94</t>
  </si>
  <si>
    <t>QA: search providers, apply/remove flags</t>
  </si>
  <si>
    <t>KPI-97, KPI-98 (partial)</t>
  </si>
  <si>
    <t>Flag application exists in UI but no KPI for flag counts or types</t>
  </si>
  <si>
    <t>Add Providers with QA Flags and QA Flag Type Breakdown measures</t>
  </si>
  <si>
    <t>R95</t>
  </si>
  <si>
    <t>Reflect Fostering Framework changes (Q3 2024)</t>
  </si>
  <si>
    <t>KPI-42, KPI-51</t>
  </si>
  <si>
    <t>R96</t>
  </si>
  <si>
    <t>Reflect Residential Framework 2.0 (Spring 2025)</t>
  </si>
  <si>
    <t>KPI-43, KPI-49</t>
  </si>
  <si>
    <t>Gold Table</t>
  </si>
  <si>
    <t>Silver Source</t>
  </si>
  <si>
    <t>Schema Definition Table</t>
  </si>
  <si>
    <t>Functional Area</t>
  </si>
  <si>
    <t>fact_referral_offer</t>
  </si>
  <si>
    <t>slv_referral_provider</t>
  </si>
  <si>
    <t>referral.referral_provider</t>
  </si>
  <si>
    <t>Referral → Provider mapping</t>
  </si>
  <si>
    <t>fact_offer</t>
  </si>
  <si>
    <t>slv_offer</t>
  </si>
  <si>
    <t>offer.offer</t>
  </si>
  <si>
    <t>Provider offers</t>
  </si>
  <si>
    <t>fact_ipa</t>
  </si>
  <si>
    <t>slv_ipa</t>
  </si>
  <si>
    <t>ipa.ipa</t>
  </si>
  <si>
    <t>Individual Placement Agreements</t>
  </si>
  <si>
    <t>dim_referral</t>
  </si>
  <si>
    <t>slv_referral</t>
  </si>
  <si>
    <t>referral.referral</t>
  </si>
  <si>
    <t>Referral header</t>
  </si>
  <si>
    <t>dim_provider</t>
  </si>
  <si>
    <t>slv_provider</t>
  </si>
  <si>
    <t>provider.provider</t>
  </si>
  <si>
    <t>Provider master</t>
  </si>
  <si>
    <t>dim_provider_home</t>
  </si>
  <si>
    <t>slv_provider_home</t>
  </si>
  <si>
    <t>provider.provider_home</t>
  </si>
  <si>
    <t>Provider homes</t>
  </si>
  <si>
    <t>dim_provider_framework</t>
  </si>
  <si>
    <t>slv_provider_framework</t>
  </si>
  <si>
    <t>provider.provider_framework</t>
  </si>
  <si>
    <t>Provider-framework link</t>
  </si>
  <si>
    <t>fact_referral_person</t>
  </si>
  <si>
    <t>slv_person</t>
  </si>
  <si>
    <t>referral.person</t>
  </si>
  <si>
    <t>Child demographics</t>
  </si>
  <si>
    <t>fact_referral_category</t>
  </si>
  <si>
    <t>slv_referral_category</t>
  </si>
  <si>
    <t>referral.referral_category</t>
  </si>
  <si>
    <t>Referral categories</t>
  </si>
  <si>
    <t>fact_provider_message</t>
  </si>
  <si>
    <t>slv_referral_provider_message</t>
  </si>
  <si>
    <t>referral.referral_provider_message</t>
  </si>
  <si>
    <t>Inter-party messages</t>
  </si>
  <si>
    <t>dim_referral_gender</t>
  </si>
  <si>
    <t>Gender aggregation</t>
  </si>
  <si>
    <t>fact_referral_event_log</t>
  </si>
  <si>
    <t>slv_referral_event_log</t>
  </si>
  <si>
    <t>referral.referral_event_log</t>
  </si>
  <si>
    <t>Audit trail</t>
  </si>
  <si>
    <t>dim_s3_file_metadata</t>
  </si>
  <si>
    <t>slv_s3_file_metadata</t>
  </si>
  <si>
    <t>document.s3_file_metadata</t>
  </si>
  <si>
    <t>Document metadata</t>
  </si>
  <si>
    <t>dim_provider_document</t>
  </si>
  <si>
    <t>slv_provider_document</t>
  </si>
  <si>
    <t>provider.provider_document</t>
  </si>
  <si>
    <t>Provider docs</t>
  </si>
  <si>
    <t>dim_submission_documents</t>
  </si>
  <si>
    <t>slv_submission_documents</t>
  </si>
  <si>
    <t>provider.submission_documents</t>
  </si>
  <si>
    <t>Onboarding docs</t>
  </si>
  <si>
    <t>dim_referral_provider_decline_reason</t>
  </si>
  <si>
    <t>slv_referral_provider_decline_reason</t>
  </si>
  <si>
    <t>referral.referral_provider_decline_reason</t>
  </si>
  <si>
    <t>Decline reasons</t>
  </si>
  <si>
    <t>dim_offer_status</t>
  </si>
  <si>
    <t>slv_offer (derived)</t>
  </si>
  <si>
    <t>Offer status lookup</t>
  </si>
  <si>
    <t>KPI ID</t>
  </si>
  <si>
    <t>ref FR IDs</t>
  </si>
  <si>
    <t>KPI Description</t>
  </si>
  <si>
    <t>ref FR IDs Description</t>
  </si>
  <si>
    <t>Tables</t>
  </si>
  <si>
    <t>Calculation</t>
  </si>
  <si>
    <t>PBI Measure</t>
  </si>
  <si>
    <t>Section</t>
  </si>
  <si>
    <t>KPI-02</t>
  </si>
  <si>
    <t>[R24,R36]</t>
  </si>
  <si>
    <t>Referrals With Offers</t>
  </si>
  <si>
    <t>R24 referral status; R36 outstanding offers</t>
  </si>
  <si>
    <t>gold.dim_referral + gold.fact_referral_offer</t>
  </si>
  <si>
    <t>COUNT DISTINCT referrals with valid offers</t>
  </si>
  <si>
    <t>Section 1 - Referral Volume KPIs</t>
  </si>
  <si>
    <t>KPI-03</t>
  </si>
  <si>
    <t>Referrals Awaiting Offer</t>
  </si>
  <si>
    <t>gold.dim_referral, gold.fact_referral_offer</t>
  </si>
  <si>
    <t>Open/Under Offer referrals without valid offer</t>
  </si>
  <si>
    <t>KPI-04</t>
  </si>
  <si>
    <t>[R51]</t>
  </si>
  <si>
    <t>Male Referrals</t>
  </si>
  <si>
    <t>R51 demographic monitoring</t>
  </si>
  <si>
    <t>gold.fact_referral_person</t>
  </si>
  <si>
    <t>Gender='M'</t>
  </si>
  <si>
    <t>KPI-05</t>
  </si>
  <si>
    <t>Female Referrals</t>
  </si>
  <si>
    <t>Gender='F'</t>
  </si>
  <si>
    <t>KPI-06</t>
  </si>
  <si>
    <t>Other Referrals</t>
  </si>
  <si>
    <t>Gender not M/F</t>
  </si>
  <si>
    <t>KPI-07</t>
  </si>
  <si>
    <t>Total Gendered Referrals</t>
  </si>
  <si>
    <t>Sum of gender counts</t>
  </si>
  <si>
    <t>KPI-08</t>
  </si>
  <si>
    <t>[R24]</t>
  </si>
  <si>
    <t>Referrals Not Yet Closed (Created in Period)</t>
  </si>
  <si>
    <t>R24 dashboard</t>
  </si>
  <si>
    <t>gold.dim_referral</t>
  </si>
  <si>
    <t>Status not Closed/Cancelled</t>
  </si>
  <si>
    <t>KPI-09</t>
  </si>
  <si>
    <t>[R24,R51]</t>
  </si>
  <si>
    <t>Referrals With Offers (Created in Period)</t>
  </si>
  <si>
    <t>R24 dashboard; R51 reporting</t>
  </si>
  <si>
    <t>KPI-02 filtered by created period</t>
  </si>
  <si>
    <t>KPI-10</t>
  </si>
  <si>
    <t>Total Referrals That Received Offers</t>
  </si>
  <si>
    <t>R51 referral offer rate</t>
  </si>
  <si>
    <t>Referrals having valid offer</t>
  </si>
  <si>
    <t>KPI-01</t>
  </si>
  <si>
    <t>Total Referrals</t>
  </si>
  <si>
    <t>R24 dashboard referral status overview; R51 robust data model</t>
  </si>
  <si>
    <t>COUNT(DISTINCT referral_id) WHERE status IS NOT NULL</t>
  </si>
  <si>
    <t>KPI-100</t>
  </si>
  <si>
    <t xml:space="preserve">[R47]    </t>
  </si>
  <si>
    <t xml:space="preserve">Documents Expiring (30 Days)             </t>
  </si>
  <si>
    <t xml:space="preserve">R47 documentation expiry monitoring                         </t>
  </si>
  <si>
    <t xml:space="preserve">`gold.dim_s3_file_metadata`                                                     </t>
  </si>
  <si>
    <t xml:space="preserve">`COUNT(DISTINCT s3_file_metadata_id) WHERE expiry_date BETWEEN current_date() AND date_add(current_date(),30)`                                             </t>
  </si>
  <si>
    <t>Section 10 - Outstanding Measures</t>
  </si>
  <si>
    <t>KPI-101</t>
  </si>
  <si>
    <t>[R47,R48]</t>
  </si>
  <si>
    <t xml:space="preserve">Documents Expired                        </t>
  </si>
  <si>
    <t xml:space="preserve">R47 documentation control; R48 provider eligibility         </t>
  </si>
  <si>
    <t xml:space="preserve">`COUNT(DISTINCT s3_file_metadata_id) WHERE expiry_date &lt; current_date()`                                                                                   </t>
  </si>
  <si>
    <t>KPI-102</t>
  </si>
  <si>
    <t xml:space="preserve">[R48]    </t>
  </si>
  <si>
    <t xml:space="preserve">Providers Blocked (Incomplete Docs)      </t>
  </si>
  <si>
    <t xml:space="preserve">R48 exclude providers with incomplete documentation         </t>
  </si>
  <si>
    <t>`gold.dim_provider` ⟕ `gold.dim_provider_document` ⟕ `gold.dim_s3_file_metadata`</t>
  </si>
  <si>
    <t xml:space="preserve">`COUNT(DISTINCT provider_id) WHERE expired documentation exists`                                                                                           </t>
  </si>
  <si>
    <t>KPI-103</t>
  </si>
  <si>
    <t xml:space="preserve">Document Compliance Rate                 </t>
  </si>
  <si>
    <t xml:space="preserve">R48 documentation compliance                                </t>
  </si>
  <si>
    <t xml:space="preserve">`gold.dim_provider` ⟕ `gold.dim_s3_file_metadata`                               </t>
  </si>
  <si>
    <t xml:space="preserve">`(Total Providers - KPI-102) / Total Providers * 100`                                                                                                      </t>
  </si>
  <si>
    <t xml:space="preserve">[R49]    </t>
  </si>
  <si>
    <t xml:space="preserve">Provider Due Diligence Status            </t>
  </si>
  <si>
    <t xml:space="preserve">R49 provider due diligence monitoring                       </t>
  </si>
  <si>
    <t xml:space="preserve">`gold.dim_provider`                                                             </t>
  </si>
  <si>
    <t xml:space="preserve">`COUNT(DISTINCT provider_id) GROUP BY provider_status`                                                                                                     </t>
  </si>
  <si>
    <t>KPI-105</t>
  </si>
  <si>
    <t xml:space="preserve">[R54]    </t>
  </si>
  <si>
    <t xml:space="preserve">Decline Reasons (Referral Level)         </t>
  </si>
  <si>
    <t xml:space="preserve">R54 capture reasons for declined placements                 </t>
  </si>
  <si>
    <t xml:space="preserve">`gold.fact_referral_offer` ⟕ `gold.dim_referral_provider_decline_reason`        </t>
  </si>
  <si>
    <t xml:space="preserve">`COUNT(DISTINCT referral_id) GROUP BY decline_reason_code`                                                                                                 </t>
  </si>
  <si>
    <t xml:space="preserve">[R58]    </t>
  </si>
  <si>
    <t>Framework Changes During Active Referrals</t>
  </si>
  <si>
    <t xml:space="preserve">R58 commissioners alerted to framework changes              </t>
  </si>
  <si>
    <t>`gold.fact_referral_category` ⟕ `gold.fact_referral_offer` ⟕ `gold.dim_referral`</t>
  </si>
  <si>
    <t xml:space="preserve">Active referrals where referral category changed during lifecycle                                                                                          </t>
  </si>
  <si>
    <t>KPI-107</t>
  </si>
  <si>
    <t xml:space="preserve">[R62]    </t>
  </si>
  <si>
    <t xml:space="preserve">Total Weekly Fee Liability               </t>
  </si>
  <si>
    <t xml:space="preserve">R62 finance payment reporting                               </t>
  </si>
  <si>
    <t xml:space="preserve">`gold.fact_ipa`                                                                 </t>
  </si>
  <si>
    <t xml:space="preserve">`SUM(costs_total_weekly_fee) WHERE signed_by_local_authority = true AND signed_by_provider = true AND closed = false`                                      </t>
  </si>
  <si>
    <t>KPI-108</t>
  </si>
  <si>
    <t xml:space="preserve">Payment Method Breakdown                 </t>
  </si>
  <si>
    <t xml:space="preserve">`COUNT(DISTINCT ipa_id) GROUP BY payment_method WHERE closed = false`                                                                                      </t>
  </si>
  <si>
    <t>KPI-109</t>
  </si>
  <si>
    <t xml:space="preserve">IPA Payment Status                       </t>
  </si>
  <si>
    <t xml:space="preserve">`COUNT(DISTINCT ipa_id) GROUP BY payment lifecycle status`                                                                                                 </t>
  </si>
  <si>
    <t>KPI-110</t>
  </si>
  <si>
    <t xml:space="preserve">[R14]    </t>
  </si>
  <si>
    <t xml:space="preserve">Messages Sent                            </t>
  </si>
  <si>
    <t xml:space="preserve">R14 provider messaging                                      </t>
  </si>
  <si>
    <t xml:space="preserve">`gold.fact_provider_message`                                                    </t>
  </si>
  <si>
    <t xml:space="preserve">`COUNT(DISTINCT message_id)`                                                                                                                               </t>
  </si>
  <si>
    <t>KPI-111</t>
  </si>
  <si>
    <t xml:space="preserve">Avg Message Response Time (Hours)        </t>
  </si>
  <si>
    <t xml:space="preserve">R14 auditable messaging and prioritisation                  </t>
  </si>
  <si>
    <t xml:space="preserve">`gold.fact_provider_message` ⟕ `gold.fact_referral_offer`                       </t>
  </si>
  <si>
    <t xml:space="preserve">`AVG(response hours between messages)`                                                                                                                     </t>
  </si>
  <si>
    <t>KPI-112</t>
  </si>
  <si>
    <t xml:space="preserve">Priority Messages Unread                 </t>
  </si>
  <si>
    <t xml:space="preserve">R14 urgent message tracking                                 </t>
  </si>
  <si>
    <t xml:space="preserve">`gold.fact_provider_message` ⟕ `gold.fact_provider_message_status`              </t>
  </si>
  <si>
    <t xml:space="preserve">`COUNT(DISTINCT message_id) WHERE no message status exists`                                                                                                </t>
  </si>
  <si>
    <t>KPI-113</t>
  </si>
  <si>
    <t xml:space="preserve">[R20]    </t>
  </si>
  <si>
    <t xml:space="preserve">Audit Events by Type                     </t>
  </si>
  <si>
    <t xml:space="preserve">R20 audit tracking across placement lifecycle               </t>
  </si>
  <si>
    <t xml:space="preserve">`gold.fact_referral_event_log`                                                  </t>
  </si>
  <si>
    <t xml:space="preserve">`COUNT(DISTINCT event_id) GROUP BY event_type`                                                                                                             </t>
  </si>
  <si>
    <t>KPI-114</t>
  </si>
  <si>
    <t>[R20,R35]</t>
  </si>
  <si>
    <t xml:space="preserve">IPA Signature Completion Rate            </t>
  </si>
  <si>
    <t xml:space="preserve">R20 signatures tracked; R35 electronic signatures           </t>
  </si>
  <si>
    <t xml:space="preserve">Counts and rates for LA signed, provider signed, both signed, total IPA                                                                                    </t>
  </si>
  <si>
    <t xml:space="preserve">[R19]    </t>
  </si>
  <si>
    <t xml:space="preserve">Referral Updates per Day                 </t>
  </si>
  <si>
    <t xml:space="preserve">R19 referral maintenance and provider notification          </t>
  </si>
  <si>
    <t xml:space="preserve">`gold.dim_referral`                                                             </t>
  </si>
  <si>
    <t xml:space="preserve">`COUNT(DISTINCT referral_id) / COUNT(DISTINCT DATE(modified_timestamp))`                                                                                   </t>
  </si>
  <si>
    <t>KPI-116</t>
  </si>
  <si>
    <t xml:space="preserve">[R59]    </t>
  </si>
  <si>
    <t xml:space="preserve">Provider Onboarding Pipeline             </t>
  </si>
  <si>
    <t xml:space="preserve">R59 bulk provider onboarding                                </t>
  </si>
  <si>
    <t xml:space="preserve">`gold.dim_provider` ⟕ `gold.dim_submission_documents`                           </t>
  </si>
  <si>
    <t xml:space="preserve">`COUNT(DISTINCT provider_id) WHERE provider_status = 'Pending'`                                                                                            </t>
  </si>
  <si>
    <t>KPI-117</t>
  </si>
  <si>
    <t xml:space="preserve">Bulk Onboarding Success Rate             </t>
  </si>
  <si>
    <t xml:space="preserve">`COUNT(DISTINCT approved providers) / COUNT(DISTINCT providers) * 100`                                                                                     </t>
  </si>
  <si>
    <t xml:space="preserve">KPI-91 </t>
  </si>
  <si>
    <t>[R18,R57]</t>
  </si>
  <si>
    <t xml:space="preserve">Emergency Referrals                      </t>
  </si>
  <si>
    <t>R18 emergency placements; R57 emergency vs planned reporting</t>
  </si>
  <si>
    <t xml:space="preserve">`COUNT(DISTINCT referral_id) WHERE status IN ('OPEN','UNDER_OFFER') AND created_timestamp::date = required_start_date`                                     </t>
  </si>
  <si>
    <t xml:space="preserve">KPI-92 </t>
  </si>
  <si>
    <t xml:space="preserve">Emergency Placement Rate                 </t>
  </si>
  <si>
    <t xml:space="preserve">R18 emergency placements; R57 emergency reporting           </t>
  </si>
  <si>
    <t xml:space="preserve">`KPI-91 / KPI-01 * 100`                                                                                                                                    </t>
  </si>
  <si>
    <t xml:space="preserve">KPI-93 </t>
  </si>
  <si>
    <t xml:space="preserve">[R57]    </t>
  </si>
  <si>
    <t xml:space="preserve">Planned Referrals                        </t>
  </si>
  <si>
    <t xml:space="preserve">R57 planned placements separately reportable                </t>
  </si>
  <si>
    <t xml:space="preserve">`COUNT(DISTINCT referral_id) WHERE status IN ('OPEN','UNDER_OFFER') AND created_timestamp::date != required_start_date`                                    </t>
  </si>
  <si>
    <t xml:space="preserve">KPI-94 </t>
  </si>
  <si>
    <t xml:space="preserve">Emergency vs Planned Split               </t>
  </si>
  <si>
    <t xml:space="preserve">R18 emergency placements; R57 reporting split               </t>
  </si>
  <si>
    <t xml:space="preserve">`COUNT(DISTINCT referral_id) GROUP BY CASE WHEN created_timestamp::date = required_start_date THEN 'Emergency' ELSE 'Planned' END`                         </t>
  </si>
  <si>
    <t xml:space="preserve">KPI-95 </t>
  </si>
  <si>
    <t xml:space="preserve">[R22]    </t>
  </si>
  <si>
    <t xml:space="preserve">Out-of-Region Referrals                  </t>
  </si>
  <si>
    <t xml:space="preserve">R22 out-of-region placements tagged and reported            </t>
  </si>
  <si>
    <t xml:space="preserve">`gold.dim_referral` ⟕ `gold.fact_referral_offer` ⟕ `gold.dim_provider`          </t>
  </si>
  <si>
    <t>`COUNT(DISTINCT r.referral_id) JOIN fact_referral_offer rpo JOIN dim_provider p WHERE p.country != 'United Kingdom' OR p.county NOT LIKE '%West Midlands%'`</t>
  </si>
  <si>
    <t xml:space="preserve">KPI-96 </t>
  </si>
  <si>
    <t xml:space="preserve">Out-of-Region Placement Rate             </t>
  </si>
  <si>
    <t xml:space="preserve">R22 out-of-region placement reporting                       </t>
  </si>
  <si>
    <t xml:space="preserve">Same as KPI-95                                                                  </t>
  </si>
  <si>
    <t xml:space="preserve">`KPI-95 / KPI-01 * 100`                                                                                                                                    </t>
  </si>
  <si>
    <t xml:space="preserve">KPI-97 </t>
  </si>
  <si>
    <t xml:space="preserve">[R41]    </t>
  </si>
  <si>
    <t xml:space="preserve">Providers with QA Flags                  </t>
  </si>
  <si>
    <t xml:space="preserve">R41 advisory notices and safeguarding flags                 </t>
  </si>
  <si>
    <t xml:space="preserve">`COUNT(DISTINCT provider_id) WHERE qa_flag = true OR qa_flag_fostering_spot = true OR qa_flag_sup_acc = true OR qa_flag_resi = true`                       </t>
  </si>
  <si>
    <t xml:space="preserve">KPI-98 </t>
  </si>
  <si>
    <t xml:space="preserve">QA Flag Type Breakdown                   </t>
  </si>
  <si>
    <t xml:space="preserve">R41 information notices and safeguarding concerns           </t>
  </si>
  <si>
    <t xml:space="preserve">`UNPIVOT qa_flag columns → COUNT(DISTINCT provider_id) GROUP BY flag_type`                                                                                 </t>
  </si>
  <si>
    <t xml:space="preserve">KPI-99 </t>
  </si>
  <si>
    <t xml:space="preserve">QA Flagged Providers by Home             </t>
  </si>
  <si>
    <t xml:space="preserve">`gold.dim_provider` ⟕ `gold.dim_provider_home`                                  </t>
  </si>
  <si>
    <t xml:space="preserve">`COUNT(DISTINCT provider_home_id) WHERE provider/home QA flags exist`                                                                                      </t>
  </si>
  <si>
    <t>KPI-12</t>
  </si>
  <si>
    <t>[R25-R29]</t>
  </si>
  <si>
    <t>Total Offers Made Historically</t>
  </si>
  <si>
    <t>Provider offer management</t>
  </si>
  <si>
    <t>gold.fact_offer</t>
  </si>
  <si>
    <t>Distinct offers excluding Draft</t>
  </si>
  <si>
    <t>Section 2 - Provider Activity</t>
  </si>
  <si>
    <t>KPI-13</t>
  </si>
  <si>
    <t>Avg Offers per Referral (Under Offer)</t>
  </si>
  <si>
    <t>R51 market intelligence</t>
  </si>
  <si>
    <t>gold.fact_offer + gold.fact_referral_offer</t>
  </si>
  <si>
    <t>Offers / Referrals</t>
  </si>
  <si>
    <t>Avg Offers per Referral Under Offer</t>
  </si>
  <si>
    <t>KPI-14</t>
  </si>
  <si>
    <t>Avg Offers per Provider (Under Offer)</t>
  </si>
  <si>
    <t>Offers / Providers</t>
  </si>
  <si>
    <t>KPI-15</t>
  </si>
  <si>
    <t>[R28]</t>
  </si>
  <si>
    <t>Successful Offers (Under Offer Referrals)</t>
  </si>
  <si>
    <t>R28 accept placements</t>
  </si>
  <si>
    <t>Accepted offers</t>
  </si>
  <si>
    <t>KPI-16</t>
  </si>
  <si>
    <t>Unsuccessful Offers (Under Offer Referrals)</t>
  </si>
  <si>
    <t>R28 reject placements</t>
  </si>
  <si>
    <t>Declined/Rejected/Withdrawn offers</t>
  </si>
  <si>
    <t>KPI-17</t>
  </si>
  <si>
    <t>Offers in Draft (Under Offer Referrals)</t>
  </si>
  <si>
    <t>R24 dashboard tasks</t>
  </si>
  <si>
    <t>Draft offers</t>
  </si>
  <si>
    <t>KPI-18</t>
  </si>
  <si>
    <t>Pending Offers (Under Offer Referrals)</t>
  </si>
  <si>
    <t>Pending offers</t>
  </si>
  <si>
    <t>KPI-19</t>
  </si>
  <si>
    <t>[R24,R26]</t>
  </si>
  <si>
    <t>Active Referrals With Provider Engagement</t>
  </si>
  <si>
    <t>Dashboard and prioritisation</t>
  </si>
  <si>
    <t>Active referrals with offer activity</t>
  </si>
  <si>
    <t>KPI-20</t>
  </si>
  <si>
    <t>Active Referral Engagement Rate</t>
  </si>
  <si>
    <t>Same as KPI-19</t>
  </si>
  <si>
    <t>KPI-19 / Active referrals</t>
  </si>
  <si>
    <t>KPI-21</t>
  </si>
  <si>
    <t>Active Awaiting Offers (Engaged)</t>
  </si>
  <si>
    <t>dim_referral + referral_offer</t>
  </si>
  <si>
    <t>Open referrals with engagement</t>
  </si>
  <si>
    <t>KPI-22</t>
  </si>
  <si>
    <t>Active Awaiting Offers (No Engagement)</t>
  </si>
  <si>
    <t>Open referrals without engagement</t>
  </si>
  <si>
    <t>KPI-11</t>
  </si>
  <si>
    <t>[R25,R26]</t>
  </si>
  <si>
    <t>No. Providers Who Made Offers</t>
  </si>
  <si>
    <t>R25 review requests; R26 prioritise requests</t>
  </si>
  <si>
    <t>Distinct providers with offers</t>
  </si>
  <si>
    <t>KPI-24</t>
  </si>
  <si>
    <t>[R52]</t>
  </si>
  <si>
    <t>Referrals This FY</t>
  </si>
  <si>
    <t>Reporting</t>
  </si>
  <si>
    <t>Created current FY</t>
  </si>
  <si>
    <t>Section 3 - Timebased</t>
  </si>
  <si>
    <t>KPI-23</t>
  </si>
  <si>
    <t>[R24,R52]</t>
  </si>
  <si>
    <t>Referrals This Month</t>
  </si>
  <si>
    <t>Dashboard; reporting</t>
  </si>
  <si>
    <t>Created current month</t>
  </si>
  <si>
    <t>KPI-26</t>
  </si>
  <si>
    <t>[R13]</t>
  </si>
  <si>
    <t>Placement Type Totals (Visual)</t>
  </si>
  <si>
    <t>Placement type filtering</t>
  </si>
  <si>
    <t>Spot vs Framework split</t>
  </si>
  <si>
    <t>Section 4 - Spot vs Framework</t>
  </si>
  <si>
    <t>KPI-27</t>
  </si>
  <si>
    <t>[R18]</t>
  </si>
  <si>
    <t>Spot Offers (Under Offer Referrals)</t>
  </si>
  <si>
    <t>Emergency placement reporting</t>
  </si>
  <si>
    <t>Spot offers only</t>
  </si>
  <si>
    <t>KPI-25</t>
  </si>
  <si>
    <t>[R67,R68]</t>
  </si>
  <si>
    <t>Total Offers Made</t>
  </si>
  <si>
    <t>Framework management</t>
  </si>
  <si>
    <t>Non-draft offers</t>
  </si>
  <si>
    <t>(NEW) Total Offers Made</t>
  </si>
  <si>
    <t>KPI-29</t>
  </si>
  <si>
    <t>Referrals Currently Active</t>
  </si>
  <si>
    <t>Dashboard</t>
  </si>
  <si>
    <t>Open or Under Offer</t>
  </si>
  <si>
    <t>Section 5 - Referral Offers</t>
  </si>
  <si>
    <t>KPI-30</t>
  </si>
  <si>
    <t>Active Referrals Under Offer</t>
  </si>
  <si>
    <t>Dashboard; offers</t>
  </si>
  <si>
    <t>Under-offer referrals with valid offers</t>
  </si>
  <si>
    <t>KPI-31</t>
  </si>
  <si>
    <t>Referrals Cancelled/Closed</t>
  </si>
  <si>
    <t>Placement filtering</t>
  </si>
  <si>
    <t>Closed or Cancelled</t>
  </si>
  <si>
    <t>KPI-32</t>
  </si>
  <si>
    <t>Active Referrals Awaiting Offers</t>
  </si>
  <si>
    <t>Dashboard and offers</t>
  </si>
  <si>
    <t>Open referrals without offers</t>
  </si>
  <si>
    <t>KPI-33</t>
  </si>
  <si>
    <t>Referrals With One or More Offers</t>
  </si>
  <si>
    <t>Referrals with valid offers</t>
  </si>
  <si>
    <t>KPI-34</t>
  </si>
  <si>
    <t>[R54]</t>
  </si>
  <si>
    <t>Closed Referrals (by Reason)</t>
  </si>
  <si>
    <t>Declined placement reasons</t>
  </si>
  <si>
    <t>referral + referral_offer + offer</t>
  </si>
  <si>
    <t>Group by decline reason</t>
  </si>
  <si>
    <t>KPI-35</t>
  </si>
  <si>
    <t>Total Offers Made (Active Referrals Under Offer)</t>
  </si>
  <si>
    <t>KPI-36</t>
  </si>
  <si>
    <t>Offer IDs (Under Offer Referrals)</t>
  </si>
  <si>
    <t>offer + referral_offer</t>
  </si>
  <si>
    <t>Distinct offer IDs</t>
  </si>
  <si>
    <t>KPI-37</t>
  </si>
  <si>
    <t>[R26]</t>
  </si>
  <si>
    <t>Offers per Provider (Under Offer Referrals)</t>
  </si>
  <si>
    <t>Prioritise requests</t>
  </si>
  <si>
    <t>Offers grouped by provider</t>
  </si>
  <si>
    <t>KPI-38</t>
  </si>
  <si>
    <t>Framework Offers (Under Offer Referrals)</t>
  </si>
  <si>
    <t>Non-spot offers</t>
  </si>
  <si>
    <t>KPI-39</t>
  </si>
  <si>
    <t>[R28,R35]</t>
  </si>
  <si>
    <t>Accepted Offers (Scoped Table)</t>
  </si>
  <si>
    <t>Acceptance and IPA</t>
  </si>
  <si>
    <t>KPI-28</t>
  </si>
  <si>
    <t>Offer Count</t>
  </si>
  <si>
    <t>Distinct offers</t>
  </si>
  <si>
    <t>KPI-41</t>
  </si>
  <si>
    <t>[R91,R93]</t>
  </si>
  <si>
    <t xml:space="preserve">Providers Registered               </t>
  </si>
  <si>
    <t xml:space="preserve">Registration; directory   </t>
  </si>
  <si>
    <t xml:space="preserve">gold.dim_provider           </t>
  </si>
  <si>
    <t xml:space="preserve">Count providers                  </t>
  </si>
  <si>
    <t>Section 6 - Provider Registry</t>
  </si>
  <si>
    <t>KPI-42</t>
  </si>
  <si>
    <t xml:space="preserve">[R95]    </t>
  </si>
  <si>
    <t xml:space="preserve">Providers - Fostering              </t>
  </si>
  <si>
    <t xml:space="preserve">Fostering framework       </t>
  </si>
  <si>
    <t xml:space="preserve">provider_home_provider    </t>
  </si>
  <si>
    <t xml:space="preserve">Fostering providers              </t>
  </si>
  <si>
    <t>KPI-43</t>
  </si>
  <si>
    <t xml:space="preserve">[R96]    </t>
  </si>
  <si>
    <t xml:space="preserve">Providers - Residential            </t>
  </si>
  <si>
    <t xml:space="preserve">Residential Framework 2.0 </t>
  </si>
  <si>
    <t xml:space="preserve">Residential providers            </t>
  </si>
  <si>
    <t>KPI-44</t>
  </si>
  <si>
    <t xml:space="preserve">[R91]    </t>
  </si>
  <si>
    <t>Providers - Supported Accommodation</t>
  </si>
  <si>
    <t xml:space="preserve">Registration              </t>
  </si>
  <si>
    <t>Supported Accommodation providers</t>
  </si>
  <si>
    <t>KPI-45</t>
  </si>
  <si>
    <t xml:space="preserve">[R67]    </t>
  </si>
  <si>
    <t xml:space="preserve">Framework Providers                </t>
  </si>
  <si>
    <t xml:space="preserve">Framework maintenance     </t>
  </si>
  <si>
    <t>gold.dim_provider_framework</t>
  </si>
  <si>
    <t xml:space="preserve">Providers by framework           </t>
  </si>
  <si>
    <t>KPI-46</t>
  </si>
  <si>
    <t xml:space="preserve">[R46]    </t>
  </si>
  <si>
    <t xml:space="preserve">NON Framework Providers            </t>
  </si>
  <si>
    <t>QA non-framework providers</t>
  </si>
  <si>
    <t xml:space="preserve">provider_framework          </t>
  </si>
  <si>
    <t xml:space="preserve">QA flag false                    </t>
  </si>
  <si>
    <t>KPI-47</t>
  </si>
  <si>
    <t xml:space="preserve">Is Non Framework Provider          </t>
  </si>
  <si>
    <t xml:space="preserve">Boolean flag                     </t>
  </si>
  <si>
    <t>KPI-48</t>
  </si>
  <si>
    <t xml:space="preserve">[R93]    </t>
  </si>
  <si>
    <t xml:space="preserve">Directory Summary Count            </t>
  </si>
  <si>
    <t xml:space="preserve">Provider directory        </t>
  </si>
  <si>
    <t xml:space="preserve">provider_provider_home    </t>
  </si>
  <si>
    <t xml:space="preserve">Aggregated provider count        </t>
  </si>
  <si>
    <t>KPI-49</t>
  </si>
  <si>
    <t xml:space="preserve">Residential Homes                  </t>
  </si>
  <si>
    <t xml:space="preserve">Residential framework     </t>
  </si>
  <si>
    <t xml:space="preserve">provider_home               </t>
  </si>
  <si>
    <t xml:space="preserve">Residential homes                </t>
  </si>
  <si>
    <t>KPI-50</t>
  </si>
  <si>
    <t xml:space="preserve">Supported Accommodation Homes      </t>
  </si>
  <si>
    <t xml:space="preserve">Supported homes                  </t>
  </si>
  <si>
    <t>KPI-51</t>
  </si>
  <si>
    <t xml:space="preserve">Fostering Providers                </t>
  </si>
  <si>
    <t>KPI-52</t>
  </si>
  <si>
    <t xml:space="preserve">Fostering Chart Count              </t>
  </si>
  <si>
    <t xml:space="preserve">Fostering reporting       </t>
  </si>
  <si>
    <t xml:space="preserve">Chart aggregation                </t>
  </si>
  <si>
    <t>KPI-40</t>
  </si>
  <si>
    <t xml:space="preserve">Provider Homes Registered          </t>
  </si>
  <si>
    <t xml:space="preserve">gold.dim_provider_home     </t>
  </si>
  <si>
    <t xml:space="preserve">Count homes                      </t>
  </si>
  <si>
    <t>KPI-53</t>
  </si>
  <si>
    <t xml:space="preserve">[R24]    </t>
  </si>
  <si>
    <t xml:space="preserve">Draft No Activity Since Creation         </t>
  </si>
  <si>
    <t xml:space="preserve">R24 (dashboard task management)                           </t>
  </si>
  <si>
    <t xml:space="preserve">`gold.fact_offer`                             </t>
  </si>
  <si>
    <t xml:space="preserve">`COUNT(DISTINCT offer_id) WHERE offer_status = 'DRAFT' AND offer_date = last_modified_date`                                                         </t>
  </si>
  <si>
    <t>Section 7 - Draft/Pending Offers</t>
  </si>
  <si>
    <t>KPI-54</t>
  </si>
  <si>
    <t>Draft Offers With Activity Since Creation</t>
  </si>
  <si>
    <t xml:space="preserve">`COUNT(DISTINCT offer_id) WHERE offer_status = 'DRAFT' AND offer_date != last_modified_date`                                                        </t>
  </si>
  <si>
    <t>KPI-55</t>
  </si>
  <si>
    <t xml:space="preserve">Draft Offers Missing Dates               </t>
  </si>
  <si>
    <t xml:space="preserve">`COUNT(DISTINCT offer_id) WHERE offer_status = 'DRAFT' AND (offer_date IS NULL OR last_modified_date IS NULL)`                                      </t>
  </si>
  <si>
    <t>KPI-56</t>
  </si>
  <si>
    <t xml:space="preserve">Draft Offers Updated After Creation      </t>
  </si>
  <si>
    <t xml:space="preserve">`COUNT(DISTINCT offer_id) WHERE offer_status = 'DRAFT' AND last_modified_date &gt; offer_date`                                                         </t>
  </si>
  <si>
    <t>KPI-57</t>
  </si>
  <si>
    <t xml:space="preserve">Draft No Activity 7+ Days                </t>
  </si>
  <si>
    <t xml:space="preserve">`COUNT(DISTINCT offer_id) WHERE offer_status = 'DRAFT' AND DATEDIFF(current_date(), offer_date) &gt;= 7`                                               </t>
  </si>
  <si>
    <t>KPI-58</t>
  </si>
  <si>
    <t xml:space="preserve">Drafts No Activity 14+ Days              </t>
  </si>
  <si>
    <t xml:space="preserve">`COUNT(DISTINCT offer_id) WHERE offer_status = 'DRAFT' AND DATEDIFF(current_date(), offer_date) &gt;= 14`                                              </t>
  </si>
  <si>
    <t>KPI-59</t>
  </si>
  <si>
    <t xml:space="preserve">Average Days in Draft                    </t>
  </si>
  <si>
    <t xml:space="preserve">`AVG(DATEDIFF(current_date(), offer_date)) WHERE offer_status = 'DRAFT'`                                                                            </t>
  </si>
  <si>
    <t>KPI-60</t>
  </si>
  <si>
    <t xml:space="preserve">Oldest Draft Age (Days)                  </t>
  </si>
  <si>
    <t xml:space="preserve">`MAX(DATEDIFF(current_date(), offer_date)) WHERE offer_status = 'DRAFT'`                                                                            </t>
  </si>
  <si>
    <t>KPI-61</t>
  </si>
  <si>
    <t xml:space="preserve">Draft Offer Count                        </t>
  </si>
  <si>
    <t xml:space="preserve">`COUNT(DISTINCT offer_id) WHERE offer_status = 'DRAFT'`                                                                                             </t>
  </si>
  <si>
    <t>KPI-62</t>
  </si>
  <si>
    <t>Draft With No Activity Since Creation (%)</t>
  </si>
  <si>
    <t xml:space="preserve">`KPI-53 / KPI-61 * 100`                                                                                                                             </t>
  </si>
  <si>
    <t>KPI-63</t>
  </si>
  <si>
    <t xml:space="preserve">Drafts With No Activity 14+ Days         </t>
  </si>
  <si>
    <t xml:space="preserve">Same as KPI-58 (duplicate measure in PBI)                                                                                                           </t>
  </si>
  <si>
    <t>KPI-64</t>
  </si>
  <si>
    <t xml:space="preserve">Pending Offers by Age Bucket             </t>
  </si>
  <si>
    <t xml:space="preserve">`gold.fact_offer` ⨝ `gold.pending_age_band`   </t>
  </si>
  <si>
    <t>`COUNT(DISTINCT offer_id) WHERE offer_status = 'PENDING' AND DATEDIFF(current_date(), offer_date) BETWEEN min_days AND max_days GROUP BY band_label`</t>
  </si>
  <si>
    <t>KPI-65</t>
  </si>
  <si>
    <t xml:space="preserve">Pending Offers 15–30 Days                </t>
  </si>
  <si>
    <t xml:space="preserve">`COUNT(DISTINCT offer_id) WHERE offer_status = 'PENDING' AND DATEDIFF(current_date(), offer_date) BETWEEN 15 AND 30`                                </t>
  </si>
  <si>
    <t>KPI-66</t>
  </si>
  <si>
    <t xml:space="preserve">Pending Offers 30+ Days                  </t>
  </si>
  <si>
    <t xml:space="preserve">`COUNT(DISTINCT offer_id) WHERE offer_status = 'PENDING' AND DATEDIFF(current_date(), offer_date) &gt;= 30`                                            </t>
  </si>
  <si>
    <t>KPI-67</t>
  </si>
  <si>
    <t xml:space="preserve">Pending Offers 0–7 Days                  </t>
  </si>
  <si>
    <t xml:space="preserve">`COUNT(DISTINCT offer_id) WHERE offer_status = 'PENDING' AND DATEDIFF(current_date(), offer_date) BETWEEN 0 AND 7`                                  </t>
  </si>
  <si>
    <t>KPI-68</t>
  </si>
  <si>
    <t xml:space="preserve">Pending Offers 8–14 Days                 </t>
  </si>
  <si>
    <t xml:space="preserve">`COUNT(DISTINCT offer_id) WHERE offer_status = 'PENDING' AND DATEDIFF(current_date(), offer_date) BETWEEN 8 AND 14`                                 </t>
  </si>
  <si>
    <t>KPI-69</t>
  </si>
  <si>
    <t xml:space="preserve">Provider with Offers over 30+ Days       </t>
  </si>
  <si>
    <t>R24 (dashboard task management), R26 (prioritise requests)</t>
  </si>
  <si>
    <t>`gold.fact_offer` ⟕ `gold.fact_referral_offer`</t>
  </si>
  <si>
    <t xml:space="preserve">`COUNT(DISTINCT provider_id) WHERE offer_status = 'PENDING' AND DATEDIFF(current_date(), offer_date) &gt;= 30`                                         </t>
  </si>
  <si>
    <t>KPI-70</t>
  </si>
  <si>
    <t xml:space="preserve">Offers At Risk (8–14 Days)               </t>
  </si>
  <si>
    <t xml:space="preserve">Same as KPI-68 (duplicate)                                                                                                                          </t>
  </si>
  <si>
    <t>KPI-71</t>
  </si>
  <si>
    <t xml:space="preserve">Offers Outside Timeframe (15–30 Days)    </t>
  </si>
  <si>
    <t xml:space="preserve">Same as KPI-65 (duplicate)                                                                                                                          </t>
  </si>
  <si>
    <t>KPI-72</t>
  </si>
  <si>
    <t xml:space="preserve">Critical Offers (30+ Days)               </t>
  </si>
  <si>
    <t xml:space="preserve">Same as KPI-66 (duplicate)                                                                                                                          </t>
  </si>
  <si>
    <t>KPI-73</t>
  </si>
  <si>
    <t xml:space="preserve">[R35]    </t>
  </si>
  <si>
    <t xml:space="preserve">IPA Exists                          </t>
  </si>
  <si>
    <t xml:space="preserve">R35 (digitised IPA)                         </t>
  </si>
  <si>
    <t xml:space="preserve">`gold.fact_ipa`                    </t>
  </si>
  <si>
    <t xml:space="preserve">`COUNT(DISTINCT ipa_id) &gt; 0` (boolean)                                                                                             </t>
  </si>
  <si>
    <t>Section 8 - IPA Measures</t>
  </si>
  <si>
    <t>KPI-74</t>
  </si>
  <si>
    <t xml:space="preserve">[R28]    </t>
  </si>
  <si>
    <t xml:space="preserve">Is In Accepted KPI                  </t>
  </si>
  <si>
    <t xml:space="preserve">R28 (accept placements)                     </t>
  </si>
  <si>
    <t>`gold.fact_offer` ⟕ `gold.fact_ipa`</t>
  </si>
  <si>
    <t xml:space="preserve">`offer_status = 'ACCEPTED'` flag, base for IPA funnel                                                                              </t>
  </si>
  <si>
    <t xml:space="preserve">Accepted Offers Base                </t>
  </si>
  <si>
    <t>R28 (accept placements), R35 (digitised IPA)</t>
  </si>
  <si>
    <t xml:space="preserve">`gold.fact_offer`                  </t>
  </si>
  <si>
    <t xml:space="preserve">`COUNT(DISTINCT offer_id) WHERE offer_status = 'ACCEPTED'`                                                                         </t>
  </si>
  <si>
    <t>KPI-76</t>
  </si>
  <si>
    <t xml:space="preserve">IPA Created                         </t>
  </si>
  <si>
    <t xml:space="preserve">`COUNT(DISTINCT ipa_id)`                                                                                                           </t>
  </si>
  <si>
    <t>KPI-77</t>
  </si>
  <si>
    <t xml:space="preserve">IPA Completed                       </t>
  </si>
  <si>
    <t xml:space="preserve">`COUNT(DISTINCT ipa_id) WHERE signed_by_local_authority = true AND signed_by_provider = true`                                      </t>
  </si>
  <si>
    <t>KPI-78</t>
  </si>
  <si>
    <t xml:space="preserve">IPAs Pending Completion             </t>
  </si>
  <si>
    <t xml:space="preserve">`COUNT(DISTINCT ipa_id) WHERE (signed_by_local_authority = false OR signed_by_provider = false) AND closed = false`                </t>
  </si>
  <si>
    <t>KPI-79</t>
  </si>
  <si>
    <t xml:space="preserve">Offers Awaiting IPA Creation        </t>
  </si>
  <si>
    <t>`COUNT(DISTINCT f.offer_id) LEFT JOIN fact_ipa i ON f.offer_id = i.offer_id WHERE f.offer_status = 'ACCEPTED' AND i.ipa_id IS NULL`</t>
  </si>
  <si>
    <t>KPI-80</t>
  </si>
  <si>
    <t xml:space="preserve">Is IPA Pending                      </t>
  </si>
  <si>
    <t xml:space="preserve">Boolean flag, IPA exists but not signed                                                                                            </t>
  </si>
  <si>
    <t>KPI-81</t>
  </si>
  <si>
    <t xml:space="preserve">Is Awaiting IPA Creation            </t>
  </si>
  <si>
    <t xml:space="preserve">Boolean flag, accepted offer with no IPA                                                                                           </t>
  </si>
  <si>
    <t>KPI-82</t>
  </si>
  <si>
    <t xml:space="preserve">Is IPA Completed                    </t>
  </si>
  <si>
    <t xml:space="preserve">Boolean flag, both signatures present                                                                                              </t>
  </si>
  <si>
    <t>KPI-83</t>
  </si>
  <si>
    <t xml:space="preserve">Accepted Offer to IPA Conversion %  </t>
  </si>
  <si>
    <t xml:space="preserve">`COUNT(DISTINCT ipa_id) / COUNT(DISTINCT accepted_offers) * 100`                                                                   </t>
  </si>
  <si>
    <t>KPI-84</t>
  </si>
  <si>
    <t xml:space="preserve">Offers Still to Progress to IPA     </t>
  </si>
  <si>
    <t xml:space="preserve">`100 - KPI-83`                                                                                                                     </t>
  </si>
  <si>
    <t>KPI-85</t>
  </si>
  <si>
    <t xml:space="preserve">IPA Created to Completion %         </t>
  </si>
  <si>
    <t xml:space="preserve">`COUNT(DISTINCT completed_ipa) / COUNT(DISTINCT all_ipa) * 100`                                                                    </t>
  </si>
  <si>
    <t>KPI-86</t>
  </si>
  <si>
    <t>Successful Offers to IPA Completed %</t>
  </si>
  <si>
    <t xml:space="preserve">`COUNT(DISTINCT completed_ipa) / COUNT(DISTINCT accepted_offers) * 100`                                                            </t>
  </si>
  <si>
    <t xml:space="preserve">[R82]    </t>
  </si>
  <si>
    <t xml:space="preserve">Dashboard Last Refreshed </t>
  </si>
  <si>
    <t>R82 (reporting and dashboard refresh visibility)</t>
  </si>
  <si>
    <t xml:space="preserve">N/A (system timestamp)                          </t>
  </si>
  <si>
    <t xml:space="preserve">`current_timestamp()`                                               </t>
  </si>
  <si>
    <t>Section 9 - Other Measures</t>
  </si>
  <si>
    <t xml:space="preserve">[R53]    </t>
  </si>
  <si>
    <t xml:space="preserve">Latest Export per Offer  </t>
  </si>
  <si>
    <t xml:space="preserve">R53 (export/reporting capability)               </t>
  </si>
  <si>
    <t xml:space="preserve">`gold.fact_offer`                               </t>
  </si>
  <si>
    <t xml:space="preserve">`MAX(offer_date) GROUP BY offer_id`                                 </t>
  </si>
  <si>
    <t>KPI-89</t>
  </si>
  <si>
    <t>Latest Offer Status Count</t>
  </si>
  <si>
    <t xml:space="preserve">R24 (dashboard monitoring)                      </t>
  </si>
  <si>
    <t>`COUNT(DISTINCT offer_id) GROUP BY offer_status ORDER BY count DESC`</t>
  </si>
  <si>
    <t>KPI-90</t>
  </si>
  <si>
    <t xml:space="preserve">Overlap Referrals        </t>
  </si>
  <si>
    <t xml:space="preserve">R22 (out-of-region placements - partial)        </t>
  </si>
  <si>
    <t>`gold.dim_referral` ⟕ `gold.fact_referral_offer`</t>
  </si>
  <si>
    <t xml:space="preserve">Referrals appearing in multiple provider referral-provider mappings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</si>
</sst>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3" fillId="0" borderId="0" xfId="0" applyFont="1"/>
    <xf numFmtId="0" fontId="1" fillId="2" borderId="0" xfId="1"/>
    <xf numFmtId="0" fontId="2" fillId="3" borderId="0" xfId="2"/>
    <xf numFmtId="0" fontId="3" fillId="4" borderId="0" xfId="0" applyFont="1" applyFill="1"/>
    <xf numFmtId="0" fontId="0" fillId="4" borderId="0" xfId="0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5687-9F90-4C73-9964-6F4F42EAE30C}">
  <dimension ref="A1:K81"/>
  <sheetViews>
    <sheetView workbookViewId="0">
      <selection activeCell="J1" sqref="J1"/>
    </sheetView>
  </sheetViews>
  <sheetFormatPr defaultRowHeight="15" customHeight="1" x14ac:dyDescent="0.35"/>
  <cols>
    <col min="1" max="1" width="10.453125" style="1" bestFit="1" customWidth="1"/>
    <col min="2" max="2" width="10.7265625" customWidth="1"/>
    <col min="3" max="3" width="65.54296875" customWidth="1"/>
    <col min="4" max="4" width="17.7265625" customWidth="1"/>
    <col min="5" max="5" width="16.54296875" customWidth="1"/>
    <col min="6" max="6" width="20.1796875" customWidth="1"/>
    <col min="7" max="7" width="21.1796875" customWidth="1"/>
    <col min="8" max="8" width="34.54296875" customWidth="1"/>
    <col min="9" max="9" width="25.7265625" customWidth="1"/>
    <col min="11" max="11" width="15.1796875" customWidth="1"/>
  </cols>
  <sheetData>
    <row r="1" spans="1:11" ht="14.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 ht="14.5" x14ac:dyDescent="0.35">
      <c r="A2" s="1">
        <f t="shared" ref="A2:A65" si="0">VALUE(TRIM(SUBSTITUTE(B2,"R","",1)))</f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11" ht="14.5" x14ac:dyDescent="0.35">
      <c r="A3" s="1">
        <f t="shared" si="0"/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11" ht="14.5" x14ac:dyDescent="0.35">
      <c r="A4" s="1">
        <f t="shared" si="0"/>
        <v>3</v>
      </c>
      <c r="B4" t="s">
        <v>23</v>
      </c>
      <c r="C4" t="s">
        <v>24</v>
      </c>
      <c r="D4" t="s">
        <v>18</v>
      </c>
      <c r="E4" t="s">
        <v>13</v>
      </c>
      <c r="F4" t="s">
        <v>20</v>
      </c>
      <c r="G4" t="s">
        <v>21</v>
      </c>
      <c r="H4" t="s">
        <v>25</v>
      </c>
    </row>
    <row r="5" spans="1:11" ht="14.5" x14ac:dyDescent="0.35">
      <c r="A5" s="1">
        <f t="shared" si="0"/>
        <v>4</v>
      </c>
      <c r="B5" t="s">
        <v>26</v>
      </c>
      <c r="C5" t="s">
        <v>27</v>
      </c>
      <c r="D5" t="s">
        <v>18</v>
      </c>
      <c r="E5" t="s">
        <v>19</v>
      </c>
      <c r="F5" t="s">
        <v>20</v>
      </c>
      <c r="G5" t="s">
        <v>21</v>
      </c>
    </row>
    <row r="6" spans="1:11" ht="14.5" x14ac:dyDescent="0.35">
      <c r="A6" s="1">
        <f t="shared" si="0"/>
        <v>5</v>
      </c>
      <c r="B6" t="s">
        <v>28</v>
      </c>
      <c r="C6" t="s">
        <v>29</v>
      </c>
      <c r="D6" t="s">
        <v>18</v>
      </c>
      <c r="E6" t="s">
        <v>19</v>
      </c>
      <c r="F6" t="s">
        <v>20</v>
      </c>
      <c r="G6" t="s">
        <v>21</v>
      </c>
    </row>
    <row r="7" spans="1:11" ht="14.5" x14ac:dyDescent="0.35">
      <c r="A7" s="1">
        <f t="shared" si="0"/>
        <v>6</v>
      </c>
      <c r="B7" t="s">
        <v>30</v>
      </c>
      <c r="C7" t="s">
        <v>31</v>
      </c>
      <c r="D7" t="s">
        <v>18</v>
      </c>
      <c r="E7" t="s">
        <v>19</v>
      </c>
      <c r="F7" t="s">
        <v>20</v>
      </c>
      <c r="G7" t="s">
        <v>21</v>
      </c>
    </row>
    <row r="8" spans="1:11" ht="14.5" x14ac:dyDescent="0.35">
      <c r="A8" s="1">
        <f t="shared" si="0"/>
        <v>7</v>
      </c>
      <c r="B8" t="s">
        <v>32</v>
      </c>
      <c r="C8" t="s">
        <v>33</v>
      </c>
      <c r="D8" t="s">
        <v>18</v>
      </c>
      <c r="E8" t="s">
        <v>13</v>
      </c>
      <c r="F8" t="s">
        <v>20</v>
      </c>
      <c r="G8" t="s">
        <v>21</v>
      </c>
    </row>
    <row r="9" spans="1:11" ht="14.5" x14ac:dyDescent="0.35">
      <c r="A9" s="1">
        <f t="shared" si="0"/>
        <v>8</v>
      </c>
      <c r="B9" t="s">
        <v>34</v>
      </c>
      <c r="C9" t="s">
        <v>35</v>
      </c>
      <c r="D9" t="s">
        <v>18</v>
      </c>
      <c r="E9" t="s">
        <v>19</v>
      </c>
      <c r="F9" t="s">
        <v>20</v>
      </c>
      <c r="G9" t="s">
        <v>21</v>
      </c>
    </row>
    <row r="10" spans="1:11" ht="14.5" x14ac:dyDescent="0.35">
      <c r="A10" s="1">
        <f t="shared" si="0"/>
        <v>9</v>
      </c>
      <c r="B10" t="s">
        <v>36</v>
      </c>
      <c r="C10" t="s">
        <v>37</v>
      </c>
      <c r="D10" t="s">
        <v>12</v>
      </c>
      <c r="E10" t="s">
        <v>38</v>
      </c>
      <c r="F10" t="s">
        <v>20</v>
      </c>
      <c r="G10" t="s">
        <v>39</v>
      </c>
      <c r="H10" t="s">
        <v>40</v>
      </c>
    </row>
    <row r="11" spans="1:11" ht="14.5" x14ac:dyDescent="0.35">
      <c r="A11" s="1">
        <f t="shared" si="0"/>
        <v>11</v>
      </c>
      <c r="B11" t="s">
        <v>41</v>
      </c>
      <c r="C11" t="s">
        <v>42</v>
      </c>
      <c r="D11" t="s">
        <v>12</v>
      </c>
      <c r="E11" t="s">
        <v>13</v>
      </c>
      <c r="F11" t="s">
        <v>14</v>
      </c>
      <c r="G11" t="s">
        <v>15</v>
      </c>
    </row>
    <row r="12" spans="1:11" ht="14.5" x14ac:dyDescent="0.35">
      <c r="A12" s="1">
        <f t="shared" si="0"/>
        <v>12</v>
      </c>
      <c r="B12" t="s">
        <v>43</v>
      </c>
      <c r="C12" t="s">
        <v>44</v>
      </c>
      <c r="D12" t="s">
        <v>18</v>
      </c>
      <c r="E12" t="s">
        <v>13</v>
      </c>
      <c r="F12" t="s">
        <v>20</v>
      </c>
      <c r="G12" t="s">
        <v>45</v>
      </c>
      <c r="H12" t="s">
        <v>46</v>
      </c>
    </row>
    <row r="13" spans="1:11" ht="14.5" x14ac:dyDescent="0.35">
      <c r="A13" s="1">
        <f t="shared" si="0"/>
        <v>13</v>
      </c>
      <c r="B13" t="s">
        <v>47</v>
      </c>
      <c r="C13" t="s">
        <v>48</v>
      </c>
      <c r="D13" t="s">
        <v>12</v>
      </c>
      <c r="E13" t="s">
        <v>38</v>
      </c>
      <c r="F13" t="s">
        <v>49</v>
      </c>
      <c r="G13" t="s">
        <v>15</v>
      </c>
    </row>
    <row r="14" spans="1:11" ht="36" customHeight="1" x14ac:dyDescent="0.35">
      <c r="A14" s="1">
        <f t="shared" si="0"/>
        <v>14</v>
      </c>
      <c r="B14" t="s">
        <v>50</v>
      </c>
      <c r="C14" t="s">
        <v>51</v>
      </c>
      <c r="D14" t="s">
        <v>12</v>
      </c>
      <c r="E14" s="2" t="s">
        <v>52</v>
      </c>
      <c r="F14" t="s">
        <v>53</v>
      </c>
      <c r="G14" t="s">
        <v>54</v>
      </c>
      <c r="H14" s="3" t="s">
        <v>55</v>
      </c>
      <c r="I14" t="s">
        <v>56</v>
      </c>
      <c r="K14" t="s">
        <v>57</v>
      </c>
    </row>
    <row r="15" spans="1:11" ht="14.5" x14ac:dyDescent="0.35">
      <c r="A15" s="1">
        <f t="shared" si="0"/>
        <v>15</v>
      </c>
      <c r="B15" t="s">
        <v>58</v>
      </c>
      <c r="C15" t="s">
        <v>59</v>
      </c>
      <c r="D15" t="s">
        <v>12</v>
      </c>
      <c r="E15" t="s">
        <v>13</v>
      </c>
      <c r="F15" t="s">
        <v>60</v>
      </c>
      <c r="G15" t="s">
        <v>15</v>
      </c>
    </row>
    <row r="16" spans="1:11" ht="14.5" x14ac:dyDescent="0.35">
      <c r="A16" s="1">
        <f t="shared" si="0"/>
        <v>16</v>
      </c>
      <c r="B16" t="s">
        <v>61</v>
      </c>
      <c r="C16" t="s">
        <v>62</v>
      </c>
      <c r="D16" t="s">
        <v>12</v>
      </c>
      <c r="E16" t="s">
        <v>38</v>
      </c>
      <c r="F16" t="s">
        <v>20</v>
      </c>
      <c r="G16" t="s">
        <v>39</v>
      </c>
      <c r="H16" t="s">
        <v>63</v>
      </c>
    </row>
    <row r="17" spans="1:11" ht="14.5" x14ac:dyDescent="0.35">
      <c r="A17" s="1">
        <f t="shared" si="0"/>
        <v>17</v>
      </c>
      <c r="B17" t="s">
        <v>64</v>
      </c>
      <c r="C17" t="s">
        <v>65</v>
      </c>
      <c r="D17" t="s">
        <v>12</v>
      </c>
      <c r="E17" t="s">
        <v>13</v>
      </c>
      <c r="F17" t="s">
        <v>66</v>
      </c>
      <c r="G17" t="s">
        <v>15</v>
      </c>
    </row>
    <row r="18" spans="1:11" ht="36" customHeight="1" x14ac:dyDescent="0.35">
      <c r="A18" s="1">
        <f t="shared" si="0"/>
        <v>18</v>
      </c>
      <c r="B18" t="s">
        <v>67</v>
      </c>
      <c r="C18" t="s">
        <v>68</v>
      </c>
      <c r="D18" t="s">
        <v>12</v>
      </c>
      <c r="E18" t="s">
        <v>13</v>
      </c>
      <c r="F18" t="s">
        <v>69</v>
      </c>
      <c r="G18" t="s">
        <v>54</v>
      </c>
      <c r="H18" s="3" t="s">
        <v>70</v>
      </c>
      <c r="I18" t="s">
        <v>71</v>
      </c>
    </row>
    <row r="19" spans="1:11" ht="36" customHeight="1" x14ac:dyDescent="0.35">
      <c r="A19" s="1">
        <f t="shared" si="0"/>
        <v>19</v>
      </c>
      <c r="B19" t="s">
        <v>72</v>
      </c>
      <c r="C19" t="s">
        <v>73</v>
      </c>
      <c r="D19" t="s">
        <v>12</v>
      </c>
      <c r="E19" s="3" t="s">
        <v>19</v>
      </c>
      <c r="F19" t="s">
        <v>74</v>
      </c>
      <c r="G19" t="s">
        <v>54</v>
      </c>
      <c r="H19" t="s">
        <v>75</v>
      </c>
      <c r="I19" t="s">
        <v>76</v>
      </c>
    </row>
    <row r="20" spans="1:11" ht="36" customHeight="1" x14ac:dyDescent="0.35">
      <c r="A20" s="1">
        <f t="shared" si="0"/>
        <v>20</v>
      </c>
      <c r="B20" t="s">
        <v>77</v>
      </c>
      <c r="C20" t="s">
        <v>78</v>
      </c>
      <c r="D20" t="s">
        <v>79</v>
      </c>
      <c r="E20" t="s">
        <v>38</v>
      </c>
      <c r="F20" t="s">
        <v>80</v>
      </c>
      <c r="G20" t="s">
        <v>54</v>
      </c>
      <c r="H20" t="s">
        <v>81</v>
      </c>
      <c r="I20" t="s">
        <v>82</v>
      </c>
      <c r="K20" s="3" t="s">
        <v>83</v>
      </c>
    </row>
    <row r="21" spans="1:11" ht="14.5" x14ac:dyDescent="0.35">
      <c r="A21" s="1">
        <f t="shared" si="0"/>
        <v>21</v>
      </c>
      <c r="B21" t="s">
        <v>84</v>
      </c>
      <c r="C21" t="s">
        <v>85</v>
      </c>
      <c r="D21" t="s">
        <v>12</v>
      </c>
      <c r="E21" t="s">
        <v>38</v>
      </c>
      <c r="F21" t="s">
        <v>20</v>
      </c>
      <c r="G21" t="s">
        <v>39</v>
      </c>
      <c r="H21" t="s">
        <v>86</v>
      </c>
    </row>
    <row r="22" spans="1:11" ht="36" customHeight="1" x14ac:dyDescent="0.35">
      <c r="A22" s="1">
        <f t="shared" si="0"/>
        <v>22</v>
      </c>
      <c r="B22" t="s">
        <v>87</v>
      </c>
      <c r="C22" t="s">
        <v>88</v>
      </c>
      <c r="D22" t="s">
        <v>12</v>
      </c>
      <c r="E22" s="2" t="s">
        <v>89</v>
      </c>
      <c r="F22" t="s">
        <v>90</v>
      </c>
      <c r="G22" t="s">
        <v>54</v>
      </c>
      <c r="H22" t="s">
        <v>91</v>
      </c>
      <c r="I22" t="s">
        <v>92</v>
      </c>
      <c r="K22" s="3" t="s">
        <v>93</v>
      </c>
    </row>
    <row r="23" spans="1:11" ht="14.5" x14ac:dyDescent="0.35">
      <c r="A23" s="1">
        <f t="shared" si="0"/>
        <v>24</v>
      </c>
      <c r="B23" t="s">
        <v>94</v>
      </c>
      <c r="C23" t="s">
        <v>95</v>
      </c>
      <c r="D23" t="s">
        <v>12</v>
      </c>
      <c r="E23" t="s">
        <v>13</v>
      </c>
      <c r="F23" t="s">
        <v>96</v>
      </c>
      <c r="G23" t="s">
        <v>15</v>
      </c>
    </row>
    <row r="24" spans="1:11" ht="14.5" x14ac:dyDescent="0.35">
      <c r="A24" s="1">
        <f t="shared" si="0"/>
        <v>25</v>
      </c>
      <c r="B24" t="s">
        <v>97</v>
      </c>
      <c r="C24" t="s">
        <v>98</v>
      </c>
      <c r="D24" t="s">
        <v>99</v>
      </c>
      <c r="E24" t="s">
        <v>13</v>
      </c>
      <c r="F24" t="s">
        <v>100</v>
      </c>
      <c r="G24" t="s">
        <v>15</v>
      </c>
    </row>
    <row r="25" spans="1:11" ht="14.5" x14ac:dyDescent="0.35">
      <c r="A25" s="1">
        <f t="shared" si="0"/>
        <v>26</v>
      </c>
      <c r="B25" t="s">
        <v>101</v>
      </c>
      <c r="C25" t="s">
        <v>102</v>
      </c>
      <c r="D25" t="s">
        <v>99</v>
      </c>
      <c r="E25" t="s">
        <v>13</v>
      </c>
      <c r="F25" t="s">
        <v>103</v>
      </c>
      <c r="G25" t="s">
        <v>15</v>
      </c>
    </row>
    <row r="26" spans="1:11" ht="14.5" x14ac:dyDescent="0.35">
      <c r="A26" s="1">
        <f t="shared" si="0"/>
        <v>27</v>
      </c>
      <c r="B26" t="s">
        <v>104</v>
      </c>
      <c r="C26" t="s">
        <v>105</v>
      </c>
      <c r="D26" t="s">
        <v>99</v>
      </c>
      <c r="E26" t="s">
        <v>38</v>
      </c>
      <c r="F26" t="s">
        <v>20</v>
      </c>
      <c r="G26" t="s">
        <v>39</v>
      </c>
      <c r="H26" t="s">
        <v>106</v>
      </c>
    </row>
    <row r="27" spans="1:11" ht="14.5" x14ac:dyDescent="0.35">
      <c r="A27" s="1">
        <f t="shared" si="0"/>
        <v>28</v>
      </c>
      <c r="B27" t="s">
        <v>107</v>
      </c>
      <c r="C27" t="s">
        <v>108</v>
      </c>
      <c r="D27" t="s">
        <v>99</v>
      </c>
      <c r="E27" t="s">
        <v>13</v>
      </c>
      <c r="F27" t="s">
        <v>109</v>
      </c>
      <c r="G27" t="s">
        <v>15</v>
      </c>
    </row>
    <row r="28" spans="1:11" ht="14.5" x14ac:dyDescent="0.35">
      <c r="A28" s="1">
        <f t="shared" si="0"/>
        <v>29</v>
      </c>
      <c r="B28" t="s">
        <v>110</v>
      </c>
      <c r="C28" t="s">
        <v>111</v>
      </c>
      <c r="D28" t="s">
        <v>99</v>
      </c>
      <c r="E28" t="s">
        <v>38</v>
      </c>
      <c r="F28" t="s">
        <v>20</v>
      </c>
      <c r="G28" t="s">
        <v>39</v>
      </c>
      <c r="H28" t="s">
        <v>112</v>
      </c>
    </row>
    <row r="29" spans="1:11" ht="36" customHeight="1" x14ac:dyDescent="0.35">
      <c r="A29" s="1">
        <f t="shared" si="0"/>
        <v>31</v>
      </c>
      <c r="B29" t="s">
        <v>113</v>
      </c>
      <c r="C29" t="s">
        <v>114</v>
      </c>
      <c r="D29" t="s">
        <v>99</v>
      </c>
      <c r="E29" s="2" t="s">
        <v>52</v>
      </c>
      <c r="F29" t="s">
        <v>20</v>
      </c>
      <c r="G29" t="s">
        <v>54</v>
      </c>
      <c r="H29" t="s">
        <v>115</v>
      </c>
      <c r="I29" t="s">
        <v>116</v>
      </c>
      <c r="K29" s="4" t="s">
        <v>117</v>
      </c>
    </row>
    <row r="30" spans="1:11" ht="14.5" x14ac:dyDescent="0.35">
      <c r="A30" s="1">
        <f t="shared" si="0"/>
        <v>32</v>
      </c>
      <c r="B30" t="s">
        <v>118</v>
      </c>
      <c r="C30" t="s">
        <v>119</v>
      </c>
      <c r="D30" t="s">
        <v>99</v>
      </c>
      <c r="E30" t="s">
        <v>38</v>
      </c>
      <c r="F30" t="s">
        <v>20</v>
      </c>
      <c r="G30" t="s">
        <v>39</v>
      </c>
      <c r="H30" t="s">
        <v>120</v>
      </c>
    </row>
    <row r="31" spans="1:11" ht="14.5" x14ac:dyDescent="0.35">
      <c r="A31" s="1">
        <f t="shared" si="0"/>
        <v>33</v>
      </c>
      <c r="B31" t="s">
        <v>121</v>
      </c>
      <c r="C31" t="s">
        <v>122</v>
      </c>
      <c r="D31" t="s">
        <v>99</v>
      </c>
      <c r="E31" t="s">
        <v>38</v>
      </c>
      <c r="F31" t="s">
        <v>20</v>
      </c>
      <c r="G31" t="s">
        <v>39</v>
      </c>
      <c r="H31" t="s">
        <v>123</v>
      </c>
    </row>
    <row r="32" spans="1:11" ht="36" customHeight="1" x14ac:dyDescent="0.35">
      <c r="A32" s="1">
        <f t="shared" si="0"/>
        <v>34</v>
      </c>
      <c r="B32" t="s">
        <v>124</v>
      </c>
      <c r="C32" t="s">
        <v>125</v>
      </c>
      <c r="D32" t="s">
        <v>99</v>
      </c>
      <c r="E32" t="s">
        <v>13</v>
      </c>
      <c r="F32" t="s">
        <v>126</v>
      </c>
      <c r="G32" t="s">
        <v>54</v>
      </c>
      <c r="H32" t="s">
        <v>127</v>
      </c>
      <c r="I32" t="s">
        <v>128</v>
      </c>
      <c r="K32" s="3" t="s">
        <v>129</v>
      </c>
    </row>
    <row r="33" spans="1:11" ht="14.5" x14ac:dyDescent="0.35">
      <c r="A33" s="1">
        <f t="shared" si="0"/>
        <v>35</v>
      </c>
      <c r="B33" t="s">
        <v>130</v>
      </c>
      <c r="C33" t="s">
        <v>131</v>
      </c>
      <c r="D33" t="s">
        <v>99</v>
      </c>
      <c r="E33" t="s">
        <v>13</v>
      </c>
      <c r="F33" t="s">
        <v>132</v>
      </c>
      <c r="G33" t="s">
        <v>15</v>
      </c>
    </row>
    <row r="34" spans="1:11" ht="14.5" x14ac:dyDescent="0.35">
      <c r="A34" s="1">
        <f t="shared" si="0"/>
        <v>36</v>
      </c>
      <c r="B34" t="s">
        <v>133</v>
      </c>
      <c r="C34" t="s">
        <v>134</v>
      </c>
      <c r="D34" t="s">
        <v>99</v>
      </c>
      <c r="E34" t="s">
        <v>13</v>
      </c>
      <c r="F34" t="s">
        <v>135</v>
      </c>
      <c r="G34" t="s">
        <v>15</v>
      </c>
    </row>
    <row r="35" spans="1:11" ht="14.5" x14ac:dyDescent="0.35">
      <c r="A35" s="1">
        <f t="shared" si="0"/>
        <v>38</v>
      </c>
      <c r="B35" t="s">
        <v>136</v>
      </c>
      <c r="C35" t="s">
        <v>137</v>
      </c>
      <c r="D35" t="s">
        <v>138</v>
      </c>
      <c r="E35" t="s">
        <v>38</v>
      </c>
      <c r="F35" t="s">
        <v>20</v>
      </c>
      <c r="G35" t="s">
        <v>139</v>
      </c>
      <c r="H35" t="s">
        <v>140</v>
      </c>
    </row>
    <row r="36" spans="1:11" ht="14.5" x14ac:dyDescent="0.35">
      <c r="A36" s="1">
        <f t="shared" si="0"/>
        <v>39</v>
      </c>
      <c r="B36" t="s">
        <v>141</v>
      </c>
      <c r="C36" t="s">
        <v>142</v>
      </c>
      <c r="D36" t="s">
        <v>138</v>
      </c>
      <c r="E36" t="s">
        <v>38</v>
      </c>
      <c r="F36" t="s">
        <v>20</v>
      </c>
      <c r="G36" t="s">
        <v>39</v>
      </c>
      <c r="H36" t="s">
        <v>143</v>
      </c>
    </row>
    <row r="37" spans="1:11" ht="36" customHeight="1" x14ac:dyDescent="0.35">
      <c r="A37" s="1">
        <f t="shared" si="0"/>
        <v>41</v>
      </c>
      <c r="B37" t="s">
        <v>144</v>
      </c>
      <c r="C37" t="s">
        <v>145</v>
      </c>
      <c r="D37" t="s">
        <v>138</v>
      </c>
      <c r="E37" s="3" t="s">
        <v>89</v>
      </c>
      <c r="F37" t="s">
        <v>146</v>
      </c>
      <c r="G37" t="s">
        <v>54</v>
      </c>
      <c r="H37" t="s">
        <v>147</v>
      </c>
      <c r="I37" t="s">
        <v>148</v>
      </c>
      <c r="K37" s="3" t="s">
        <v>149</v>
      </c>
    </row>
    <row r="38" spans="1:11" ht="14.5" x14ac:dyDescent="0.35">
      <c r="A38" s="1">
        <f t="shared" si="0"/>
        <v>45</v>
      </c>
      <c r="B38" t="s">
        <v>150</v>
      </c>
      <c r="C38" t="s">
        <v>151</v>
      </c>
      <c r="D38" t="s">
        <v>138</v>
      </c>
      <c r="E38" t="s">
        <v>38</v>
      </c>
      <c r="F38" t="s">
        <v>20</v>
      </c>
      <c r="G38" t="s">
        <v>39</v>
      </c>
      <c r="H38" t="s">
        <v>152</v>
      </c>
    </row>
    <row r="39" spans="1:11" ht="14.5" x14ac:dyDescent="0.35">
      <c r="A39" s="1">
        <f t="shared" si="0"/>
        <v>46</v>
      </c>
      <c r="B39" t="s">
        <v>153</v>
      </c>
      <c r="C39" t="s">
        <v>154</v>
      </c>
      <c r="D39" t="s">
        <v>138</v>
      </c>
      <c r="E39" t="s">
        <v>38</v>
      </c>
      <c r="F39" t="s">
        <v>155</v>
      </c>
      <c r="G39" t="s">
        <v>15</v>
      </c>
    </row>
    <row r="40" spans="1:11" ht="36" customHeight="1" x14ac:dyDescent="0.35">
      <c r="A40" s="1">
        <f t="shared" si="0"/>
        <v>47</v>
      </c>
      <c r="B40" t="s">
        <v>156</v>
      </c>
      <c r="C40" t="s">
        <v>157</v>
      </c>
      <c r="D40" t="s">
        <v>138</v>
      </c>
      <c r="E40" s="2" t="s">
        <v>13</v>
      </c>
      <c r="F40" t="s">
        <v>158</v>
      </c>
      <c r="G40" t="s">
        <v>54</v>
      </c>
      <c r="H40" t="s">
        <v>159</v>
      </c>
      <c r="I40" t="s">
        <v>160</v>
      </c>
      <c r="K40" s="3" t="s">
        <v>161</v>
      </c>
    </row>
    <row r="41" spans="1:11" ht="36" customHeight="1" x14ac:dyDescent="0.35">
      <c r="A41" s="1">
        <f t="shared" si="0"/>
        <v>48</v>
      </c>
      <c r="B41" t="s">
        <v>162</v>
      </c>
      <c r="C41" t="s">
        <v>163</v>
      </c>
      <c r="D41" t="s">
        <v>138</v>
      </c>
      <c r="E41" t="s">
        <v>13</v>
      </c>
      <c r="F41" t="s">
        <v>164</v>
      </c>
      <c r="G41" t="s">
        <v>54</v>
      </c>
      <c r="H41" t="s">
        <v>165</v>
      </c>
      <c r="I41" t="s">
        <v>166</v>
      </c>
      <c r="K41" s="3" t="s">
        <v>161</v>
      </c>
    </row>
    <row r="42" spans="1:11" ht="36" customHeight="1" x14ac:dyDescent="0.35">
      <c r="A42" s="1">
        <f t="shared" si="0"/>
        <v>49</v>
      </c>
      <c r="B42" t="s">
        <v>167</v>
      </c>
      <c r="C42" t="s">
        <v>168</v>
      </c>
      <c r="D42" t="s">
        <v>138</v>
      </c>
      <c r="E42" t="s">
        <v>38</v>
      </c>
      <c r="F42" t="s">
        <v>169</v>
      </c>
      <c r="G42" t="s">
        <v>54</v>
      </c>
      <c r="H42" t="s">
        <v>170</v>
      </c>
      <c r="I42" t="s">
        <v>171</v>
      </c>
    </row>
    <row r="43" spans="1:11" ht="14.5" x14ac:dyDescent="0.35">
      <c r="A43" s="1">
        <f t="shared" si="0"/>
        <v>51</v>
      </c>
      <c r="B43" t="s">
        <v>172</v>
      </c>
      <c r="C43" t="s">
        <v>173</v>
      </c>
      <c r="D43" t="s">
        <v>79</v>
      </c>
      <c r="E43" t="s">
        <v>13</v>
      </c>
      <c r="F43" t="s">
        <v>174</v>
      </c>
      <c r="G43" t="s">
        <v>15</v>
      </c>
    </row>
    <row r="44" spans="1:11" ht="14.5" x14ac:dyDescent="0.35">
      <c r="A44" s="1">
        <f t="shared" si="0"/>
        <v>52</v>
      </c>
      <c r="B44" t="s">
        <v>175</v>
      </c>
      <c r="C44" t="s">
        <v>176</v>
      </c>
      <c r="D44" t="s">
        <v>79</v>
      </c>
      <c r="E44" t="s">
        <v>13</v>
      </c>
      <c r="F44" t="s">
        <v>177</v>
      </c>
      <c r="G44" t="s">
        <v>15</v>
      </c>
    </row>
    <row r="45" spans="1:11" ht="14.5" x14ac:dyDescent="0.35">
      <c r="A45" s="1">
        <f t="shared" si="0"/>
        <v>53</v>
      </c>
      <c r="B45" t="s">
        <v>178</v>
      </c>
      <c r="C45" t="s">
        <v>179</v>
      </c>
      <c r="D45" t="s">
        <v>79</v>
      </c>
      <c r="E45" t="s">
        <v>38</v>
      </c>
      <c r="F45" t="s">
        <v>180</v>
      </c>
      <c r="G45" t="s">
        <v>15</v>
      </c>
    </row>
    <row r="46" spans="1:11" ht="14.5" x14ac:dyDescent="0.35">
      <c r="A46" s="1">
        <f t="shared" si="0"/>
        <v>54</v>
      </c>
      <c r="B46" t="s">
        <v>181</v>
      </c>
      <c r="C46" t="s">
        <v>182</v>
      </c>
      <c r="D46" t="s">
        <v>79</v>
      </c>
      <c r="E46" t="s">
        <v>13</v>
      </c>
      <c r="F46" t="s">
        <v>183</v>
      </c>
      <c r="G46" t="s">
        <v>184</v>
      </c>
      <c r="H46" t="s">
        <v>185</v>
      </c>
      <c r="I46" t="s">
        <v>186</v>
      </c>
    </row>
    <row r="47" spans="1:11" ht="14.5" x14ac:dyDescent="0.35">
      <c r="A47" s="1">
        <f t="shared" si="0"/>
        <v>55</v>
      </c>
      <c r="B47" t="s">
        <v>187</v>
      </c>
      <c r="C47" t="s">
        <v>188</v>
      </c>
      <c r="D47" t="s">
        <v>79</v>
      </c>
      <c r="E47" t="s">
        <v>38</v>
      </c>
      <c r="F47" t="s">
        <v>20</v>
      </c>
      <c r="G47" t="s">
        <v>45</v>
      </c>
      <c r="H47" t="s">
        <v>189</v>
      </c>
      <c r="I47" t="s">
        <v>190</v>
      </c>
    </row>
    <row r="48" spans="1:11" ht="36" customHeight="1" x14ac:dyDescent="0.35">
      <c r="A48" s="1">
        <f t="shared" si="0"/>
        <v>57</v>
      </c>
      <c r="B48" t="s">
        <v>191</v>
      </c>
      <c r="C48" t="s">
        <v>192</v>
      </c>
      <c r="D48" t="s">
        <v>79</v>
      </c>
      <c r="E48" t="s">
        <v>13</v>
      </c>
      <c r="F48" t="s">
        <v>193</v>
      </c>
      <c r="G48" t="s">
        <v>54</v>
      </c>
      <c r="H48" t="s">
        <v>194</v>
      </c>
      <c r="I48" t="s">
        <v>128</v>
      </c>
      <c r="K48" s="3" t="s">
        <v>195</v>
      </c>
    </row>
    <row r="49" spans="1:11" ht="36" customHeight="1" x14ac:dyDescent="0.35">
      <c r="A49" s="1">
        <f t="shared" si="0"/>
        <v>58</v>
      </c>
      <c r="B49" t="s">
        <v>196</v>
      </c>
      <c r="C49" t="s">
        <v>197</v>
      </c>
      <c r="D49" t="s">
        <v>79</v>
      </c>
      <c r="E49" t="s">
        <v>13</v>
      </c>
      <c r="F49" t="s">
        <v>198</v>
      </c>
      <c r="G49" t="s">
        <v>54</v>
      </c>
      <c r="H49" t="s">
        <v>199</v>
      </c>
      <c r="I49" t="s">
        <v>200</v>
      </c>
      <c r="K49" s="3" t="s">
        <v>201</v>
      </c>
    </row>
    <row r="50" spans="1:11" ht="36" customHeight="1" x14ac:dyDescent="0.35">
      <c r="A50" s="1">
        <f t="shared" si="0"/>
        <v>59</v>
      </c>
      <c r="B50" t="s">
        <v>202</v>
      </c>
      <c r="C50" t="s">
        <v>203</v>
      </c>
      <c r="D50" t="s">
        <v>79</v>
      </c>
      <c r="E50" t="s">
        <v>19</v>
      </c>
      <c r="F50" t="s">
        <v>204</v>
      </c>
      <c r="G50" t="s">
        <v>54</v>
      </c>
      <c r="H50" t="s">
        <v>205</v>
      </c>
      <c r="I50" t="s">
        <v>206</v>
      </c>
    </row>
    <row r="51" spans="1:11" ht="36" customHeight="1" x14ac:dyDescent="0.35">
      <c r="A51" s="1">
        <f t="shared" si="0"/>
        <v>62</v>
      </c>
      <c r="B51" t="s">
        <v>207</v>
      </c>
      <c r="C51" t="s">
        <v>208</v>
      </c>
      <c r="D51" t="s">
        <v>209</v>
      </c>
      <c r="E51" t="s">
        <v>13</v>
      </c>
      <c r="F51" s="4" t="s">
        <v>210</v>
      </c>
      <c r="G51" t="s">
        <v>54</v>
      </c>
      <c r="H51" t="s">
        <v>211</v>
      </c>
      <c r="I51" t="s">
        <v>212</v>
      </c>
      <c r="K51" s="3" t="s">
        <v>213</v>
      </c>
    </row>
    <row r="52" spans="1:11" ht="14.5" x14ac:dyDescent="0.35">
      <c r="A52" s="1">
        <f t="shared" si="0"/>
        <v>67</v>
      </c>
      <c r="B52" t="s">
        <v>214</v>
      </c>
      <c r="C52" t="s">
        <v>215</v>
      </c>
      <c r="D52" t="s">
        <v>18</v>
      </c>
      <c r="E52" t="s">
        <v>38</v>
      </c>
      <c r="F52" t="s">
        <v>216</v>
      </c>
      <c r="G52" t="s">
        <v>15</v>
      </c>
    </row>
    <row r="53" spans="1:11" ht="14.5" x14ac:dyDescent="0.35">
      <c r="A53" s="1">
        <f t="shared" si="0"/>
        <v>68</v>
      </c>
      <c r="B53" t="s">
        <v>217</v>
      </c>
      <c r="C53" t="s">
        <v>218</v>
      </c>
      <c r="D53" t="s">
        <v>18</v>
      </c>
      <c r="E53" t="s">
        <v>38</v>
      </c>
      <c r="F53" t="s">
        <v>216</v>
      </c>
      <c r="G53" t="s">
        <v>15</v>
      </c>
    </row>
    <row r="54" spans="1:11" ht="14.5" x14ac:dyDescent="0.35">
      <c r="A54" s="1">
        <f t="shared" si="0"/>
        <v>69</v>
      </c>
      <c r="B54" t="s">
        <v>219</v>
      </c>
      <c r="C54" t="s">
        <v>220</v>
      </c>
      <c r="D54" t="s">
        <v>18</v>
      </c>
      <c r="E54" t="s">
        <v>13</v>
      </c>
      <c r="F54" t="s">
        <v>20</v>
      </c>
      <c r="G54" t="s">
        <v>21</v>
      </c>
      <c r="H54" t="s">
        <v>221</v>
      </c>
    </row>
    <row r="55" spans="1:11" ht="14.5" x14ac:dyDescent="0.35">
      <c r="A55" s="1">
        <f t="shared" si="0"/>
        <v>70</v>
      </c>
      <c r="B55" t="s">
        <v>222</v>
      </c>
      <c r="C55" t="s">
        <v>223</v>
      </c>
      <c r="D55" t="s">
        <v>18</v>
      </c>
      <c r="E55" t="s">
        <v>19</v>
      </c>
      <c r="F55" t="s">
        <v>20</v>
      </c>
      <c r="G55" t="s">
        <v>39</v>
      </c>
    </row>
    <row r="56" spans="1:11" ht="14.5" x14ac:dyDescent="0.35">
      <c r="A56" s="1">
        <f t="shared" si="0"/>
        <v>71</v>
      </c>
      <c r="B56" t="s">
        <v>224</v>
      </c>
      <c r="C56" t="s">
        <v>225</v>
      </c>
      <c r="D56" t="s">
        <v>99</v>
      </c>
      <c r="E56" t="s">
        <v>13</v>
      </c>
      <c r="F56" t="s">
        <v>132</v>
      </c>
      <c r="G56" t="s">
        <v>15</v>
      </c>
    </row>
    <row r="57" spans="1:11" ht="14.5" x14ac:dyDescent="0.35">
      <c r="A57" s="1">
        <f t="shared" si="0"/>
        <v>72</v>
      </c>
      <c r="B57" t="s">
        <v>226</v>
      </c>
      <c r="C57" t="s">
        <v>227</v>
      </c>
      <c r="D57" t="s">
        <v>18</v>
      </c>
      <c r="E57" t="s">
        <v>38</v>
      </c>
      <c r="F57" t="s">
        <v>20</v>
      </c>
      <c r="G57" t="s">
        <v>39</v>
      </c>
      <c r="H57" t="s">
        <v>228</v>
      </c>
    </row>
    <row r="58" spans="1:11" ht="14.5" x14ac:dyDescent="0.35">
      <c r="A58" s="1">
        <f t="shared" si="0"/>
        <v>73</v>
      </c>
      <c r="B58" t="s">
        <v>229</v>
      </c>
      <c r="C58" t="s">
        <v>230</v>
      </c>
      <c r="D58" t="s">
        <v>18</v>
      </c>
      <c r="E58" t="s">
        <v>19</v>
      </c>
      <c r="F58" t="s">
        <v>20</v>
      </c>
      <c r="G58" t="s">
        <v>21</v>
      </c>
    </row>
    <row r="59" spans="1:11" ht="14.5" x14ac:dyDescent="0.35">
      <c r="A59" s="1">
        <f t="shared" si="0"/>
        <v>74</v>
      </c>
      <c r="B59" t="s">
        <v>231</v>
      </c>
      <c r="C59" t="s">
        <v>232</v>
      </c>
      <c r="D59" t="s">
        <v>18</v>
      </c>
      <c r="E59" t="s">
        <v>19</v>
      </c>
      <c r="F59" t="s">
        <v>20</v>
      </c>
      <c r="G59" t="s">
        <v>21</v>
      </c>
    </row>
    <row r="60" spans="1:11" ht="14.5" x14ac:dyDescent="0.35">
      <c r="A60" s="1">
        <f t="shared" si="0"/>
        <v>75</v>
      </c>
      <c r="B60" t="s">
        <v>233</v>
      </c>
      <c r="C60" t="s">
        <v>234</v>
      </c>
      <c r="D60" t="s">
        <v>18</v>
      </c>
      <c r="E60" t="s">
        <v>13</v>
      </c>
      <c r="F60" t="s">
        <v>20</v>
      </c>
      <c r="G60" t="s">
        <v>21</v>
      </c>
    </row>
    <row r="61" spans="1:11" ht="14.5" x14ac:dyDescent="0.35">
      <c r="A61" s="1">
        <f t="shared" si="0"/>
        <v>76</v>
      </c>
      <c r="B61" t="s">
        <v>235</v>
      </c>
      <c r="C61" t="s">
        <v>236</v>
      </c>
      <c r="D61" t="s">
        <v>18</v>
      </c>
      <c r="E61" t="s">
        <v>13</v>
      </c>
      <c r="F61" t="s">
        <v>20</v>
      </c>
      <c r="G61" t="s">
        <v>45</v>
      </c>
    </row>
    <row r="62" spans="1:11" ht="14.5" x14ac:dyDescent="0.35">
      <c r="A62" s="1">
        <f t="shared" si="0"/>
        <v>77</v>
      </c>
      <c r="B62" t="s">
        <v>237</v>
      </c>
      <c r="C62" t="s">
        <v>238</v>
      </c>
      <c r="D62" t="s">
        <v>18</v>
      </c>
      <c r="E62" t="s">
        <v>38</v>
      </c>
      <c r="F62" t="s">
        <v>20</v>
      </c>
      <c r="G62" t="s">
        <v>39</v>
      </c>
    </row>
    <row r="63" spans="1:11" ht="14.5" x14ac:dyDescent="0.35">
      <c r="A63" s="1">
        <f t="shared" si="0"/>
        <v>78</v>
      </c>
      <c r="B63" t="s">
        <v>239</v>
      </c>
      <c r="C63" t="s">
        <v>240</v>
      </c>
      <c r="D63" t="s">
        <v>18</v>
      </c>
      <c r="E63" t="s">
        <v>13</v>
      </c>
      <c r="F63" t="s">
        <v>20</v>
      </c>
      <c r="G63" t="s">
        <v>45</v>
      </c>
    </row>
    <row r="64" spans="1:11" ht="14.5" x14ac:dyDescent="0.35">
      <c r="A64" s="1">
        <f t="shared" si="0"/>
        <v>79</v>
      </c>
      <c r="B64" t="s">
        <v>241</v>
      </c>
      <c r="C64" t="s">
        <v>242</v>
      </c>
      <c r="D64" t="s">
        <v>18</v>
      </c>
      <c r="E64" t="s">
        <v>38</v>
      </c>
      <c r="F64" t="s">
        <v>20</v>
      </c>
      <c r="G64" t="s">
        <v>45</v>
      </c>
    </row>
    <row r="65" spans="1:9" ht="14.5" x14ac:dyDescent="0.35">
      <c r="A65" s="1">
        <f t="shared" si="0"/>
        <v>80</v>
      </c>
      <c r="B65" t="s">
        <v>243</v>
      </c>
      <c r="C65" t="s">
        <v>244</v>
      </c>
      <c r="D65" t="s">
        <v>18</v>
      </c>
      <c r="E65" t="s">
        <v>38</v>
      </c>
      <c r="F65" t="s">
        <v>20</v>
      </c>
      <c r="G65" t="s">
        <v>39</v>
      </c>
    </row>
    <row r="66" spans="1:9" ht="14.5" x14ac:dyDescent="0.35">
      <c r="A66" s="1">
        <f t="shared" ref="A66:A81" si="1">VALUE(TRIM(SUBSTITUTE(B66,"R","",1)))</f>
        <v>81</v>
      </c>
      <c r="B66" t="s">
        <v>245</v>
      </c>
      <c r="C66" t="s">
        <v>246</v>
      </c>
      <c r="D66" t="s">
        <v>18</v>
      </c>
      <c r="E66" t="s">
        <v>38</v>
      </c>
      <c r="F66" t="s">
        <v>20</v>
      </c>
      <c r="G66" t="s">
        <v>21</v>
      </c>
    </row>
    <row r="67" spans="1:9" ht="14.5" x14ac:dyDescent="0.35">
      <c r="A67" s="1">
        <f t="shared" si="1"/>
        <v>82</v>
      </c>
      <c r="B67" t="s">
        <v>247</v>
      </c>
      <c r="C67" t="s">
        <v>248</v>
      </c>
      <c r="D67" t="s">
        <v>18</v>
      </c>
      <c r="E67" t="s">
        <v>38</v>
      </c>
      <c r="F67" t="s">
        <v>249</v>
      </c>
      <c r="G67" t="s">
        <v>15</v>
      </c>
    </row>
    <row r="68" spans="1:9" ht="14.5" x14ac:dyDescent="0.35">
      <c r="A68" s="1">
        <f t="shared" si="1"/>
        <v>83</v>
      </c>
      <c r="B68" t="s">
        <v>250</v>
      </c>
      <c r="C68" t="s">
        <v>251</v>
      </c>
      <c r="D68" t="s">
        <v>18</v>
      </c>
      <c r="E68" t="s">
        <v>13</v>
      </c>
      <c r="F68" t="s">
        <v>20</v>
      </c>
      <c r="G68" t="s">
        <v>21</v>
      </c>
      <c r="H68" t="s">
        <v>252</v>
      </c>
    </row>
    <row r="69" spans="1:9" ht="14.5" x14ac:dyDescent="0.35">
      <c r="A69" s="1">
        <f t="shared" si="1"/>
        <v>84</v>
      </c>
      <c r="B69" t="s">
        <v>253</v>
      </c>
      <c r="C69" t="s">
        <v>254</v>
      </c>
      <c r="D69" t="s">
        <v>18</v>
      </c>
      <c r="E69" t="s">
        <v>13</v>
      </c>
      <c r="F69" t="s">
        <v>20</v>
      </c>
      <c r="G69" t="s">
        <v>21</v>
      </c>
    </row>
    <row r="70" spans="1:9" ht="14.5" x14ac:dyDescent="0.35">
      <c r="A70" s="1">
        <f t="shared" si="1"/>
        <v>85</v>
      </c>
      <c r="B70" t="s">
        <v>255</v>
      </c>
      <c r="C70" t="s">
        <v>256</v>
      </c>
      <c r="D70" t="s">
        <v>18</v>
      </c>
      <c r="E70" t="s">
        <v>19</v>
      </c>
      <c r="F70" t="s">
        <v>20</v>
      </c>
      <c r="G70" t="s">
        <v>21</v>
      </c>
    </row>
    <row r="71" spans="1:9" ht="14.5" x14ac:dyDescent="0.35">
      <c r="A71" s="1">
        <f t="shared" si="1"/>
        <v>86</v>
      </c>
      <c r="B71" t="s">
        <v>257</v>
      </c>
      <c r="C71" t="s">
        <v>258</v>
      </c>
      <c r="D71" t="s">
        <v>18</v>
      </c>
      <c r="E71" t="s">
        <v>38</v>
      </c>
      <c r="F71" t="s">
        <v>20</v>
      </c>
      <c r="G71" t="s">
        <v>21</v>
      </c>
    </row>
    <row r="72" spans="1:9" ht="14.5" x14ac:dyDescent="0.35">
      <c r="A72" s="1">
        <f t="shared" si="1"/>
        <v>87</v>
      </c>
      <c r="B72" t="s">
        <v>259</v>
      </c>
      <c r="C72" t="s">
        <v>260</v>
      </c>
      <c r="D72" t="s">
        <v>18</v>
      </c>
      <c r="E72" t="s">
        <v>38</v>
      </c>
      <c r="F72" t="s">
        <v>20</v>
      </c>
      <c r="G72" t="s">
        <v>21</v>
      </c>
    </row>
    <row r="73" spans="1:9" ht="14.5" x14ac:dyDescent="0.35">
      <c r="A73" s="1">
        <f t="shared" si="1"/>
        <v>88</v>
      </c>
      <c r="B73" t="s">
        <v>261</v>
      </c>
      <c r="C73" t="s">
        <v>262</v>
      </c>
      <c r="D73" t="s">
        <v>18</v>
      </c>
      <c r="E73" t="s">
        <v>19</v>
      </c>
      <c r="F73" t="s">
        <v>20</v>
      </c>
      <c r="G73" t="s">
        <v>21</v>
      </c>
    </row>
    <row r="74" spans="1:9" ht="14.5" x14ac:dyDescent="0.35">
      <c r="A74" s="1">
        <f t="shared" si="1"/>
        <v>89</v>
      </c>
      <c r="B74" t="s">
        <v>263</v>
      </c>
      <c r="C74" t="s">
        <v>264</v>
      </c>
      <c r="D74" t="s">
        <v>18</v>
      </c>
      <c r="E74" t="s">
        <v>19</v>
      </c>
      <c r="F74" t="s">
        <v>20</v>
      </c>
      <c r="G74" t="s">
        <v>21</v>
      </c>
    </row>
    <row r="75" spans="1:9" ht="14.5" x14ac:dyDescent="0.35">
      <c r="A75" s="1">
        <f t="shared" si="1"/>
        <v>90</v>
      </c>
      <c r="B75" t="s">
        <v>265</v>
      </c>
      <c r="C75" t="s">
        <v>266</v>
      </c>
      <c r="D75" t="s">
        <v>18</v>
      </c>
      <c r="E75" t="s">
        <v>19</v>
      </c>
      <c r="F75" t="s">
        <v>20</v>
      </c>
      <c r="G75" t="s">
        <v>21</v>
      </c>
    </row>
    <row r="76" spans="1:9" ht="14.5" x14ac:dyDescent="0.35">
      <c r="A76" s="1">
        <f t="shared" si="1"/>
        <v>91</v>
      </c>
      <c r="B76" t="s">
        <v>267</v>
      </c>
      <c r="C76" t="s">
        <v>268</v>
      </c>
      <c r="D76" t="s">
        <v>99</v>
      </c>
      <c r="E76" t="s">
        <v>13</v>
      </c>
      <c r="F76" t="s">
        <v>269</v>
      </c>
      <c r="G76" t="s">
        <v>15</v>
      </c>
    </row>
    <row r="77" spans="1:9" ht="14.5" x14ac:dyDescent="0.35">
      <c r="A77" s="1">
        <f t="shared" si="1"/>
        <v>92</v>
      </c>
      <c r="B77" t="s">
        <v>270</v>
      </c>
      <c r="C77" t="s">
        <v>271</v>
      </c>
      <c r="D77" t="s">
        <v>138</v>
      </c>
      <c r="E77" t="s">
        <v>38</v>
      </c>
      <c r="F77" t="s">
        <v>20</v>
      </c>
      <c r="G77" t="s">
        <v>39</v>
      </c>
    </row>
    <row r="78" spans="1:9" ht="14.5" x14ac:dyDescent="0.35">
      <c r="A78" s="1">
        <f t="shared" si="1"/>
        <v>93</v>
      </c>
      <c r="B78" t="s">
        <v>272</v>
      </c>
      <c r="C78" t="s">
        <v>273</v>
      </c>
      <c r="D78" t="s">
        <v>12</v>
      </c>
      <c r="E78" t="s">
        <v>13</v>
      </c>
      <c r="F78" t="s">
        <v>274</v>
      </c>
      <c r="G78" t="s">
        <v>15</v>
      </c>
    </row>
    <row r="79" spans="1:9" ht="14.5" x14ac:dyDescent="0.35">
      <c r="A79" s="1">
        <f t="shared" si="1"/>
        <v>94</v>
      </c>
      <c r="B79" t="s">
        <v>275</v>
      </c>
      <c r="C79" t="s">
        <v>276</v>
      </c>
      <c r="D79" t="s">
        <v>138</v>
      </c>
      <c r="E79" t="s">
        <v>38</v>
      </c>
      <c r="F79" t="s">
        <v>277</v>
      </c>
      <c r="G79" t="s">
        <v>184</v>
      </c>
      <c r="H79" t="s">
        <v>278</v>
      </c>
      <c r="I79" t="s">
        <v>279</v>
      </c>
    </row>
    <row r="80" spans="1:9" ht="14.5" x14ac:dyDescent="0.35">
      <c r="A80" s="1">
        <f t="shared" si="1"/>
        <v>95</v>
      </c>
      <c r="B80" t="s">
        <v>280</v>
      </c>
      <c r="C80" t="s">
        <v>281</v>
      </c>
      <c r="D80" t="s">
        <v>18</v>
      </c>
      <c r="E80" t="s">
        <v>38</v>
      </c>
      <c r="F80" t="s">
        <v>282</v>
      </c>
      <c r="G80" t="s">
        <v>15</v>
      </c>
    </row>
    <row r="81" spans="1:7" ht="14.5" x14ac:dyDescent="0.35">
      <c r="A81" s="1">
        <f t="shared" si="1"/>
        <v>96</v>
      </c>
      <c r="B81" t="s">
        <v>283</v>
      </c>
      <c r="C81" t="s">
        <v>284</v>
      </c>
      <c r="D81" t="s">
        <v>18</v>
      </c>
      <c r="E81" t="s">
        <v>38</v>
      </c>
      <c r="F81" t="s">
        <v>285</v>
      </c>
      <c r="G81" t="s">
        <v>15</v>
      </c>
    </row>
  </sheetData>
  <autoFilter ref="A1:K81" xr:uid="{6BBC34FC-40EC-4030-9CFF-31F04B2D7E01}">
    <sortState xmlns:xlrd2="http://schemas.microsoft.com/office/spreadsheetml/2017/richdata2" ref="A2:K81">
      <sortCondition ref="A1:A81"/>
    </sortState>
  </autoFilter>
  <pageMargins left="0.7" right="0.7" top="0.75" bottom="0.75" header="0.3" footer="0.3"/>
  <headerFooter>
    <oddFooter>&amp;C_x000D_&amp;1#&amp;"Aptos"&amp;10&amp;K000000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7740-1C49-4CC3-A9CB-94F8725D17AC}">
  <dimension ref="A1:D18"/>
  <sheetViews>
    <sheetView workbookViewId="0">
      <selection activeCell="D14" sqref="D14"/>
    </sheetView>
  </sheetViews>
  <sheetFormatPr defaultRowHeight="14.5" x14ac:dyDescent="0.35"/>
  <cols>
    <col min="1" max="1" width="33.453125" bestFit="1" customWidth="1"/>
    <col min="2" max="2" width="32.453125" bestFit="1" customWidth="1"/>
    <col min="3" max="3" width="36" bestFit="1" customWidth="1"/>
    <col min="4" max="4" width="29.54296875" bestFit="1" customWidth="1"/>
  </cols>
  <sheetData>
    <row r="1" spans="1:4" s="2" customFormat="1" x14ac:dyDescent="0.35">
      <c r="A1" s="2" t="s">
        <v>286</v>
      </c>
      <c r="B1" s="2" t="s">
        <v>287</v>
      </c>
      <c r="C1" s="2" t="s">
        <v>288</v>
      </c>
      <c r="D1" s="5" t="s">
        <v>289</v>
      </c>
    </row>
    <row r="2" spans="1:4" x14ac:dyDescent="0.35">
      <c r="A2" t="s">
        <v>290</v>
      </c>
      <c r="B2" t="s">
        <v>291</v>
      </c>
      <c r="C2" t="s">
        <v>292</v>
      </c>
      <c r="D2" t="s">
        <v>293</v>
      </c>
    </row>
    <row r="3" spans="1:4" x14ac:dyDescent="0.35">
      <c r="A3" t="s">
        <v>294</v>
      </c>
      <c r="B3" t="s">
        <v>295</v>
      </c>
      <c r="C3" t="s">
        <v>296</v>
      </c>
      <c r="D3" t="s">
        <v>297</v>
      </c>
    </row>
    <row r="4" spans="1:4" x14ac:dyDescent="0.35">
      <c r="A4" t="s">
        <v>298</v>
      </c>
      <c r="B4" t="s">
        <v>299</v>
      </c>
      <c r="C4" t="s">
        <v>300</v>
      </c>
      <c r="D4" t="s">
        <v>301</v>
      </c>
    </row>
    <row r="5" spans="1:4" x14ac:dyDescent="0.35">
      <c r="A5" t="s">
        <v>302</v>
      </c>
      <c r="B5" t="s">
        <v>303</v>
      </c>
      <c r="C5" t="s">
        <v>304</v>
      </c>
      <c r="D5" t="s">
        <v>305</v>
      </c>
    </row>
    <row r="6" spans="1:4" x14ac:dyDescent="0.35">
      <c r="A6" t="s">
        <v>306</v>
      </c>
      <c r="B6" t="s">
        <v>307</v>
      </c>
      <c r="C6" t="s">
        <v>308</v>
      </c>
      <c r="D6" t="s">
        <v>309</v>
      </c>
    </row>
    <row r="7" spans="1:4" x14ac:dyDescent="0.35">
      <c r="A7" t="s">
        <v>310</v>
      </c>
      <c r="B7" t="s">
        <v>311</v>
      </c>
      <c r="C7" t="s">
        <v>312</v>
      </c>
      <c r="D7" t="s">
        <v>313</v>
      </c>
    </row>
    <row r="8" spans="1:4" x14ac:dyDescent="0.35">
      <c r="A8" t="s">
        <v>314</v>
      </c>
      <c r="B8" t="s">
        <v>315</v>
      </c>
      <c r="C8" t="s">
        <v>316</v>
      </c>
      <c r="D8" t="s">
        <v>317</v>
      </c>
    </row>
    <row r="9" spans="1:4" x14ac:dyDescent="0.35">
      <c r="A9" t="s">
        <v>318</v>
      </c>
      <c r="B9" t="s">
        <v>319</v>
      </c>
      <c r="C9" t="s">
        <v>320</v>
      </c>
      <c r="D9" t="s">
        <v>321</v>
      </c>
    </row>
    <row r="10" spans="1:4" x14ac:dyDescent="0.35">
      <c r="A10" t="s">
        <v>322</v>
      </c>
      <c r="B10" t="s">
        <v>323</v>
      </c>
      <c r="C10" t="s">
        <v>324</v>
      </c>
      <c r="D10" t="s">
        <v>325</v>
      </c>
    </row>
    <row r="11" spans="1:4" x14ac:dyDescent="0.35">
      <c r="A11" t="s">
        <v>326</v>
      </c>
      <c r="B11" t="s">
        <v>327</v>
      </c>
      <c r="C11" t="s">
        <v>328</v>
      </c>
      <c r="D11" t="s">
        <v>329</v>
      </c>
    </row>
    <row r="12" spans="1:4" x14ac:dyDescent="0.35">
      <c r="A12" t="s">
        <v>330</v>
      </c>
      <c r="B12" t="s">
        <v>319</v>
      </c>
      <c r="C12" t="s">
        <v>320</v>
      </c>
      <c r="D12" t="s">
        <v>331</v>
      </c>
    </row>
    <row r="13" spans="1:4" x14ac:dyDescent="0.35">
      <c r="A13" t="s">
        <v>332</v>
      </c>
      <c r="B13" t="s">
        <v>333</v>
      </c>
      <c r="C13" t="s">
        <v>334</v>
      </c>
      <c r="D13" t="s">
        <v>335</v>
      </c>
    </row>
    <row r="14" spans="1:4" x14ac:dyDescent="0.35">
      <c r="A14" t="s">
        <v>336</v>
      </c>
      <c r="B14" t="s">
        <v>337</v>
      </c>
      <c r="C14" t="s">
        <v>338</v>
      </c>
      <c r="D14" t="s">
        <v>339</v>
      </c>
    </row>
    <row r="15" spans="1:4" x14ac:dyDescent="0.35">
      <c r="A15" t="s">
        <v>340</v>
      </c>
      <c r="B15" t="s">
        <v>341</v>
      </c>
      <c r="C15" t="s">
        <v>342</v>
      </c>
      <c r="D15" t="s">
        <v>343</v>
      </c>
    </row>
    <row r="16" spans="1:4" x14ac:dyDescent="0.35">
      <c r="A16" t="s">
        <v>344</v>
      </c>
      <c r="B16" t="s">
        <v>345</v>
      </c>
      <c r="C16" t="s">
        <v>346</v>
      </c>
      <c r="D16" t="s">
        <v>347</v>
      </c>
    </row>
    <row r="17" spans="1:4" x14ac:dyDescent="0.35">
      <c r="A17" t="s">
        <v>348</v>
      </c>
      <c r="B17" t="s">
        <v>349</v>
      </c>
      <c r="C17" t="s">
        <v>350</v>
      </c>
      <c r="D17" t="s">
        <v>351</v>
      </c>
    </row>
    <row r="18" spans="1:4" x14ac:dyDescent="0.35">
      <c r="A18" t="s">
        <v>352</v>
      </c>
      <c r="B18" t="s">
        <v>353</v>
      </c>
      <c r="C18" t="s">
        <v>296</v>
      </c>
      <c r="D18" t="s">
        <v>354</v>
      </c>
    </row>
  </sheetData>
  <pageMargins left="0.7" right="0.7" top="0.75" bottom="0.75" header="0.3" footer="0.3"/>
  <headerFooter>
    <oddFooter>&amp;C_x000D_&amp;1#&amp;"Aptos"&amp;10&amp;K000000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E344-E86E-449A-B279-89D436A1D40A}">
  <dimension ref="A1:H118"/>
  <sheetViews>
    <sheetView tabSelected="1" topLeftCell="A91" zoomScaleNormal="100" workbookViewId="0">
      <selection activeCell="C17" sqref="C17"/>
    </sheetView>
  </sheetViews>
  <sheetFormatPr defaultRowHeight="14.5" x14ac:dyDescent="0.35"/>
  <cols>
    <col min="1" max="1" width="13.1796875" customWidth="1"/>
    <col min="2" max="2" width="18.1796875" customWidth="1"/>
    <col min="3" max="3" width="41.1796875" customWidth="1"/>
    <col min="4" max="4" width="29.7265625" customWidth="1"/>
    <col min="5" max="5" width="29.453125" customWidth="1"/>
    <col min="6" max="6" width="51.1796875" customWidth="1"/>
    <col min="7" max="7" width="21" customWidth="1"/>
    <col min="8" max="8" width="28.54296875" bestFit="1" customWidth="1"/>
  </cols>
  <sheetData>
    <row r="1" spans="1:8" s="2" customFormat="1" x14ac:dyDescent="0.35">
      <c r="A1" s="2" t="s">
        <v>355</v>
      </c>
      <c r="B1" s="2" t="s">
        <v>356</v>
      </c>
      <c r="C1" s="2" t="s">
        <v>357</v>
      </c>
      <c r="D1" s="2" t="s">
        <v>358</v>
      </c>
      <c r="E1" s="2" t="s">
        <v>359</v>
      </c>
      <c r="F1" s="2" t="s">
        <v>360</v>
      </c>
      <c r="G1" s="2" t="s">
        <v>361</v>
      </c>
      <c r="H1" s="5" t="s">
        <v>362</v>
      </c>
    </row>
    <row r="2" spans="1:8" x14ac:dyDescent="0.35">
      <c r="A2" t="s">
        <v>837</v>
      </c>
      <c r="B2" t="s">
        <v>800</v>
      </c>
      <c r="C2" t="s">
        <v>838</v>
      </c>
      <c r="D2" t="s">
        <v>802</v>
      </c>
      <c r="E2" t="s">
        <v>810</v>
      </c>
      <c r="F2" t="s">
        <v>839</v>
      </c>
      <c r="G2" t="s">
        <v>838</v>
      </c>
      <c r="H2" t="s">
        <v>805</v>
      </c>
    </row>
    <row r="3" spans="1:8" x14ac:dyDescent="0.35">
      <c r="A3" t="s">
        <v>663</v>
      </c>
      <c r="B3" t="s">
        <v>664</v>
      </c>
      <c r="C3" t="s">
        <v>665</v>
      </c>
      <c r="D3" t="s">
        <v>666</v>
      </c>
      <c r="E3" t="s">
        <v>546</v>
      </c>
      <c r="F3" t="s">
        <v>562</v>
      </c>
      <c r="G3" t="s">
        <v>665</v>
      </c>
      <c r="H3" t="s">
        <v>627</v>
      </c>
    </row>
    <row r="4" spans="1:8" x14ac:dyDescent="0.35">
      <c r="A4" t="s">
        <v>66</v>
      </c>
      <c r="B4" t="s">
        <v>664</v>
      </c>
      <c r="C4" t="s">
        <v>812</v>
      </c>
      <c r="D4" t="s">
        <v>813</v>
      </c>
      <c r="E4" t="s">
        <v>814</v>
      </c>
      <c r="F4" t="s">
        <v>815</v>
      </c>
      <c r="G4" t="s">
        <v>812</v>
      </c>
      <c r="H4" t="s">
        <v>805</v>
      </c>
    </row>
    <row r="5" spans="1:8" x14ac:dyDescent="0.35">
      <c r="A5" t="s">
        <v>583</v>
      </c>
      <c r="B5" t="s">
        <v>575</v>
      </c>
      <c r="C5" t="s">
        <v>584</v>
      </c>
      <c r="D5" t="s">
        <v>577</v>
      </c>
      <c r="E5" t="s">
        <v>585</v>
      </c>
      <c r="F5" t="s">
        <v>586</v>
      </c>
      <c r="G5" t="s">
        <v>584</v>
      </c>
      <c r="H5" t="s">
        <v>548</v>
      </c>
    </row>
    <row r="6" spans="1:8" x14ac:dyDescent="0.35">
      <c r="A6" t="s">
        <v>587</v>
      </c>
      <c r="B6" t="s">
        <v>575</v>
      </c>
      <c r="C6" t="s">
        <v>588</v>
      </c>
      <c r="D6" t="s">
        <v>577</v>
      </c>
      <c r="E6" t="s">
        <v>585</v>
      </c>
      <c r="F6" t="s">
        <v>589</v>
      </c>
      <c r="G6" t="s">
        <v>588</v>
      </c>
      <c r="H6" t="s">
        <v>548</v>
      </c>
    </row>
    <row r="7" spans="1:8" x14ac:dyDescent="0.35">
      <c r="A7" t="s">
        <v>579</v>
      </c>
      <c r="B7" t="s">
        <v>575</v>
      </c>
      <c r="C7" t="s">
        <v>580</v>
      </c>
      <c r="D7" t="s">
        <v>577</v>
      </c>
      <c r="E7" t="s">
        <v>581</v>
      </c>
      <c r="F7" t="s">
        <v>582</v>
      </c>
      <c r="G7" t="s">
        <v>580</v>
      </c>
      <c r="H7" t="s">
        <v>548</v>
      </c>
    </row>
    <row r="8" spans="1:8" x14ac:dyDescent="0.35">
      <c r="A8" t="s">
        <v>636</v>
      </c>
      <c r="B8" t="s">
        <v>364</v>
      </c>
      <c r="C8" t="s">
        <v>637</v>
      </c>
      <c r="D8" t="s">
        <v>638</v>
      </c>
      <c r="E8" t="s">
        <v>585</v>
      </c>
      <c r="F8" t="s">
        <v>639</v>
      </c>
      <c r="G8" t="s">
        <v>637</v>
      </c>
      <c r="H8" t="s">
        <v>627</v>
      </c>
    </row>
    <row r="9" spans="1:8" x14ac:dyDescent="0.35">
      <c r="A9" t="s">
        <v>628</v>
      </c>
      <c r="B9" t="s">
        <v>364</v>
      </c>
      <c r="C9" t="s">
        <v>629</v>
      </c>
      <c r="D9" t="s">
        <v>630</v>
      </c>
      <c r="E9" t="s">
        <v>585</v>
      </c>
      <c r="F9" t="s">
        <v>631</v>
      </c>
      <c r="G9" t="s">
        <v>629</v>
      </c>
      <c r="H9" t="s">
        <v>627</v>
      </c>
    </row>
    <row r="10" spans="1:8" x14ac:dyDescent="0.35">
      <c r="A10" t="s">
        <v>574</v>
      </c>
      <c r="B10" t="s">
        <v>575</v>
      </c>
      <c r="C10" t="s">
        <v>576</v>
      </c>
      <c r="D10" t="s">
        <v>577</v>
      </c>
      <c r="E10" t="s">
        <v>367</v>
      </c>
      <c r="F10" t="s">
        <v>578</v>
      </c>
      <c r="G10" t="s">
        <v>576</v>
      </c>
      <c r="H10" t="s">
        <v>548</v>
      </c>
    </row>
    <row r="11" spans="1:8" x14ac:dyDescent="0.35">
      <c r="A11" t="s">
        <v>475</v>
      </c>
      <c r="B11" t="s">
        <v>476</v>
      </c>
      <c r="C11" t="s">
        <v>477</v>
      </c>
      <c r="D11" t="s">
        <v>478</v>
      </c>
      <c r="E11" t="s">
        <v>479</v>
      </c>
      <c r="F11" t="s">
        <v>480</v>
      </c>
      <c r="G11" t="s">
        <v>477</v>
      </c>
      <c r="H11" s="6" t="s">
        <v>414</v>
      </c>
    </row>
    <row r="12" spans="1:8" x14ac:dyDescent="0.35">
      <c r="A12" t="s">
        <v>754</v>
      </c>
      <c r="B12" t="s">
        <v>733</v>
      </c>
      <c r="C12" t="s">
        <v>755</v>
      </c>
      <c r="D12" t="s">
        <v>735</v>
      </c>
      <c r="E12" t="s">
        <v>736</v>
      </c>
      <c r="F12" t="s">
        <v>756</v>
      </c>
      <c r="G12" t="s">
        <v>755</v>
      </c>
      <c r="H12" t="s">
        <v>738</v>
      </c>
    </row>
    <row r="13" spans="1:8" x14ac:dyDescent="0.35">
      <c r="A13" t="s">
        <v>465</v>
      </c>
      <c r="B13" t="s">
        <v>460</v>
      </c>
      <c r="C13" t="s">
        <v>466</v>
      </c>
      <c r="D13" t="s">
        <v>467</v>
      </c>
      <c r="E13" t="s">
        <v>468</v>
      </c>
      <c r="F13" t="s">
        <v>469</v>
      </c>
      <c r="G13" t="s">
        <v>466</v>
      </c>
      <c r="H13" s="6" t="s">
        <v>414</v>
      </c>
    </row>
    <row r="14" spans="1:8" x14ac:dyDescent="0.35">
      <c r="A14" t="s">
        <v>555</v>
      </c>
      <c r="B14" t="s">
        <v>375</v>
      </c>
      <c r="C14" t="s">
        <v>556</v>
      </c>
      <c r="D14" t="s">
        <v>551</v>
      </c>
      <c r="E14" t="s">
        <v>552</v>
      </c>
      <c r="F14" t="s">
        <v>557</v>
      </c>
      <c r="G14" t="s">
        <v>556</v>
      </c>
      <c r="H14" t="s">
        <v>548</v>
      </c>
    </row>
    <row r="15" spans="1:8" x14ac:dyDescent="0.35">
      <c r="A15" t="s">
        <v>549</v>
      </c>
      <c r="B15" t="s">
        <v>375</v>
      </c>
      <c r="C15" t="s">
        <v>550</v>
      </c>
      <c r="D15" t="s">
        <v>551</v>
      </c>
      <c r="E15" t="s">
        <v>552</v>
      </c>
      <c r="F15" t="s">
        <v>553</v>
      </c>
      <c r="G15" t="s">
        <v>554</v>
      </c>
      <c r="H15" t="s">
        <v>548</v>
      </c>
    </row>
    <row r="16" spans="1:8" x14ac:dyDescent="0.35">
      <c r="A16" t="s">
        <v>497</v>
      </c>
      <c r="B16" t="s">
        <v>492</v>
      </c>
      <c r="C16" t="s">
        <v>498</v>
      </c>
      <c r="D16" t="s">
        <v>494</v>
      </c>
      <c r="E16" t="s">
        <v>434</v>
      </c>
      <c r="F16" t="s">
        <v>499</v>
      </c>
      <c r="G16" t="s">
        <v>498</v>
      </c>
      <c r="H16" s="6" t="s">
        <v>414</v>
      </c>
    </row>
    <row r="17" spans="1:8" x14ac:dyDescent="0.35">
      <c r="A17" t="s">
        <v>643</v>
      </c>
      <c r="B17" t="s">
        <v>644</v>
      </c>
      <c r="C17" t="s">
        <v>645</v>
      </c>
      <c r="D17" t="s">
        <v>646</v>
      </c>
      <c r="E17" t="s">
        <v>647</v>
      </c>
      <c r="F17" t="s">
        <v>648</v>
      </c>
      <c r="G17" t="s">
        <v>645</v>
      </c>
      <c r="H17" t="s">
        <v>627</v>
      </c>
    </row>
    <row r="18" spans="1:8" x14ac:dyDescent="0.35">
      <c r="A18" t="s">
        <v>796</v>
      </c>
      <c r="B18" t="s">
        <v>733</v>
      </c>
      <c r="C18" t="s">
        <v>797</v>
      </c>
      <c r="D18" t="s">
        <v>735</v>
      </c>
      <c r="E18" t="s">
        <v>736</v>
      </c>
      <c r="F18" t="s">
        <v>798</v>
      </c>
      <c r="G18" t="s">
        <v>797</v>
      </c>
      <c r="H18" t="s">
        <v>738</v>
      </c>
    </row>
    <row r="19" spans="1:8" x14ac:dyDescent="0.35">
      <c r="A19" t="s">
        <v>249</v>
      </c>
      <c r="B19" t="s">
        <v>849</v>
      </c>
      <c r="C19" t="s">
        <v>850</v>
      </c>
      <c r="D19" t="s">
        <v>851</v>
      </c>
      <c r="E19" t="s">
        <v>852</v>
      </c>
      <c r="F19" t="s">
        <v>853</v>
      </c>
      <c r="G19" t="s">
        <v>850</v>
      </c>
      <c r="H19" t="s">
        <v>854</v>
      </c>
    </row>
    <row r="20" spans="1:8" x14ac:dyDescent="0.35">
      <c r="A20" t="s">
        <v>436</v>
      </c>
      <c r="B20" t="s">
        <v>437</v>
      </c>
      <c r="C20" t="s">
        <v>438</v>
      </c>
      <c r="D20" t="s">
        <v>439</v>
      </c>
      <c r="E20" t="s">
        <v>440</v>
      </c>
      <c r="F20" t="s">
        <v>441</v>
      </c>
      <c r="G20" t="s">
        <v>438</v>
      </c>
      <c r="H20" s="6" t="s">
        <v>414</v>
      </c>
    </row>
    <row r="21" spans="1:8" x14ac:dyDescent="0.35">
      <c r="A21" t="s">
        <v>708</v>
      </c>
      <c r="B21" t="s">
        <v>709</v>
      </c>
      <c r="C21" t="s">
        <v>710</v>
      </c>
      <c r="D21" t="s">
        <v>711</v>
      </c>
      <c r="E21" t="s">
        <v>712</v>
      </c>
      <c r="F21" t="s">
        <v>713</v>
      </c>
      <c r="G21" t="s">
        <v>710</v>
      </c>
      <c r="H21" t="s">
        <v>676</v>
      </c>
    </row>
    <row r="22" spans="1:8" x14ac:dyDescent="0.35">
      <c r="A22" t="s">
        <v>426</v>
      </c>
      <c r="B22" t="s">
        <v>421</v>
      </c>
      <c r="C22" t="s">
        <v>427</v>
      </c>
      <c r="D22" t="s">
        <v>428</v>
      </c>
      <c r="E22" t="s">
        <v>429</v>
      </c>
      <c r="F22" t="s">
        <v>430</v>
      </c>
      <c r="G22" t="s">
        <v>427</v>
      </c>
      <c r="H22" s="6" t="s">
        <v>414</v>
      </c>
    </row>
    <row r="23" spans="1:8" x14ac:dyDescent="0.35">
      <c r="A23" t="s">
        <v>415</v>
      </c>
      <c r="B23" t="s">
        <v>416</v>
      </c>
      <c r="C23" t="s">
        <v>417</v>
      </c>
      <c r="D23" t="s">
        <v>418</v>
      </c>
      <c r="E23" t="s">
        <v>412</v>
      </c>
      <c r="F23" t="s">
        <v>419</v>
      </c>
      <c r="G23" t="s">
        <v>417</v>
      </c>
      <c r="H23" s="6" t="s">
        <v>414</v>
      </c>
    </row>
    <row r="24" spans="1:8" x14ac:dyDescent="0.35">
      <c r="A24" t="s">
        <v>408</v>
      </c>
      <c r="B24" t="s">
        <v>409</v>
      </c>
      <c r="C24" t="s">
        <v>410</v>
      </c>
      <c r="D24" t="s">
        <v>411</v>
      </c>
      <c r="E24" t="s">
        <v>412</v>
      </c>
      <c r="F24" t="s">
        <v>413</v>
      </c>
      <c r="G24" t="s">
        <v>410</v>
      </c>
      <c r="H24" s="6" t="s">
        <v>414</v>
      </c>
    </row>
    <row r="25" spans="1:8" x14ac:dyDescent="0.35">
      <c r="A25" t="s">
        <v>748</v>
      </c>
      <c r="B25" t="s">
        <v>733</v>
      </c>
      <c r="C25" t="s">
        <v>749</v>
      </c>
      <c r="D25" t="s">
        <v>735</v>
      </c>
      <c r="E25" t="s">
        <v>736</v>
      </c>
      <c r="F25" t="s">
        <v>750</v>
      </c>
      <c r="G25" t="s">
        <v>749</v>
      </c>
      <c r="H25" t="s">
        <v>738</v>
      </c>
    </row>
    <row r="26" spans="1:8" x14ac:dyDescent="0.35">
      <c r="A26" t="s">
        <v>732</v>
      </c>
      <c r="B26" t="s">
        <v>733</v>
      </c>
      <c r="C26" t="s">
        <v>734</v>
      </c>
      <c r="D26" t="s">
        <v>735</v>
      </c>
      <c r="E26" t="s">
        <v>736</v>
      </c>
      <c r="F26" t="s">
        <v>737</v>
      </c>
      <c r="G26" t="s">
        <v>734</v>
      </c>
      <c r="H26" t="s">
        <v>738</v>
      </c>
    </row>
    <row r="27" spans="1:8" x14ac:dyDescent="0.35">
      <c r="A27" t="s">
        <v>760</v>
      </c>
      <c r="B27" t="s">
        <v>733</v>
      </c>
      <c r="C27" t="s">
        <v>761</v>
      </c>
      <c r="D27" t="s">
        <v>735</v>
      </c>
      <c r="E27" t="s">
        <v>736</v>
      </c>
      <c r="F27" t="s">
        <v>762</v>
      </c>
      <c r="G27" t="s">
        <v>761</v>
      </c>
      <c r="H27" t="s">
        <v>738</v>
      </c>
    </row>
    <row r="28" spans="1:8" x14ac:dyDescent="0.35">
      <c r="A28" t="s">
        <v>742</v>
      </c>
      <c r="B28" t="s">
        <v>733</v>
      </c>
      <c r="C28" t="s">
        <v>743</v>
      </c>
      <c r="D28" t="s">
        <v>735</v>
      </c>
      <c r="E28" t="s">
        <v>736</v>
      </c>
      <c r="F28" t="s">
        <v>744</v>
      </c>
      <c r="G28" t="s">
        <v>743</v>
      </c>
      <c r="H28" t="s">
        <v>738</v>
      </c>
    </row>
    <row r="29" spans="1:8" x14ac:dyDescent="0.35">
      <c r="A29" t="s">
        <v>745</v>
      </c>
      <c r="B29" t="s">
        <v>733</v>
      </c>
      <c r="C29" t="s">
        <v>746</v>
      </c>
      <c r="D29" t="s">
        <v>735</v>
      </c>
      <c r="E29" t="s">
        <v>736</v>
      </c>
      <c r="F29" t="s">
        <v>747</v>
      </c>
      <c r="G29" t="s">
        <v>746</v>
      </c>
      <c r="H29" t="s">
        <v>738</v>
      </c>
    </row>
    <row r="30" spans="1:8" x14ac:dyDescent="0.35">
      <c r="A30" t="s">
        <v>739</v>
      </c>
      <c r="B30" t="s">
        <v>733</v>
      </c>
      <c r="C30" t="s">
        <v>740</v>
      </c>
      <c r="D30" t="s">
        <v>735</v>
      </c>
      <c r="E30" t="s">
        <v>736</v>
      </c>
      <c r="F30" t="s">
        <v>741</v>
      </c>
      <c r="G30" t="s">
        <v>740</v>
      </c>
      <c r="H30" t="s">
        <v>738</v>
      </c>
    </row>
    <row r="31" spans="1:8" x14ac:dyDescent="0.35">
      <c r="A31" t="s">
        <v>763</v>
      </c>
      <c r="B31" t="s">
        <v>733</v>
      </c>
      <c r="C31" t="s">
        <v>764</v>
      </c>
      <c r="D31" t="s">
        <v>735</v>
      </c>
      <c r="E31" t="s">
        <v>736</v>
      </c>
      <c r="F31" t="s">
        <v>765</v>
      </c>
      <c r="G31" t="s">
        <v>764</v>
      </c>
      <c r="H31" t="s">
        <v>738</v>
      </c>
    </row>
    <row r="32" spans="1:8" x14ac:dyDescent="0.35">
      <c r="A32" t="s">
        <v>751</v>
      </c>
      <c r="B32" t="s">
        <v>733</v>
      </c>
      <c r="C32" t="s">
        <v>752</v>
      </c>
      <c r="D32" t="s">
        <v>735</v>
      </c>
      <c r="E32" t="s">
        <v>736</v>
      </c>
      <c r="F32" t="s">
        <v>753</v>
      </c>
      <c r="G32" t="s">
        <v>752</v>
      </c>
      <c r="H32" t="s">
        <v>738</v>
      </c>
    </row>
    <row r="33" spans="1:8" x14ac:dyDescent="0.35">
      <c r="A33" t="s">
        <v>766</v>
      </c>
      <c r="B33" t="s">
        <v>733</v>
      </c>
      <c r="C33" t="s">
        <v>767</v>
      </c>
      <c r="D33" t="s">
        <v>735</v>
      </c>
      <c r="E33" t="s">
        <v>736</v>
      </c>
      <c r="F33" t="s">
        <v>768</v>
      </c>
      <c r="G33" t="s">
        <v>767</v>
      </c>
      <c r="H33" t="s">
        <v>738</v>
      </c>
    </row>
    <row r="34" spans="1:8" x14ac:dyDescent="0.35">
      <c r="A34" t="s">
        <v>505</v>
      </c>
      <c r="B34" t="s">
        <v>501</v>
      </c>
      <c r="C34" t="s">
        <v>506</v>
      </c>
      <c r="D34" t="s">
        <v>507</v>
      </c>
      <c r="E34" t="s">
        <v>489</v>
      </c>
      <c r="F34" t="s">
        <v>508</v>
      </c>
      <c r="G34" t="s">
        <v>506</v>
      </c>
      <c r="H34" s="6" t="s">
        <v>414</v>
      </c>
    </row>
    <row r="35" spans="1:8" x14ac:dyDescent="0.35">
      <c r="A35" t="s">
        <v>500</v>
      </c>
      <c r="B35" t="s">
        <v>501</v>
      </c>
      <c r="C35" t="s">
        <v>502</v>
      </c>
      <c r="D35" t="s">
        <v>503</v>
      </c>
      <c r="E35" t="s">
        <v>489</v>
      </c>
      <c r="F35" t="s">
        <v>504</v>
      </c>
      <c r="G35" t="s">
        <v>502</v>
      </c>
      <c r="H35" s="6" t="s">
        <v>414</v>
      </c>
    </row>
    <row r="36" spans="1:8" x14ac:dyDescent="0.35">
      <c r="A36" t="s">
        <v>514</v>
      </c>
      <c r="B36" t="s">
        <v>501</v>
      </c>
      <c r="C36" t="s">
        <v>515</v>
      </c>
      <c r="D36" t="s">
        <v>516</v>
      </c>
      <c r="E36" t="s">
        <v>489</v>
      </c>
      <c r="F36" t="s">
        <v>517</v>
      </c>
      <c r="G36" t="s">
        <v>515</v>
      </c>
      <c r="H36" s="6" t="s">
        <v>414</v>
      </c>
    </row>
    <row r="37" spans="1:8" x14ac:dyDescent="0.35">
      <c r="A37" t="s">
        <v>380</v>
      </c>
      <c r="B37" t="s">
        <v>375</v>
      </c>
      <c r="C37" t="s">
        <v>381</v>
      </c>
      <c r="D37" t="s">
        <v>377</v>
      </c>
      <c r="E37" t="s">
        <v>378</v>
      </c>
      <c r="F37" t="s">
        <v>382</v>
      </c>
      <c r="G37" t="s">
        <v>381</v>
      </c>
      <c r="H37" t="s">
        <v>369</v>
      </c>
    </row>
    <row r="38" spans="1:8" x14ac:dyDescent="0.35">
      <c r="A38" t="s">
        <v>724</v>
      </c>
      <c r="B38" t="s">
        <v>678</v>
      </c>
      <c r="C38" t="s">
        <v>725</v>
      </c>
      <c r="D38" t="s">
        <v>726</v>
      </c>
      <c r="E38" t="s">
        <v>717</v>
      </c>
      <c r="F38" t="s">
        <v>727</v>
      </c>
      <c r="G38" t="s">
        <v>725</v>
      </c>
      <c r="H38" t="s">
        <v>676</v>
      </c>
    </row>
    <row r="39" spans="1:8" x14ac:dyDescent="0.35">
      <c r="A39" t="s">
        <v>722</v>
      </c>
      <c r="B39" t="s">
        <v>678</v>
      </c>
      <c r="C39" t="s">
        <v>723</v>
      </c>
      <c r="D39" t="s">
        <v>680</v>
      </c>
      <c r="E39" t="s">
        <v>712</v>
      </c>
      <c r="F39" t="s">
        <v>682</v>
      </c>
      <c r="G39" t="s">
        <v>723</v>
      </c>
      <c r="H39" t="s">
        <v>676</v>
      </c>
    </row>
    <row r="40" spans="1:8" x14ac:dyDescent="0.35">
      <c r="A40" t="s">
        <v>198</v>
      </c>
      <c r="B40" t="s">
        <v>442</v>
      </c>
      <c r="C40" t="s">
        <v>443</v>
      </c>
      <c r="D40" t="s">
        <v>444</v>
      </c>
      <c r="E40" t="s">
        <v>445</v>
      </c>
      <c r="F40" t="s">
        <v>446</v>
      </c>
      <c r="G40" t="s">
        <v>443</v>
      </c>
      <c r="H40" s="6" t="s">
        <v>414</v>
      </c>
    </row>
    <row r="41" spans="1:8" x14ac:dyDescent="0.35">
      <c r="A41" t="s">
        <v>660</v>
      </c>
      <c r="B41" t="s">
        <v>618</v>
      </c>
      <c r="C41" t="s">
        <v>661</v>
      </c>
      <c r="D41" t="s">
        <v>620</v>
      </c>
      <c r="E41" t="s">
        <v>653</v>
      </c>
      <c r="F41" t="s">
        <v>662</v>
      </c>
      <c r="G41" t="s">
        <v>661</v>
      </c>
      <c r="H41" t="s">
        <v>627</v>
      </c>
    </row>
    <row r="42" spans="1:8" x14ac:dyDescent="0.35">
      <c r="A42" t="s">
        <v>693</v>
      </c>
      <c r="B42" t="s">
        <v>694</v>
      </c>
      <c r="C42" t="s">
        <v>695</v>
      </c>
      <c r="D42" t="s">
        <v>696</v>
      </c>
      <c r="E42" t="s">
        <v>697</v>
      </c>
      <c r="F42" t="s">
        <v>698</v>
      </c>
      <c r="G42" t="s">
        <v>695</v>
      </c>
      <c r="H42" t="s">
        <v>676</v>
      </c>
    </row>
    <row r="43" spans="1:8" x14ac:dyDescent="0.35">
      <c r="A43" t="s">
        <v>819</v>
      </c>
      <c r="B43" t="s">
        <v>800</v>
      </c>
      <c r="C43" t="s">
        <v>820</v>
      </c>
      <c r="D43" t="s">
        <v>802</v>
      </c>
      <c r="E43" t="s">
        <v>803</v>
      </c>
      <c r="F43" t="s">
        <v>821</v>
      </c>
      <c r="G43" t="s">
        <v>820</v>
      </c>
      <c r="H43" t="s">
        <v>805</v>
      </c>
    </row>
    <row r="44" spans="1:8" x14ac:dyDescent="0.35">
      <c r="A44" t="s">
        <v>816</v>
      </c>
      <c r="B44" t="s">
        <v>800</v>
      </c>
      <c r="C44" t="s">
        <v>817</v>
      </c>
      <c r="D44" t="s">
        <v>802</v>
      </c>
      <c r="E44" t="s">
        <v>803</v>
      </c>
      <c r="F44" t="s">
        <v>818</v>
      </c>
      <c r="G44" t="s">
        <v>817</v>
      </c>
      <c r="H44" t="s">
        <v>805</v>
      </c>
    </row>
    <row r="45" spans="1:8" x14ac:dyDescent="0.35">
      <c r="A45" t="s">
        <v>843</v>
      </c>
      <c r="B45" t="s">
        <v>800</v>
      </c>
      <c r="C45" t="s">
        <v>844</v>
      </c>
      <c r="D45" t="s">
        <v>802</v>
      </c>
      <c r="E45" t="s">
        <v>803</v>
      </c>
      <c r="F45" t="s">
        <v>845</v>
      </c>
      <c r="G45" t="s">
        <v>844</v>
      </c>
      <c r="H45" t="s">
        <v>805</v>
      </c>
    </row>
    <row r="46" spans="1:8" x14ac:dyDescent="0.35">
      <c r="A46" t="s">
        <v>799</v>
      </c>
      <c r="B46" t="s">
        <v>800</v>
      </c>
      <c r="C46" t="s">
        <v>801</v>
      </c>
      <c r="D46" t="s">
        <v>802</v>
      </c>
      <c r="E46" t="s">
        <v>803</v>
      </c>
      <c r="F46" t="s">
        <v>804</v>
      </c>
      <c r="G46" t="s">
        <v>801</v>
      </c>
      <c r="H46" t="s">
        <v>805</v>
      </c>
    </row>
    <row r="47" spans="1:8" x14ac:dyDescent="0.35">
      <c r="A47" t="s">
        <v>456</v>
      </c>
      <c r="B47" t="s">
        <v>448</v>
      </c>
      <c r="C47" t="s">
        <v>457</v>
      </c>
      <c r="D47" t="s">
        <v>450</v>
      </c>
      <c r="E47" t="s">
        <v>451</v>
      </c>
      <c r="F47" s="4" t="s">
        <v>458</v>
      </c>
      <c r="G47" t="s">
        <v>457</v>
      </c>
      <c r="H47" s="6" t="s">
        <v>414</v>
      </c>
    </row>
    <row r="48" spans="1:8" x14ac:dyDescent="0.35">
      <c r="A48" t="s">
        <v>481</v>
      </c>
      <c r="B48" t="s">
        <v>482</v>
      </c>
      <c r="C48" t="s">
        <v>483</v>
      </c>
      <c r="D48" t="s">
        <v>484</v>
      </c>
      <c r="E48" t="s">
        <v>451</v>
      </c>
      <c r="F48" t="s">
        <v>485</v>
      </c>
      <c r="G48" t="s">
        <v>483</v>
      </c>
      <c r="H48" s="6" t="s">
        <v>414</v>
      </c>
    </row>
    <row r="49" spans="1:8" x14ac:dyDescent="0.35">
      <c r="A49" t="s">
        <v>822</v>
      </c>
      <c r="B49" t="s">
        <v>800</v>
      </c>
      <c r="C49" t="s">
        <v>823</v>
      </c>
      <c r="D49" t="s">
        <v>802</v>
      </c>
      <c r="E49" t="s">
        <v>803</v>
      </c>
      <c r="F49" t="s">
        <v>824</v>
      </c>
      <c r="G49" t="s">
        <v>823</v>
      </c>
      <c r="H49" t="s">
        <v>805</v>
      </c>
    </row>
    <row r="50" spans="1:8" x14ac:dyDescent="0.35">
      <c r="A50" t="s">
        <v>831</v>
      </c>
      <c r="B50" t="s">
        <v>800</v>
      </c>
      <c r="C50" t="s">
        <v>832</v>
      </c>
      <c r="D50" t="s">
        <v>802</v>
      </c>
      <c r="E50" t="s">
        <v>810</v>
      </c>
      <c r="F50" t="s">
        <v>833</v>
      </c>
      <c r="G50" t="s">
        <v>832</v>
      </c>
      <c r="H50" t="s">
        <v>805</v>
      </c>
    </row>
    <row r="51" spans="1:8" x14ac:dyDescent="0.35">
      <c r="A51" t="s">
        <v>806</v>
      </c>
      <c r="B51" t="s">
        <v>807</v>
      </c>
      <c r="C51" t="s">
        <v>808</v>
      </c>
      <c r="D51" t="s">
        <v>809</v>
      </c>
      <c r="E51" t="s">
        <v>810</v>
      </c>
      <c r="F51" t="s">
        <v>811</v>
      </c>
      <c r="G51" t="s">
        <v>808</v>
      </c>
      <c r="H51" t="s">
        <v>805</v>
      </c>
    </row>
    <row r="52" spans="1:8" x14ac:dyDescent="0.35">
      <c r="A52" t="s">
        <v>834</v>
      </c>
      <c r="B52" t="s">
        <v>800</v>
      </c>
      <c r="C52" t="s">
        <v>835</v>
      </c>
      <c r="D52" t="s">
        <v>802</v>
      </c>
      <c r="E52" t="s">
        <v>803</v>
      </c>
      <c r="F52" t="s">
        <v>836</v>
      </c>
      <c r="G52" t="s">
        <v>835</v>
      </c>
      <c r="H52" t="s">
        <v>805</v>
      </c>
    </row>
    <row r="53" spans="1:8" x14ac:dyDescent="0.35">
      <c r="A53" t="s">
        <v>828</v>
      </c>
      <c r="B53" t="s">
        <v>800</v>
      </c>
      <c r="C53" t="s">
        <v>829</v>
      </c>
      <c r="D53" t="s">
        <v>802</v>
      </c>
      <c r="E53" t="s">
        <v>803</v>
      </c>
      <c r="F53" t="s">
        <v>830</v>
      </c>
      <c r="G53" t="s">
        <v>829</v>
      </c>
      <c r="H53" t="s">
        <v>805</v>
      </c>
    </row>
    <row r="54" spans="1:8" x14ac:dyDescent="0.35">
      <c r="A54" t="s">
        <v>705</v>
      </c>
      <c r="B54" t="s">
        <v>700</v>
      </c>
      <c r="C54" t="s">
        <v>706</v>
      </c>
      <c r="D54" t="s">
        <v>702</v>
      </c>
      <c r="E54" t="s">
        <v>703</v>
      </c>
      <c r="F54" t="s">
        <v>707</v>
      </c>
      <c r="G54" t="s">
        <v>706</v>
      </c>
      <c r="H54" t="s">
        <v>676</v>
      </c>
    </row>
    <row r="55" spans="1:8" x14ac:dyDescent="0.35">
      <c r="A55" t="s">
        <v>180</v>
      </c>
      <c r="B55" t="s">
        <v>855</v>
      </c>
      <c r="C55" t="s">
        <v>856</v>
      </c>
      <c r="D55" t="s">
        <v>857</v>
      </c>
      <c r="E55" t="s">
        <v>858</v>
      </c>
      <c r="F55" t="s">
        <v>859</v>
      </c>
      <c r="G55" t="s">
        <v>856</v>
      </c>
      <c r="H55" t="s">
        <v>854</v>
      </c>
    </row>
    <row r="56" spans="1:8" x14ac:dyDescent="0.35">
      <c r="A56" t="s">
        <v>860</v>
      </c>
      <c r="B56" t="s">
        <v>733</v>
      </c>
      <c r="C56" t="s">
        <v>861</v>
      </c>
      <c r="D56" t="s">
        <v>862</v>
      </c>
      <c r="E56" t="s">
        <v>858</v>
      </c>
      <c r="F56" t="s">
        <v>863</v>
      </c>
      <c r="G56" t="s">
        <v>861</v>
      </c>
      <c r="H56" t="s">
        <v>854</v>
      </c>
    </row>
    <row r="57" spans="1:8" x14ac:dyDescent="0.35">
      <c r="A57" t="s">
        <v>374</v>
      </c>
      <c r="B57" t="s">
        <v>375</v>
      </c>
      <c r="C57" t="s">
        <v>376</v>
      </c>
      <c r="D57" t="s">
        <v>377</v>
      </c>
      <c r="E57" t="s">
        <v>378</v>
      </c>
      <c r="F57" t="s">
        <v>379</v>
      </c>
      <c r="G57" t="s">
        <v>376</v>
      </c>
      <c r="H57" t="s">
        <v>369</v>
      </c>
    </row>
    <row r="58" spans="1:8" x14ac:dyDescent="0.35">
      <c r="A58" t="s">
        <v>459</v>
      </c>
      <c r="B58" t="s">
        <v>460</v>
      </c>
      <c r="C58" t="s">
        <v>461</v>
      </c>
      <c r="D58" t="s">
        <v>462</v>
      </c>
      <c r="E58" t="s">
        <v>463</v>
      </c>
      <c r="F58" t="s">
        <v>464</v>
      </c>
      <c r="G58" t="s">
        <v>461</v>
      </c>
      <c r="H58" s="6" t="s">
        <v>414</v>
      </c>
    </row>
    <row r="59" spans="1:8" x14ac:dyDescent="0.35">
      <c r="A59" t="s">
        <v>590</v>
      </c>
      <c r="B59" t="s">
        <v>591</v>
      </c>
      <c r="C59" t="s">
        <v>592</v>
      </c>
      <c r="D59" t="s">
        <v>593</v>
      </c>
      <c r="E59" t="s">
        <v>552</v>
      </c>
      <c r="F59" t="s">
        <v>594</v>
      </c>
      <c r="G59" t="s">
        <v>592</v>
      </c>
      <c r="H59" t="s">
        <v>548</v>
      </c>
    </row>
    <row r="60" spans="1:8" x14ac:dyDescent="0.35">
      <c r="A60" t="s">
        <v>699</v>
      </c>
      <c r="B60" t="s">
        <v>700</v>
      </c>
      <c r="C60" t="s">
        <v>701</v>
      </c>
      <c r="D60" t="s">
        <v>702</v>
      </c>
      <c r="E60" t="s">
        <v>703</v>
      </c>
      <c r="F60" t="s">
        <v>704</v>
      </c>
      <c r="G60" t="s">
        <v>701</v>
      </c>
      <c r="H60" t="s">
        <v>676</v>
      </c>
    </row>
    <row r="61" spans="1:8" x14ac:dyDescent="0.35">
      <c r="A61" t="s">
        <v>667</v>
      </c>
      <c r="B61" t="s">
        <v>543</v>
      </c>
      <c r="C61" t="s">
        <v>668</v>
      </c>
      <c r="D61" t="s">
        <v>545</v>
      </c>
      <c r="E61" t="s">
        <v>546</v>
      </c>
      <c r="F61" t="s">
        <v>669</v>
      </c>
      <c r="G61" t="s">
        <v>668</v>
      </c>
      <c r="H61" t="s">
        <v>627</v>
      </c>
    </row>
    <row r="62" spans="1:8" x14ac:dyDescent="0.35">
      <c r="A62" t="s">
        <v>651</v>
      </c>
      <c r="B62" t="s">
        <v>543</v>
      </c>
      <c r="C62" t="s">
        <v>652</v>
      </c>
      <c r="D62" t="s">
        <v>545</v>
      </c>
      <c r="E62" t="s">
        <v>653</v>
      </c>
      <c r="F62" t="s">
        <v>654</v>
      </c>
      <c r="G62" t="s">
        <v>652</v>
      </c>
      <c r="H62" t="s">
        <v>627</v>
      </c>
    </row>
    <row r="63" spans="1:8" x14ac:dyDescent="0.35">
      <c r="A63" t="s">
        <v>790</v>
      </c>
      <c r="B63" t="s">
        <v>733</v>
      </c>
      <c r="C63" t="s">
        <v>791</v>
      </c>
      <c r="D63" t="s">
        <v>735</v>
      </c>
      <c r="E63" t="s">
        <v>736</v>
      </c>
      <c r="F63" t="s">
        <v>792</v>
      </c>
      <c r="G63" t="s">
        <v>791</v>
      </c>
      <c r="H63" t="s">
        <v>738</v>
      </c>
    </row>
    <row r="64" spans="1:8" x14ac:dyDescent="0.35">
      <c r="A64" t="s">
        <v>825</v>
      </c>
      <c r="B64" t="s">
        <v>800</v>
      </c>
      <c r="C64" t="s">
        <v>826</v>
      </c>
      <c r="D64" t="s">
        <v>802</v>
      </c>
      <c r="E64" t="s">
        <v>810</v>
      </c>
      <c r="F64" t="s">
        <v>827</v>
      </c>
      <c r="G64" t="s">
        <v>826</v>
      </c>
      <c r="H64" t="s">
        <v>805</v>
      </c>
    </row>
    <row r="65" spans="1:8" x14ac:dyDescent="0.35">
      <c r="A65" t="s">
        <v>567</v>
      </c>
      <c r="B65" t="s">
        <v>390</v>
      </c>
      <c r="C65" t="s">
        <v>568</v>
      </c>
      <c r="D65" t="s">
        <v>569</v>
      </c>
      <c r="E65" t="s">
        <v>546</v>
      </c>
      <c r="F65" t="s">
        <v>570</v>
      </c>
      <c r="G65" t="s">
        <v>568</v>
      </c>
      <c r="H65" t="s">
        <v>548</v>
      </c>
    </row>
    <row r="66" spans="1:8" x14ac:dyDescent="0.35">
      <c r="A66" t="s">
        <v>793</v>
      </c>
      <c r="B66" t="s">
        <v>733</v>
      </c>
      <c r="C66" t="s">
        <v>794</v>
      </c>
      <c r="D66" t="s">
        <v>735</v>
      </c>
      <c r="E66" t="s">
        <v>736</v>
      </c>
      <c r="F66" t="s">
        <v>795</v>
      </c>
      <c r="G66" t="s">
        <v>794</v>
      </c>
      <c r="H66" t="s">
        <v>738</v>
      </c>
    </row>
    <row r="67" spans="1:8" x14ac:dyDescent="0.35">
      <c r="A67" t="s">
        <v>655</v>
      </c>
      <c r="B67" t="s">
        <v>656</v>
      </c>
      <c r="C67" t="s">
        <v>657</v>
      </c>
      <c r="D67" t="s">
        <v>658</v>
      </c>
      <c r="E67" t="s">
        <v>653</v>
      </c>
      <c r="F67" t="s">
        <v>659</v>
      </c>
      <c r="G67" t="s">
        <v>657</v>
      </c>
      <c r="H67" t="s">
        <v>627</v>
      </c>
    </row>
    <row r="68" spans="1:8" x14ac:dyDescent="0.35">
      <c r="A68" t="s">
        <v>840</v>
      </c>
      <c r="B68" t="s">
        <v>800</v>
      </c>
      <c r="C68" t="s">
        <v>841</v>
      </c>
      <c r="D68" t="s">
        <v>802</v>
      </c>
      <c r="E68" t="s">
        <v>810</v>
      </c>
      <c r="F68" t="s">
        <v>842</v>
      </c>
      <c r="G68" t="s">
        <v>841</v>
      </c>
      <c r="H68" t="s">
        <v>805</v>
      </c>
    </row>
    <row r="69" spans="1:8" x14ac:dyDescent="0.35">
      <c r="A69" t="s">
        <v>757</v>
      </c>
      <c r="B69" t="s">
        <v>733</v>
      </c>
      <c r="C69" t="s">
        <v>758</v>
      </c>
      <c r="D69" t="s">
        <v>735</v>
      </c>
      <c r="E69" t="s">
        <v>736</v>
      </c>
      <c r="F69" t="s">
        <v>759</v>
      </c>
      <c r="G69" t="s">
        <v>758</v>
      </c>
      <c r="H69" t="s">
        <v>738</v>
      </c>
    </row>
    <row r="70" spans="1:8" x14ac:dyDescent="0.35">
      <c r="A70" t="s">
        <v>383</v>
      </c>
      <c r="B70" t="s">
        <v>375</v>
      </c>
      <c r="C70" t="s">
        <v>384</v>
      </c>
      <c r="D70" t="s">
        <v>377</v>
      </c>
      <c r="E70" t="s">
        <v>378</v>
      </c>
      <c r="F70" t="s">
        <v>385</v>
      </c>
      <c r="G70" t="s">
        <v>384</v>
      </c>
      <c r="H70" t="s">
        <v>369</v>
      </c>
    </row>
    <row r="71" spans="1:8" x14ac:dyDescent="0.35">
      <c r="A71" t="s">
        <v>524</v>
      </c>
      <c r="B71" t="s">
        <v>519</v>
      </c>
      <c r="C71" t="s">
        <v>525</v>
      </c>
      <c r="D71" t="s">
        <v>526</v>
      </c>
      <c r="E71" t="s">
        <v>527</v>
      </c>
      <c r="F71" t="s">
        <v>528</v>
      </c>
      <c r="G71" t="s">
        <v>525</v>
      </c>
      <c r="H71" s="6" t="s">
        <v>414</v>
      </c>
    </row>
    <row r="72" spans="1:8" x14ac:dyDescent="0.35">
      <c r="A72" t="s">
        <v>518</v>
      </c>
      <c r="B72" t="s">
        <v>519</v>
      </c>
      <c r="C72" t="s">
        <v>520</v>
      </c>
      <c r="D72" t="s">
        <v>521</v>
      </c>
      <c r="E72" t="s">
        <v>522</v>
      </c>
      <c r="F72" t="s">
        <v>523</v>
      </c>
      <c r="G72" t="s">
        <v>520</v>
      </c>
      <c r="H72" s="6" t="s">
        <v>414</v>
      </c>
    </row>
    <row r="73" spans="1:8" x14ac:dyDescent="0.35">
      <c r="A73" t="s">
        <v>864</v>
      </c>
      <c r="B73" t="s">
        <v>519</v>
      </c>
      <c r="C73" s="3" t="s">
        <v>865</v>
      </c>
      <c r="D73" t="s">
        <v>866</v>
      </c>
      <c r="E73" t="s">
        <v>867</v>
      </c>
      <c r="F73" t="s">
        <v>868</v>
      </c>
      <c r="G73" t="s">
        <v>865</v>
      </c>
      <c r="H73" t="s">
        <v>854</v>
      </c>
    </row>
    <row r="74" spans="1:8" x14ac:dyDescent="0.35">
      <c r="A74" t="s">
        <v>453</v>
      </c>
      <c r="B74" t="s">
        <v>448</v>
      </c>
      <c r="C74" t="s">
        <v>454</v>
      </c>
      <c r="D74" t="s">
        <v>450</v>
      </c>
      <c r="E74" t="s">
        <v>451</v>
      </c>
      <c r="F74" s="4" t="s">
        <v>455</v>
      </c>
      <c r="G74" t="s">
        <v>454</v>
      </c>
      <c r="H74" s="6" t="s">
        <v>414</v>
      </c>
    </row>
    <row r="75" spans="1:8" x14ac:dyDescent="0.35">
      <c r="A75" t="s">
        <v>571</v>
      </c>
      <c r="B75" t="s">
        <v>390</v>
      </c>
      <c r="C75" t="s">
        <v>572</v>
      </c>
      <c r="D75" t="s">
        <v>569</v>
      </c>
      <c r="E75" t="s">
        <v>546</v>
      </c>
      <c r="F75" t="s">
        <v>573</v>
      </c>
      <c r="G75" t="s">
        <v>572</v>
      </c>
      <c r="H75" t="s">
        <v>548</v>
      </c>
    </row>
    <row r="76" spans="1:8" x14ac:dyDescent="0.35">
      <c r="A76" t="s">
        <v>779</v>
      </c>
      <c r="B76" t="s">
        <v>733</v>
      </c>
      <c r="C76" t="s">
        <v>780</v>
      </c>
      <c r="D76" t="s">
        <v>735</v>
      </c>
      <c r="E76" t="s">
        <v>736</v>
      </c>
      <c r="F76" t="s">
        <v>781</v>
      </c>
      <c r="G76" t="s">
        <v>780</v>
      </c>
      <c r="H76" t="s">
        <v>738</v>
      </c>
    </row>
    <row r="77" spans="1:8" x14ac:dyDescent="0.35">
      <c r="A77" t="s">
        <v>773</v>
      </c>
      <c r="B77" t="s">
        <v>733</v>
      </c>
      <c r="C77" t="s">
        <v>774</v>
      </c>
      <c r="D77" t="s">
        <v>735</v>
      </c>
      <c r="E77" t="s">
        <v>736</v>
      </c>
      <c r="F77" t="s">
        <v>775</v>
      </c>
      <c r="G77" t="s">
        <v>774</v>
      </c>
      <c r="H77" t="s">
        <v>738</v>
      </c>
    </row>
    <row r="78" spans="1:8" x14ac:dyDescent="0.35">
      <c r="A78" t="s">
        <v>776</v>
      </c>
      <c r="B78" t="s">
        <v>733</v>
      </c>
      <c r="C78" t="s">
        <v>777</v>
      </c>
      <c r="D78" t="s">
        <v>735</v>
      </c>
      <c r="E78" t="s">
        <v>736</v>
      </c>
      <c r="F78" t="s">
        <v>778</v>
      </c>
      <c r="G78" t="s">
        <v>777</v>
      </c>
      <c r="H78" t="s">
        <v>738</v>
      </c>
    </row>
    <row r="79" spans="1:8" x14ac:dyDescent="0.35">
      <c r="A79" t="s">
        <v>782</v>
      </c>
      <c r="B79" t="s">
        <v>733</v>
      </c>
      <c r="C79" t="s">
        <v>783</v>
      </c>
      <c r="D79" t="s">
        <v>735</v>
      </c>
      <c r="E79" t="s">
        <v>736</v>
      </c>
      <c r="F79" t="s">
        <v>784</v>
      </c>
      <c r="G79" t="s">
        <v>783</v>
      </c>
      <c r="H79" t="s">
        <v>738</v>
      </c>
    </row>
    <row r="80" spans="1:8" x14ac:dyDescent="0.35">
      <c r="A80" t="s">
        <v>769</v>
      </c>
      <c r="B80" t="s">
        <v>733</v>
      </c>
      <c r="C80" t="s">
        <v>770</v>
      </c>
      <c r="D80" t="s">
        <v>735</v>
      </c>
      <c r="E80" t="s">
        <v>771</v>
      </c>
      <c r="F80" t="s">
        <v>772</v>
      </c>
      <c r="G80" t="s">
        <v>770</v>
      </c>
      <c r="H80" t="s">
        <v>738</v>
      </c>
    </row>
    <row r="81" spans="1:8" x14ac:dyDescent="0.35">
      <c r="A81" t="s">
        <v>606</v>
      </c>
      <c r="B81" t="s">
        <v>607</v>
      </c>
      <c r="C81" t="s">
        <v>608</v>
      </c>
      <c r="D81" t="s">
        <v>609</v>
      </c>
      <c r="E81" t="s">
        <v>552</v>
      </c>
      <c r="F81" t="s">
        <v>610</v>
      </c>
      <c r="G81" t="s">
        <v>608</v>
      </c>
      <c r="H81" t="s">
        <v>611</v>
      </c>
    </row>
    <row r="82" spans="1:8" x14ac:dyDescent="0.35">
      <c r="A82" t="s">
        <v>509</v>
      </c>
      <c r="B82" t="s">
        <v>510</v>
      </c>
      <c r="C82" t="s">
        <v>511</v>
      </c>
      <c r="D82" t="s">
        <v>512</v>
      </c>
      <c r="E82" t="s">
        <v>489</v>
      </c>
      <c r="F82" t="s">
        <v>513</v>
      </c>
      <c r="G82" t="s">
        <v>511</v>
      </c>
      <c r="H82" s="6" t="s">
        <v>414</v>
      </c>
    </row>
    <row r="83" spans="1:8" x14ac:dyDescent="0.35">
      <c r="A83" t="s">
        <v>470</v>
      </c>
      <c r="B83" t="s">
        <v>460</v>
      </c>
      <c r="C83" t="s">
        <v>471</v>
      </c>
      <c r="D83" t="s">
        <v>472</v>
      </c>
      <c r="E83" t="s">
        <v>473</v>
      </c>
      <c r="F83" t="s">
        <v>474</v>
      </c>
      <c r="G83" t="s">
        <v>471</v>
      </c>
      <c r="H83" s="6" t="s">
        <v>414</v>
      </c>
    </row>
    <row r="84" spans="1:8" x14ac:dyDescent="0.35">
      <c r="A84" t="s">
        <v>169</v>
      </c>
      <c r="B84" t="s">
        <v>431</v>
      </c>
      <c r="C84" t="s">
        <v>432</v>
      </c>
      <c r="D84" t="s">
        <v>433</v>
      </c>
      <c r="E84" t="s">
        <v>434</v>
      </c>
      <c r="F84" s="4" t="s">
        <v>435</v>
      </c>
      <c r="G84" t="s">
        <v>432</v>
      </c>
      <c r="H84" s="6" t="s">
        <v>414</v>
      </c>
    </row>
    <row r="85" spans="1:8" x14ac:dyDescent="0.35">
      <c r="A85" t="s">
        <v>728</v>
      </c>
      <c r="B85" t="s">
        <v>671</v>
      </c>
      <c r="C85" t="s">
        <v>729</v>
      </c>
      <c r="D85" t="s">
        <v>673</v>
      </c>
      <c r="E85" t="s">
        <v>730</v>
      </c>
      <c r="F85" t="s">
        <v>731</v>
      </c>
      <c r="G85" t="s">
        <v>729</v>
      </c>
      <c r="H85" t="s">
        <v>676</v>
      </c>
    </row>
    <row r="86" spans="1:8" x14ac:dyDescent="0.35">
      <c r="A86" t="s">
        <v>491</v>
      </c>
      <c r="B86" t="s">
        <v>492</v>
      </c>
      <c r="C86" t="s">
        <v>493</v>
      </c>
      <c r="D86" t="s">
        <v>494</v>
      </c>
      <c r="E86" t="s">
        <v>495</v>
      </c>
      <c r="F86" t="s">
        <v>496</v>
      </c>
      <c r="G86" t="s">
        <v>493</v>
      </c>
      <c r="H86" s="6" t="s">
        <v>414</v>
      </c>
    </row>
    <row r="87" spans="1:8" x14ac:dyDescent="0.35">
      <c r="A87" t="s">
        <v>785</v>
      </c>
      <c r="B87" t="s">
        <v>575</v>
      </c>
      <c r="C87" t="s">
        <v>786</v>
      </c>
      <c r="D87" t="s">
        <v>787</v>
      </c>
      <c r="E87" t="s">
        <v>788</v>
      </c>
      <c r="F87" t="s">
        <v>789</v>
      </c>
      <c r="G87" t="s">
        <v>786</v>
      </c>
      <c r="H87" t="s">
        <v>738</v>
      </c>
    </row>
    <row r="88" spans="1:8" x14ac:dyDescent="0.35">
      <c r="A88" t="s">
        <v>677</v>
      </c>
      <c r="B88" t="s">
        <v>678</v>
      </c>
      <c r="C88" t="s">
        <v>679</v>
      </c>
      <c r="D88" t="s">
        <v>680</v>
      </c>
      <c r="E88" t="s">
        <v>681</v>
      </c>
      <c r="F88" t="s">
        <v>682</v>
      </c>
      <c r="G88" t="s">
        <v>679</v>
      </c>
      <c r="H88" t="s">
        <v>676</v>
      </c>
    </row>
    <row r="89" spans="1:8" x14ac:dyDescent="0.35">
      <c r="A89" t="s">
        <v>683</v>
      </c>
      <c r="B89" t="s">
        <v>684</v>
      </c>
      <c r="C89" t="s">
        <v>685</v>
      </c>
      <c r="D89" t="s">
        <v>686</v>
      </c>
      <c r="E89" t="s">
        <v>681</v>
      </c>
      <c r="F89" t="s">
        <v>687</v>
      </c>
      <c r="G89" t="s">
        <v>685</v>
      </c>
      <c r="H89" t="s">
        <v>676</v>
      </c>
    </row>
    <row r="90" spans="1:8" x14ac:dyDescent="0.35">
      <c r="A90" t="s">
        <v>688</v>
      </c>
      <c r="B90" t="s">
        <v>689</v>
      </c>
      <c r="C90" t="s">
        <v>690</v>
      </c>
      <c r="D90" t="s">
        <v>691</v>
      </c>
      <c r="E90" t="s">
        <v>681</v>
      </c>
      <c r="F90" t="s">
        <v>692</v>
      </c>
      <c r="G90" t="s">
        <v>690</v>
      </c>
      <c r="H90" t="s">
        <v>676</v>
      </c>
    </row>
    <row r="91" spans="1:8" x14ac:dyDescent="0.35">
      <c r="A91" t="s">
        <v>420</v>
      </c>
      <c r="B91" t="s">
        <v>421</v>
      </c>
      <c r="C91" t="s">
        <v>422</v>
      </c>
      <c r="D91" t="s">
        <v>423</v>
      </c>
      <c r="E91" t="s">
        <v>424</v>
      </c>
      <c r="F91" t="s">
        <v>425</v>
      </c>
      <c r="G91" t="s">
        <v>422</v>
      </c>
      <c r="H91" s="6" t="s">
        <v>414</v>
      </c>
    </row>
    <row r="92" spans="1:8" x14ac:dyDescent="0.35">
      <c r="A92" t="s">
        <v>670</v>
      </c>
      <c r="B92" t="s">
        <v>671</v>
      </c>
      <c r="C92" t="s">
        <v>672</v>
      </c>
      <c r="D92" t="s">
        <v>673</v>
      </c>
      <c r="E92" t="s">
        <v>674</v>
      </c>
      <c r="F92" t="s">
        <v>675</v>
      </c>
      <c r="G92" t="s">
        <v>672</v>
      </c>
      <c r="H92" t="s">
        <v>676</v>
      </c>
    </row>
    <row r="93" spans="1:8" x14ac:dyDescent="0.35">
      <c r="A93" t="s">
        <v>529</v>
      </c>
      <c r="B93" t="s">
        <v>530</v>
      </c>
      <c r="C93" t="s">
        <v>531</v>
      </c>
      <c r="D93" t="s">
        <v>532</v>
      </c>
      <c r="E93" t="s">
        <v>434</v>
      </c>
      <c r="F93" t="s">
        <v>533</v>
      </c>
      <c r="G93" t="s">
        <v>531</v>
      </c>
      <c r="H93" s="6" t="s">
        <v>414</v>
      </c>
    </row>
    <row r="94" spans="1:8" x14ac:dyDescent="0.35">
      <c r="A94" t="s">
        <v>534</v>
      </c>
      <c r="B94" t="s">
        <v>530</v>
      </c>
      <c r="C94" t="s">
        <v>535</v>
      </c>
      <c r="D94" t="s">
        <v>536</v>
      </c>
      <c r="E94" t="s">
        <v>434</v>
      </c>
      <c r="F94" t="s">
        <v>537</v>
      </c>
      <c r="G94" t="s">
        <v>535</v>
      </c>
      <c r="H94" s="6" t="s">
        <v>414</v>
      </c>
    </row>
    <row r="95" spans="1:8" x14ac:dyDescent="0.35">
      <c r="A95" t="s">
        <v>538</v>
      </c>
      <c r="B95" t="s">
        <v>530</v>
      </c>
      <c r="C95" t="s">
        <v>539</v>
      </c>
      <c r="D95" t="s">
        <v>532</v>
      </c>
      <c r="E95" t="s">
        <v>540</v>
      </c>
      <c r="F95" t="s">
        <v>541</v>
      </c>
      <c r="G95" t="s">
        <v>539</v>
      </c>
      <c r="H95" s="6" t="s">
        <v>414</v>
      </c>
    </row>
    <row r="96" spans="1:8" x14ac:dyDescent="0.35">
      <c r="A96" t="s">
        <v>74</v>
      </c>
      <c r="B96" t="s">
        <v>486</v>
      </c>
      <c r="C96" t="s">
        <v>487</v>
      </c>
      <c r="D96" t="s">
        <v>488</v>
      </c>
      <c r="E96" t="s">
        <v>489</v>
      </c>
      <c r="F96" t="s">
        <v>490</v>
      </c>
      <c r="G96" t="s">
        <v>487</v>
      </c>
      <c r="H96" s="6" t="s">
        <v>414</v>
      </c>
    </row>
    <row r="97" spans="1:8" x14ac:dyDescent="0.35">
      <c r="A97" t="s">
        <v>370</v>
      </c>
      <c r="B97" t="s">
        <v>364</v>
      </c>
      <c r="C97" t="s">
        <v>371</v>
      </c>
      <c r="D97" t="s">
        <v>366</v>
      </c>
      <c r="E97" t="s">
        <v>372</v>
      </c>
      <c r="F97" t="s">
        <v>373</v>
      </c>
      <c r="G97" t="s">
        <v>371</v>
      </c>
      <c r="H97" t="s">
        <v>369</v>
      </c>
    </row>
    <row r="98" spans="1:8" x14ac:dyDescent="0.35">
      <c r="A98" t="s">
        <v>632</v>
      </c>
      <c r="B98" t="s">
        <v>607</v>
      </c>
      <c r="C98" t="s">
        <v>633</v>
      </c>
      <c r="D98" t="s">
        <v>634</v>
      </c>
      <c r="E98" t="s">
        <v>393</v>
      </c>
      <c r="F98" t="s">
        <v>635</v>
      </c>
      <c r="G98" t="s">
        <v>633</v>
      </c>
      <c r="H98" t="s">
        <v>627</v>
      </c>
    </row>
    <row r="99" spans="1:8" x14ac:dyDescent="0.35">
      <c r="A99" t="s">
        <v>623</v>
      </c>
      <c r="B99" t="s">
        <v>390</v>
      </c>
      <c r="C99" t="s">
        <v>624</v>
      </c>
      <c r="D99" t="s">
        <v>625</v>
      </c>
      <c r="E99" t="s">
        <v>393</v>
      </c>
      <c r="F99" t="s">
        <v>626</v>
      </c>
      <c r="G99" t="s">
        <v>624</v>
      </c>
      <c r="H99" t="s">
        <v>627</v>
      </c>
    </row>
    <row r="100" spans="1:8" x14ac:dyDescent="0.35">
      <c r="A100" t="s">
        <v>389</v>
      </c>
      <c r="B100" t="s">
        <v>390</v>
      </c>
      <c r="C100" t="s">
        <v>391</v>
      </c>
      <c r="D100" t="s">
        <v>392</v>
      </c>
      <c r="E100" t="s">
        <v>393</v>
      </c>
      <c r="F100" t="s">
        <v>394</v>
      </c>
      <c r="G100" t="s">
        <v>391</v>
      </c>
      <c r="H100" t="s">
        <v>369</v>
      </c>
    </row>
    <row r="101" spans="1:8" x14ac:dyDescent="0.35">
      <c r="A101" t="s">
        <v>595</v>
      </c>
      <c r="B101" t="s">
        <v>596</v>
      </c>
      <c r="C101" t="s">
        <v>597</v>
      </c>
      <c r="D101" t="s">
        <v>598</v>
      </c>
      <c r="E101" t="s">
        <v>393</v>
      </c>
      <c r="F101" t="s">
        <v>599</v>
      </c>
      <c r="G101" t="s">
        <v>597</v>
      </c>
      <c r="H101" t="s">
        <v>600</v>
      </c>
    </row>
    <row r="102" spans="1:8" x14ac:dyDescent="0.35">
      <c r="A102" t="s">
        <v>601</v>
      </c>
      <c r="B102" t="s">
        <v>602</v>
      </c>
      <c r="C102" t="s">
        <v>603</v>
      </c>
      <c r="D102" t="s">
        <v>604</v>
      </c>
      <c r="E102" t="s">
        <v>393</v>
      </c>
      <c r="F102" t="s">
        <v>605</v>
      </c>
      <c r="G102" t="s">
        <v>603</v>
      </c>
      <c r="H102" t="s">
        <v>600</v>
      </c>
    </row>
    <row r="103" spans="1:8" x14ac:dyDescent="0.35">
      <c r="A103" t="s">
        <v>363</v>
      </c>
      <c r="B103" t="s">
        <v>364</v>
      </c>
      <c r="C103" t="s">
        <v>365</v>
      </c>
      <c r="D103" t="s">
        <v>366</v>
      </c>
      <c r="E103" t="s">
        <v>367</v>
      </c>
      <c r="F103" t="s">
        <v>368</v>
      </c>
      <c r="G103" t="s">
        <v>365</v>
      </c>
      <c r="H103" t="s">
        <v>369</v>
      </c>
    </row>
    <row r="104" spans="1:8" x14ac:dyDescent="0.35">
      <c r="A104" t="s">
        <v>395</v>
      </c>
      <c r="B104" t="s">
        <v>396</v>
      </c>
      <c r="C104" t="s">
        <v>397</v>
      </c>
      <c r="D104" t="s">
        <v>398</v>
      </c>
      <c r="E104" t="s">
        <v>367</v>
      </c>
      <c r="F104" t="s">
        <v>399</v>
      </c>
      <c r="G104" t="s">
        <v>397</v>
      </c>
      <c r="H104" t="s">
        <v>369</v>
      </c>
    </row>
    <row r="105" spans="1:8" x14ac:dyDescent="0.35">
      <c r="A105" t="s">
        <v>640</v>
      </c>
      <c r="B105" t="s">
        <v>390</v>
      </c>
      <c r="C105" t="s">
        <v>641</v>
      </c>
      <c r="D105" t="s">
        <v>625</v>
      </c>
      <c r="E105" t="s">
        <v>585</v>
      </c>
      <c r="F105" t="s">
        <v>642</v>
      </c>
      <c r="G105" t="s">
        <v>641</v>
      </c>
      <c r="H105" t="s">
        <v>627</v>
      </c>
    </row>
    <row r="106" spans="1:8" x14ac:dyDescent="0.35">
      <c r="A106" t="s">
        <v>714</v>
      </c>
      <c r="B106" t="s">
        <v>684</v>
      </c>
      <c r="C106" t="s">
        <v>715</v>
      </c>
      <c r="D106" t="s">
        <v>716</v>
      </c>
      <c r="E106" t="s">
        <v>717</v>
      </c>
      <c r="F106" t="s">
        <v>718</v>
      </c>
      <c r="G106" t="s">
        <v>715</v>
      </c>
      <c r="H106" t="s">
        <v>676</v>
      </c>
    </row>
    <row r="107" spans="1:8" x14ac:dyDescent="0.35">
      <c r="A107" t="s">
        <v>612</v>
      </c>
      <c r="B107" t="s">
        <v>613</v>
      </c>
      <c r="C107" t="s">
        <v>614</v>
      </c>
      <c r="D107" t="s">
        <v>615</v>
      </c>
      <c r="E107" t="s">
        <v>552</v>
      </c>
      <c r="F107" t="s">
        <v>616</v>
      </c>
      <c r="G107" t="s">
        <v>614</v>
      </c>
      <c r="H107" t="s">
        <v>611</v>
      </c>
    </row>
    <row r="108" spans="1:8" x14ac:dyDescent="0.35">
      <c r="A108" t="s">
        <v>558</v>
      </c>
      <c r="B108" t="s">
        <v>559</v>
      </c>
      <c r="C108" t="s">
        <v>560</v>
      </c>
      <c r="D108" t="s">
        <v>561</v>
      </c>
      <c r="E108" t="s">
        <v>546</v>
      </c>
      <c r="F108" t="s">
        <v>562</v>
      </c>
      <c r="G108" t="s">
        <v>560</v>
      </c>
      <c r="H108" t="s">
        <v>548</v>
      </c>
    </row>
    <row r="109" spans="1:8" x14ac:dyDescent="0.35">
      <c r="A109" t="s">
        <v>846</v>
      </c>
      <c r="B109" t="s">
        <v>800</v>
      </c>
      <c r="C109" t="s">
        <v>847</v>
      </c>
      <c r="D109" t="s">
        <v>802</v>
      </c>
      <c r="E109" t="s">
        <v>810</v>
      </c>
      <c r="F109" t="s">
        <v>848</v>
      </c>
      <c r="G109" t="s">
        <v>847</v>
      </c>
      <c r="H109" t="s">
        <v>805</v>
      </c>
    </row>
    <row r="110" spans="1:8" x14ac:dyDescent="0.35">
      <c r="A110" t="s">
        <v>719</v>
      </c>
      <c r="B110" t="s">
        <v>689</v>
      </c>
      <c r="C110" t="s">
        <v>720</v>
      </c>
      <c r="D110" t="s">
        <v>691</v>
      </c>
      <c r="E110" t="s">
        <v>717</v>
      </c>
      <c r="F110" t="s">
        <v>721</v>
      </c>
      <c r="G110" t="s">
        <v>720</v>
      </c>
      <c r="H110" t="s">
        <v>676</v>
      </c>
    </row>
    <row r="111" spans="1:8" x14ac:dyDescent="0.35">
      <c r="A111" t="s">
        <v>386</v>
      </c>
      <c r="B111" t="s">
        <v>375</v>
      </c>
      <c r="C111" t="s">
        <v>387</v>
      </c>
      <c r="D111" t="s">
        <v>377</v>
      </c>
      <c r="E111" t="s">
        <v>378</v>
      </c>
      <c r="F111" t="s">
        <v>388</v>
      </c>
      <c r="G111" t="s">
        <v>387</v>
      </c>
      <c r="H111" t="s">
        <v>369</v>
      </c>
    </row>
    <row r="112" spans="1:8" x14ac:dyDescent="0.35">
      <c r="A112" t="s">
        <v>617</v>
      </c>
      <c r="B112" t="s">
        <v>618</v>
      </c>
      <c r="C112" t="s">
        <v>619</v>
      </c>
      <c r="D112" t="s">
        <v>620</v>
      </c>
      <c r="E112" t="s">
        <v>552</v>
      </c>
      <c r="F112" t="s">
        <v>621</v>
      </c>
      <c r="G112" t="s">
        <v>622</v>
      </c>
      <c r="H112" t="s">
        <v>611</v>
      </c>
    </row>
    <row r="113" spans="1:8" x14ac:dyDescent="0.35">
      <c r="A113" t="s">
        <v>649</v>
      </c>
      <c r="B113" t="s">
        <v>543</v>
      </c>
      <c r="C113" t="s">
        <v>650</v>
      </c>
      <c r="D113" t="s">
        <v>545</v>
      </c>
      <c r="E113" t="s">
        <v>546</v>
      </c>
      <c r="F113" t="s">
        <v>621</v>
      </c>
      <c r="G113" t="s">
        <v>650</v>
      </c>
      <c r="H113" t="s">
        <v>627</v>
      </c>
    </row>
    <row r="114" spans="1:8" x14ac:dyDescent="0.35">
      <c r="A114" t="s">
        <v>542</v>
      </c>
      <c r="B114" t="s">
        <v>543</v>
      </c>
      <c r="C114" t="s">
        <v>544</v>
      </c>
      <c r="D114" t="s">
        <v>545</v>
      </c>
      <c r="E114" t="s">
        <v>546</v>
      </c>
      <c r="F114" t="s">
        <v>547</v>
      </c>
      <c r="G114" t="s">
        <v>544</v>
      </c>
      <c r="H114" t="s">
        <v>548</v>
      </c>
    </row>
    <row r="115" spans="1:8" x14ac:dyDescent="0.35">
      <c r="A115" t="s">
        <v>404</v>
      </c>
      <c r="B115" t="s">
        <v>396</v>
      </c>
      <c r="C115" t="s">
        <v>405</v>
      </c>
      <c r="D115" t="s">
        <v>406</v>
      </c>
      <c r="E115" t="s">
        <v>393</v>
      </c>
      <c r="F115" t="s">
        <v>407</v>
      </c>
      <c r="G115" t="s">
        <v>405</v>
      </c>
      <c r="H115" t="s">
        <v>369</v>
      </c>
    </row>
    <row r="116" spans="1:8" x14ac:dyDescent="0.35">
      <c r="A116" t="s">
        <v>400</v>
      </c>
      <c r="B116" t="s">
        <v>375</v>
      </c>
      <c r="C116" t="s">
        <v>401</v>
      </c>
      <c r="D116" t="s">
        <v>402</v>
      </c>
      <c r="E116" t="s">
        <v>367</v>
      </c>
      <c r="F116" t="s">
        <v>403</v>
      </c>
      <c r="G116" t="s">
        <v>401</v>
      </c>
      <c r="H116" t="s">
        <v>369</v>
      </c>
    </row>
    <row r="117" spans="1:8" x14ac:dyDescent="0.35">
      <c r="A117" t="s">
        <v>447</v>
      </c>
      <c r="B117" t="s">
        <v>448</v>
      </c>
      <c r="C117" t="s">
        <v>449</v>
      </c>
      <c r="D117" t="s">
        <v>450</v>
      </c>
      <c r="E117" t="s">
        <v>451</v>
      </c>
      <c r="F117" s="4" t="s">
        <v>452</v>
      </c>
      <c r="G117" t="s">
        <v>449</v>
      </c>
      <c r="H117" s="6" t="s">
        <v>414</v>
      </c>
    </row>
    <row r="118" spans="1:8" x14ac:dyDescent="0.35">
      <c r="A118" t="s">
        <v>563</v>
      </c>
      <c r="B118" t="s">
        <v>559</v>
      </c>
      <c r="C118" t="s">
        <v>564</v>
      </c>
      <c r="D118" t="s">
        <v>565</v>
      </c>
      <c r="E118" t="s">
        <v>546</v>
      </c>
      <c r="F118" t="s">
        <v>566</v>
      </c>
      <c r="G118" t="s">
        <v>564</v>
      </c>
      <c r="H118" t="s">
        <v>548</v>
      </c>
    </row>
  </sheetData>
  <autoFilter ref="A1:H118" xr:uid="{A563E344-E86E-449A-B279-89D436A1D40A}">
    <sortState xmlns:xlrd2="http://schemas.microsoft.com/office/spreadsheetml/2017/richdata2" ref="A2:H118">
      <sortCondition ref="C1:C118"/>
    </sortState>
  </autoFilter>
  <pageMargins left="0.7" right="0.7" top="0.75" bottom="0.75" header="0.3" footer="0.3"/>
  <headerFooter>
    <oddFooter>&amp;C_x000D_&amp;1#&amp;"Aptos"&amp;10&amp;K000000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B7444E61F7E4187BF087C95D2F8A4" ma:contentTypeVersion="14" ma:contentTypeDescription="Create a new document." ma:contentTypeScope="" ma:versionID="4650b55663555d9c44f5e261a6ffb57f">
  <xsd:schema xmlns:xsd="http://www.w3.org/2001/XMLSchema" xmlns:xs="http://www.w3.org/2001/XMLSchema" xmlns:p="http://schemas.microsoft.com/office/2006/metadata/properties" xmlns:ns2="57e4a19d-5c10-49be-a954-679698bbb83e" xmlns:ns3="f99ec418-d0cf-4391-90fa-7b8540b6e6a8" targetNamespace="http://schemas.microsoft.com/office/2006/metadata/properties" ma:root="true" ma:fieldsID="24f61ea7f31a9c9ca699a9f2a499bcb0" ns2:_="" ns3:_="">
    <xsd:import namespace="57e4a19d-5c10-49be-a954-679698bbb83e"/>
    <xsd:import namespace="f99ec418-d0cf-4391-90fa-7b8540b6e6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4a19d-5c10-49be-a954-679698bbb8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eb6393-bae5-439c-9df7-ed1047f922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ec418-d0cf-4391-90fa-7b8540b6e6a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546fcc7-1db2-44f6-85c7-2a803a2082a0}" ma:internalName="TaxCatchAll" ma:showField="CatchAllData" ma:web="f99ec418-d0cf-4391-90fa-7b8540b6e6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9ec418-d0cf-4391-90fa-7b8540b6e6a8" xsi:nil="true"/>
    <lcf76f155ced4ddcb4097134ff3c332f xmlns="57e4a19d-5c10-49be-a954-679698bbb83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3E7DF4-BAE5-4050-8D14-B9B34C5CB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4a19d-5c10-49be-a954-679698bbb83e"/>
    <ds:schemaRef ds:uri="f99ec418-d0cf-4391-90fa-7b8540b6e6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44FB6A-98A6-4B1F-9591-529B607C15FF}">
  <ds:schemaRefs>
    <ds:schemaRef ds:uri="http://purl.org/dc/dcmitype/"/>
    <ds:schemaRef ds:uri="57e4a19d-5c10-49be-a954-679698bbb83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f99ec418-d0cf-4391-90fa-7b8540b6e6a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794B08-C8F3-464B-A5DD-6AAB937278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RID</vt:lpstr>
      <vt:lpstr>Table Definition</vt:lpstr>
      <vt:lpstr>KPI Definition</vt:lpstr>
    </vt:vector>
  </TitlesOfParts>
  <Manager/>
  <Company>Birmingham City Council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Akhtar Miah</dc:creator>
  <cp:keywords/>
  <dc:description/>
  <cp:lastModifiedBy>Akhtar Miah</cp:lastModifiedBy>
  <cp:revision/>
  <dcterms:created xsi:type="dcterms:W3CDTF">2026-07-31T15:26:28Z</dcterms:created>
  <dcterms:modified xsi:type="dcterms:W3CDTF">2026-08-11T07:22:00Z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7471b1-27ab-4640-9264-e69a67407ca3_Enabled">
    <vt:lpwstr>true</vt:lpwstr>
  </property>
  <property fmtid="{D5CDD505-2E9C-101B-9397-08002B2CF9AE}" pid="3" name="MSIP_Label_a17471b1-27ab-4640-9264-e69a67407ca3_SetDate">
    <vt:lpwstr>2026-07-31T15:40:52Z</vt:lpwstr>
  </property>
  <property fmtid="{D5CDD505-2E9C-101B-9397-08002B2CF9AE}" pid="4" name="MSIP_Label_a17471b1-27ab-4640-9264-e69a67407ca3_Method">
    <vt:lpwstr>Standard</vt:lpwstr>
  </property>
  <property fmtid="{D5CDD505-2E9C-101B-9397-08002B2CF9AE}" pid="5" name="MSIP_Label_a17471b1-27ab-4640-9264-e69a67407ca3_Name">
    <vt:lpwstr>BCC - OFFICIAL</vt:lpwstr>
  </property>
  <property fmtid="{D5CDD505-2E9C-101B-9397-08002B2CF9AE}" pid="6" name="MSIP_Label_a17471b1-27ab-4640-9264-e69a67407ca3_SiteId">
    <vt:lpwstr>699ace67-d2e4-4bcd-b303-d2bbe2b9bbf1</vt:lpwstr>
  </property>
  <property fmtid="{D5CDD505-2E9C-101B-9397-08002B2CF9AE}" pid="7" name="MSIP_Label_a17471b1-27ab-4640-9264-e69a67407ca3_ActionId">
    <vt:lpwstr>44842a0d-d839-4e1b-a260-a3929a7a71a8</vt:lpwstr>
  </property>
  <property fmtid="{D5CDD505-2E9C-101B-9397-08002B2CF9AE}" pid="8" name="MSIP_Label_a17471b1-27ab-4640-9264-e69a67407ca3_ContentBits">
    <vt:lpwstr>2</vt:lpwstr>
  </property>
  <property fmtid="{D5CDD505-2E9C-101B-9397-08002B2CF9AE}" pid="9" name="MSIP_Label_a17471b1-27ab-4640-9264-e69a67407ca3_Tag">
    <vt:lpwstr>10, 3, 0, 1</vt:lpwstr>
  </property>
  <property fmtid="{D5CDD505-2E9C-101B-9397-08002B2CF9AE}" pid="10" name="ContentTypeId">
    <vt:lpwstr>0x01010066DB7444E61F7E4187BF087C95D2F8A4</vt:lpwstr>
  </property>
  <property fmtid="{D5CDD505-2E9C-101B-9397-08002B2CF9AE}" pid="11" name="MediaServiceImageTags">
    <vt:lpwstr/>
  </property>
</Properties>
</file>